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60" windowWidth="15480" windowHeight="11640"/>
  </bookViews>
  <sheets>
    <sheet name="Model" sheetId="14" r:id="rId1"/>
    <sheet name="Model-large" sheetId="18" r:id="rId2"/>
    <sheet name="Read Me" sheetId="15" r:id="rId3"/>
    <sheet name="Licence" sheetId="16" r:id="rId4"/>
    <sheet name="GPL" sheetId="17" r:id="rId5"/>
  </sheets>
  <functionGroups builtInGroupCount="18"/>
  <definedNames>
    <definedName name="_xlnm.Print_Area" localSheetId="0">Model!$A$1:$H$54</definedName>
    <definedName name="_xlnm.Print_Area" localSheetId="1">'Model-large'!$A$1:$H$107</definedName>
  </definedNames>
  <calcPr calcId="152511"/>
</workbook>
</file>

<file path=xl/calcChain.xml><?xml version="1.0" encoding="utf-8"?>
<calcChain xmlns="http://schemas.openxmlformats.org/spreadsheetml/2006/main">
  <c r="J6" i="14" l="1"/>
  <c r="K6" i="14"/>
  <c r="C7" i="14"/>
  <c r="L6" i="14" s="1"/>
  <c r="F7" i="14"/>
  <c r="G7" i="14"/>
  <c r="H7" i="14"/>
  <c r="J7" i="14"/>
  <c r="K7" i="14"/>
  <c r="C8" i="14"/>
  <c r="L7" i="14" s="1"/>
  <c r="J8" i="14"/>
  <c r="K8" i="14"/>
  <c r="L8" i="14"/>
  <c r="C9" i="14"/>
  <c r="K9" i="14"/>
  <c r="P8" i="14" s="1"/>
  <c r="C10" i="14"/>
  <c r="L9" i="14" s="1"/>
  <c r="J10" i="14"/>
  <c r="K10" i="14"/>
  <c r="M10" i="14"/>
  <c r="C11" i="14"/>
  <c r="C16" i="14"/>
  <c r="J16" i="14"/>
  <c r="C17" i="14"/>
  <c r="K17" i="14"/>
  <c r="C18" i="14"/>
  <c r="K18" i="14"/>
  <c r="C22" i="14"/>
  <c r="C23" i="14"/>
  <c r="K27" i="14"/>
  <c r="J6" i="18"/>
  <c r="K6" i="18"/>
  <c r="C7" i="18"/>
  <c r="L6" i="18" s="1"/>
  <c r="F7" i="18"/>
  <c r="G7" i="18"/>
  <c r="H7" i="18"/>
  <c r="J7" i="18"/>
  <c r="K7" i="18"/>
  <c r="C8" i="18"/>
  <c r="L7" i="18" s="1"/>
  <c r="J8" i="18"/>
  <c r="K8" i="18"/>
  <c r="L8" i="18"/>
  <c r="C9" i="18"/>
  <c r="K9" i="18"/>
  <c r="P8" i="18" s="1"/>
  <c r="C10" i="18"/>
  <c r="L9" i="18" s="1"/>
  <c r="J10" i="18"/>
  <c r="K10" i="18"/>
  <c r="M10" i="18"/>
  <c r="C11" i="18"/>
  <c r="C16" i="18"/>
  <c r="J16" i="18"/>
  <c r="C17" i="18"/>
  <c r="K17" i="18"/>
  <c r="C18" i="18"/>
  <c r="K18" i="18"/>
  <c r="C22" i="18"/>
  <c r="C23" i="18"/>
  <c r="K27" i="18"/>
  <c r="A28" i="14"/>
  <c r="A30" i="14"/>
  <c r="B16" i="14"/>
  <c r="E8" i="14" s="1" a="1"/>
  <c r="A27" i="14"/>
  <c r="A29" i="14"/>
  <c r="A28" i="18"/>
  <c r="A30" i="18"/>
  <c r="A41" i="15"/>
  <c r="B16" i="18"/>
  <c r="E8" i="18" s="1" a="1"/>
  <c r="A27" i="18"/>
  <c r="A29" i="18"/>
  <c r="M6" i="18" l="1"/>
  <c r="M7" i="18"/>
  <c r="M8" i="18"/>
  <c r="B17" i="18"/>
  <c r="M6" i="14"/>
  <c r="M7" i="14"/>
  <c r="M8" i="14"/>
  <c r="B17" i="14"/>
  <c r="G8" i="18"/>
  <c r="E9" i="18"/>
  <c r="G9" i="18"/>
  <c r="E10" i="18"/>
  <c r="G10" i="18"/>
  <c r="E11" i="18"/>
  <c r="G11" i="18"/>
  <c r="E12" i="18"/>
  <c r="G12" i="18"/>
  <c r="E13" i="18"/>
  <c r="G13" i="18"/>
  <c r="E8" i="18"/>
  <c r="F8" i="18"/>
  <c r="H8" i="18"/>
  <c r="F9" i="18"/>
  <c r="H9" i="18"/>
  <c r="F10" i="18"/>
  <c r="H10" i="18"/>
  <c r="F11" i="18"/>
  <c r="H11" i="18"/>
  <c r="F12" i="18"/>
  <c r="H12" i="18"/>
  <c r="F13" i="18"/>
  <c r="H13" i="18"/>
  <c r="F14" i="18"/>
  <c r="H14" i="18"/>
  <c r="F15" i="18"/>
  <c r="H15" i="18"/>
  <c r="G14" i="18"/>
  <c r="G15" i="18"/>
  <c r="F16" i="18"/>
  <c r="H16" i="18"/>
  <c r="E17" i="18"/>
  <c r="G17" i="18"/>
  <c r="E18" i="18"/>
  <c r="G18" i="18"/>
  <c r="F19" i="18"/>
  <c r="H19" i="18"/>
  <c r="E20" i="18"/>
  <c r="G20" i="18"/>
  <c r="F21" i="18"/>
  <c r="H21" i="18"/>
  <c r="F22" i="18"/>
  <c r="H22" i="18"/>
  <c r="F23" i="18"/>
  <c r="H23" i="18"/>
  <c r="F24" i="18"/>
  <c r="H24" i="18"/>
  <c r="F25" i="18"/>
  <c r="H25" i="18"/>
  <c r="F26" i="18"/>
  <c r="H26" i="18"/>
  <c r="E27" i="18"/>
  <c r="G27" i="18"/>
  <c r="F28" i="18"/>
  <c r="H28" i="18"/>
  <c r="E29" i="18"/>
  <c r="G29" i="18"/>
  <c r="F30" i="18"/>
  <c r="H30" i="18"/>
  <c r="F31" i="18"/>
  <c r="H31" i="18"/>
  <c r="F32" i="18"/>
  <c r="H32" i="18"/>
  <c r="F33" i="18"/>
  <c r="H33" i="18"/>
  <c r="F34" i="18"/>
  <c r="H34" i="18"/>
  <c r="F35" i="18"/>
  <c r="H35" i="18"/>
  <c r="F36" i="18"/>
  <c r="H36" i="18"/>
  <c r="F37" i="18"/>
  <c r="H37" i="18"/>
  <c r="F38" i="18"/>
  <c r="H38" i="18"/>
  <c r="F39" i="18"/>
  <c r="H39" i="18"/>
  <c r="F40" i="18"/>
  <c r="H40" i="18"/>
  <c r="F41" i="18"/>
  <c r="H41" i="18"/>
  <c r="F42" i="18"/>
  <c r="H42" i="18"/>
  <c r="F43" i="18"/>
  <c r="H43" i="18"/>
  <c r="F44" i="18"/>
  <c r="H44" i="18"/>
  <c r="F45" i="18"/>
  <c r="H45" i="18"/>
  <c r="F46" i="18"/>
  <c r="H46" i="18"/>
  <c r="F47" i="18"/>
  <c r="H47" i="18"/>
  <c r="F48" i="18"/>
  <c r="H48" i="18"/>
  <c r="F49" i="18"/>
  <c r="H49" i="18"/>
  <c r="F50" i="18"/>
  <c r="H50" i="18"/>
  <c r="F51" i="18"/>
  <c r="H51" i="18"/>
  <c r="F52" i="18"/>
  <c r="H52" i="18"/>
  <c r="F53" i="18"/>
  <c r="H53" i="18"/>
  <c r="F54" i="18"/>
  <c r="H54" i="18"/>
  <c r="F55" i="18"/>
  <c r="H55" i="18"/>
  <c r="F56" i="18"/>
  <c r="H56" i="18"/>
  <c r="F57" i="18"/>
  <c r="H57" i="18"/>
  <c r="F58" i="18"/>
  <c r="H58" i="18"/>
  <c r="F59" i="18"/>
  <c r="H59" i="18"/>
  <c r="F60" i="18"/>
  <c r="H60" i="18"/>
  <c r="F61" i="18"/>
  <c r="H61" i="18"/>
  <c r="F62" i="18"/>
  <c r="H62" i="18"/>
  <c r="F63" i="18"/>
  <c r="H63" i="18"/>
  <c r="F64" i="18"/>
  <c r="H64" i="18"/>
  <c r="F65" i="18"/>
  <c r="H65" i="18"/>
  <c r="F66" i="18"/>
  <c r="H66" i="18"/>
  <c r="F67" i="18"/>
  <c r="H67" i="18"/>
  <c r="F68" i="18"/>
  <c r="H68" i="18"/>
  <c r="F69" i="18"/>
  <c r="H69" i="18"/>
  <c r="F70" i="18"/>
  <c r="H70" i="18"/>
  <c r="F71" i="18"/>
  <c r="H71" i="18"/>
  <c r="F72" i="18"/>
  <c r="H72" i="18"/>
  <c r="F73" i="18"/>
  <c r="H73" i="18"/>
  <c r="F74" i="18"/>
  <c r="H74" i="18"/>
  <c r="F75" i="18"/>
  <c r="H75" i="18"/>
  <c r="F76" i="18"/>
  <c r="H76" i="18"/>
  <c r="F77" i="18"/>
  <c r="H77" i="18"/>
  <c r="F78" i="18"/>
  <c r="H78" i="18"/>
  <c r="F79" i="18"/>
  <c r="H79" i="18"/>
  <c r="F80" i="18"/>
  <c r="H80" i="18"/>
  <c r="F81" i="18"/>
  <c r="H81" i="18"/>
  <c r="F82" i="18"/>
  <c r="H82" i="18"/>
  <c r="F83" i="18"/>
  <c r="H83" i="18"/>
  <c r="F84" i="18"/>
  <c r="H84" i="18"/>
  <c r="F85" i="18"/>
  <c r="H85" i="18"/>
  <c r="F86" i="18"/>
  <c r="H86" i="18"/>
  <c r="F87" i="18"/>
  <c r="H87" i="18"/>
  <c r="F88" i="18"/>
  <c r="H88" i="18"/>
  <c r="F89" i="18"/>
  <c r="H89" i="18"/>
  <c r="F90" i="18"/>
  <c r="H90" i="18"/>
  <c r="F91" i="18"/>
  <c r="H91" i="18"/>
  <c r="E15" i="18"/>
  <c r="G16" i="18"/>
  <c r="H17" i="18"/>
  <c r="H18" i="18"/>
  <c r="E19" i="18"/>
  <c r="F20" i="18"/>
  <c r="G21" i="18"/>
  <c r="E22" i="18"/>
  <c r="G23" i="18"/>
  <c r="E24" i="18"/>
  <c r="G25" i="18"/>
  <c r="E26" i="18"/>
  <c r="F27" i="18"/>
  <c r="G28" i="18"/>
  <c r="F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G92" i="18"/>
  <c r="E93" i="18"/>
  <c r="G93" i="18"/>
  <c r="E94" i="18"/>
  <c r="G94" i="18"/>
  <c r="E95" i="18"/>
  <c r="G95" i="18"/>
  <c r="E96" i="18"/>
  <c r="G96" i="18"/>
  <c r="E97" i="18"/>
  <c r="G97" i="18"/>
  <c r="E98" i="18"/>
  <c r="G98" i="18"/>
  <c r="E99" i="18"/>
  <c r="G99" i="18"/>
  <c r="E100" i="18"/>
  <c r="G100" i="18"/>
  <c r="E101" i="18"/>
  <c r="G101" i="18"/>
  <c r="E102" i="18"/>
  <c r="G102" i="18"/>
  <c r="E103" i="18"/>
  <c r="G103" i="18"/>
  <c r="E104" i="18"/>
  <c r="G104" i="18"/>
  <c r="E105" i="18"/>
  <c r="G105" i="18"/>
  <c r="E106" i="18"/>
  <c r="G106" i="18"/>
  <c r="E107" i="18"/>
  <c r="G107" i="18"/>
  <c r="G63" i="18"/>
  <c r="G68" i="18"/>
  <c r="G70" i="18"/>
  <c r="G72" i="18"/>
  <c r="G74" i="18"/>
  <c r="G76" i="18"/>
  <c r="G78" i="18"/>
  <c r="G80" i="18"/>
  <c r="G82" i="18"/>
  <c r="G84" i="18"/>
  <c r="G86" i="18"/>
  <c r="G88" i="18"/>
  <c r="G89" i="18"/>
  <c r="G91" i="18"/>
  <c r="H92" i="18"/>
  <c r="H93" i="18"/>
  <c r="H94" i="18"/>
  <c r="H95" i="18"/>
  <c r="H96" i="18"/>
  <c r="F97" i="18"/>
  <c r="F98" i="18"/>
  <c r="F99" i="18"/>
  <c r="F101" i="18"/>
  <c r="F102" i="18"/>
  <c r="F103" i="18"/>
  <c r="F104" i="18"/>
  <c r="F105" i="18"/>
  <c r="F106" i="18"/>
  <c r="F107" i="18"/>
  <c r="E14" i="18"/>
  <c r="E16" i="18"/>
  <c r="F17" i="18"/>
  <c r="F18" i="18"/>
  <c r="G19" i="18"/>
  <c r="H20" i="18"/>
  <c r="E21" i="18"/>
  <c r="G22" i="18"/>
  <c r="E23" i="18"/>
  <c r="G24" i="18"/>
  <c r="E25" i="18"/>
  <c r="G26" i="18"/>
  <c r="H27" i="18"/>
  <c r="E28" i="18"/>
  <c r="H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4" i="18"/>
  <c r="G65" i="18"/>
  <c r="G66" i="18"/>
  <c r="G67" i="18"/>
  <c r="G69" i="18"/>
  <c r="G71" i="18"/>
  <c r="G73" i="18"/>
  <c r="G75" i="18"/>
  <c r="G77" i="18"/>
  <c r="G79" i="18"/>
  <c r="G81" i="18"/>
  <c r="G83" i="18"/>
  <c r="G85" i="18"/>
  <c r="G87" i="18"/>
  <c r="G90" i="18"/>
  <c r="F92" i="18"/>
  <c r="F93" i="18"/>
  <c r="F94" i="18"/>
  <c r="F95" i="18"/>
  <c r="F96" i="18"/>
  <c r="H97" i="18"/>
  <c r="H98" i="18"/>
  <c r="H99" i="18"/>
  <c r="F100" i="18"/>
  <c r="H100" i="18"/>
  <c r="H101" i="18"/>
  <c r="H102" i="18"/>
  <c r="H103" i="18"/>
  <c r="H104" i="18"/>
  <c r="H105" i="18"/>
  <c r="H106" i="18"/>
  <c r="H107" i="18"/>
  <c r="G8" i="14"/>
  <c r="E8" i="14"/>
  <c r="F8" i="14"/>
  <c r="H8" i="14"/>
  <c r="F9" i="14"/>
  <c r="H9" i="14"/>
  <c r="F10" i="14"/>
  <c r="H10" i="14"/>
  <c r="F11" i="14"/>
  <c r="H11" i="14"/>
  <c r="F12" i="14"/>
  <c r="H12" i="14"/>
  <c r="F13" i="14"/>
  <c r="H13" i="14"/>
  <c r="F14" i="14"/>
  <c r="H14" i="14"/>
  <c r="F15" i="14"/>
  <c r="H15" i="14"/>
  <c r="F16" i="14"/>
  <c r="H16" i="14"/>
  <c r="E17" i="14"/>
  <c r="G17" i="14"/>
  <c r="E18" i="14"/>
  <c r="G18" i="14"/>
  <c r="F19" i="14"/>
  <c r="H19" i="14"/>
  <c r="E20" i="14"/>
  <c r="G20" i="14"/>
  <c r="F21" i="14"/>
  <c r="H21" i="14"/>
  <c r="F22" i="14"/>
  <c r="H22" i="14"/>
  <c r="F23" i="14"/>
  <c r="H23" i="14"/>
  <c r="F24" i="14"/>
  <c r="H24" i="14"/>
  <c r="F25" i="14"/>
  <c r="H25" i="14"/>
  <c r="F26" i="14"/>
  <c r="H26" i="14"/>
  <c r="E27" i="14"/>
  <c r="G27" i="14"/>
  <c r="F28" i="14"/>
  <c r="H28" i="14"/>
  <c r="E29" i="14"/>
  <c r="G29" i="14"/>
  <c r="F30" i="14"/>
  <c r="H30" i="14"/>
  <c r="F31" i="14"/>
  <c r="H31" i="14"/>
  <c r="F32" i="14"/>
  <c r="H32" i="14"/>
  <c r="F33" i="14"/>
  <c r="H33" i="14"/>
  <c r="F34" i="14"/>
  <c r="H34" i="14"/>
  <c r="F35" i="14"/>
  <c r="H35" i="14"/>
  <c r="F36" i="14"/>
  <c r="H36" i="14"/>
  <c r="F37" i="14"/>
  <c r="H37" i="14"/>
  <c r="F38" i="14"/>
  <c r="H38" i="14"/>
  <c r="F39" i="14"/>
  <c r="H39" i="14"/>
  <c r="E9" i="14"/>
  <c r="G10" i="14"/>
  <c r="G11" i="14"/>
  <c r="G12" i="14"/>
  <c r="G13" i="14"/>
  <c r="G14" i="14"/>
  <c r="G15" i="14"/>
  <c r="G16" i="14"/>
  <c r="H17" i="14"/>
  <c r="H18" i="14"/>
  <c r="E19" i="14"/>
  <c r="F20" i="14"/>
  <c r="G21" i="14"/>
  <c r="E22" i="14"/>
  <c r="G23" i="14"/>
  <c r="E24" i="14"/>
  <c r="G25" i="14"/>
  <c r="E26" i="14"/>
  <c r="F27" i="14"/>
  <c r="G28" i="14"/>
  <c r="F29" i="14"/>
  <c r="E30" i="14"/>
  <c r="E31" i="14"/>
  <c r="E32" i="14"/>
  <c r="E33" i="14"/>
  <c r="E34" i="14"/>
  <c r="E35" i="14"/>
  <c r="E36" i="14"/>
  <c r="E37" i="14"/>
  <c r="E38" i="14"/>
  <c r="E39" i="14"/>
  <c r="E40" i="14"/>
  <c r="G40" i="14"/>
  <c r="E41" i="14"/>
  <c r="G41" i="14"/>
  <c r="E42" i="14"/>
  <c r="G42" i="14"/>
  <c r="E43" i="14"/>
  <c r="G43" i="14"/>
  <c r="E44" i="14"/>
  <c r="G44" i="14"/>
  <c r="E45" i="14"/>
  <c r="G45" i="14"/>
  <c r="E46" i="14"/>
  <c r="G46" i="14"/>
  <c r="E47" i="14"/>
  <c r="G47" i="14"/>
  <c r="E48" i="14"/>
  <c r="G48" i="14"/>
  <c r="E49" i="14"/>
  <c r="G49" i="14"/>
  <c r="E50" i="14"/>
  <c r="G50" i="14"/>
  <c r="E51" i="14"/>
  <c r="G51" i="14"/>
  <c r="E52" i="14"/>
  <c r="G52" i="14"/>
  <c r="E53" i="14"/>
  <c r="G53" i="14"/>
  <c r="E54" i="14"/>
  <c r="G54" i="14"/>
  <c r="G9" i="14"/>
  <c r="E10" i="14"/>
  <c r="E11" i="14"/>
  <c r="E12" i="14"/>
  <c r="E13" i="14"/>
  <c r="E14" i="14"/>
  <c r="E15" i="14"/>
  <c r="E16" i="14"/>
  <c r="F17" i="14"/>
  <c r="F18" i="14"/>
  <c r="G19" i="14"/>
  <c r="H20" i="14"/>
  <c r="E21" i="14"/>
  <c r="G22" i="14"/>
  <c r="E23" i="14"/>
  <c r="G24" i="14"/>
  <c r="E25" i="14"/>
  <c r="G26" i="14"/>
  <c r="H27" i="14"/>
  <c r="E28" i="14"/>
  <c r="H29" i="14"/>
  <c r="G30" i="14"/>
  <c r="G31" i="14"/>
  <c r="G32" i="14"/>
  <c r="G33" i="14"/>
  <c r="G34" i="14"/>
  <c r="G35" i="14"/>
  <c r="G36" i="14"/>
  <c r="G37" i="14"/>
  <c r="G38" i="14"/>
  <c r="G39" i="14"/>
  <c r="F40" i="14"/>
  <c r="H40" i="14"/>
  <c r="F41" i="14"/>
  <c r="H41" i="14"/>
  <c r="F42" i="14"/>
  <c r="H42" i="14"/>
  <c r="F43" i="14"/>
  <c r="H43" i="14"/>
  <c r="F44" i="14"/>
  <c r="H44" i="14"/>
  <c r="F45" i="14"/>
  <c r="H45" i="14"/>
  <c r="F46" i="14"/>
  <c r="H46" i="14"/>
  <c r="F47" i="14"/>
  <c r="H47" i="14"/>
  <c r="F48" i="14"/>
  <c r="H48" i="14"/>
  <c r="F49" i="14"/>
  <c r="H49" i="14"/>
  <c r="F50" i="14"/>
  <c r="H50" i="14"/>
  <c r="F51" i="14"/>
  <c r="H51" i="14"/>
  <c r="F52" i="14"/>
  <c r="H52" i="14"/>
  <c r="F53" i="14"/>
  <c r="H53" i="14"/>
  <c r="F54" i="14"/>
  <c r="H54" i="14"/>
  <c r="J18" i="18"/>
  <c r="K19" i="18"/>
  <c r="J17" i="18"/>
  <c r="J27" i="18"/>
  <c r="J18" i="14"/>
  <c r="K19" i="14"/>
  <c r="J17" i="14"/>
  <c r="J27" i="14"/>
  <c r="M9" i="18"/>
  <c r="M9" i="14"/>
  <c r="B18" i="14" l="1"/>
  <c r="B18" i="18"/>
  <c r="J19" i="14"/>
  <c r="K20" i="14"/>
  <c r="J19" i="18"/>
  <c r="K20" i="18"/>
  <c r="B19" i="14"/>
  <c r="B22" i="14"/>
  <c r="B23" i="14"/>
  <c r="B21" i="18"/>
  <c r="B20" i="18"/>
  <c r="B21" i="14"/>
  <c r="B20" i="14"/>
  <c r="B19" i="18"/>
  <c r="B22" i="18"/>
  <c r="B23" i="18"/>
  <c r="J20" i="18" l="1"/>
  <c r="K21" i="18"/>
  <c r="J20" i="14"/>
  <c r="K21" i="14"/>
  <c r="K22" i="14" l="1"/>
  <c r="J21" i="14"/>
  <c r="K22" i="18"/>
  <c r="J21" i="18"/>
  <c r="K23" i="18" l="1"/>
  <c r="J22" i="18"/>
  <c r="K23" i="14"/>
  <c r="J22" i="14"/>
  <c r="K24" i="14" l="1"/>
  <c r="J23" i="14"/>
  <c r="K24" i="18"/>
  <c r="J23" i="18"/>
  <c r="K25" i="18" l="1"/>
  <c r="J24" i="18"/>
  <c r="K25" i="14"/>
  <c r="J24" i="14"/>
  <c r="K26" i="14" l="1"/>
  <c r="J26" i="14" s="1"/>
  <c r="J25" i="14"/>
  <c r="K26" i="18"/>
  <c r="J26" i="18" s="1"/>
  <c r="J25" i="18"/>
</calcChain>
</file>

<file path=xl/sharedStrings.xml><?xml version="1.0" encoding="utf-8"?>
<sst xmlns="http://schemas.openxmlformats.org/spreadsheetml/2006/main" count="421" uniqueCount="374">
  <si>
    <t>Boom diameter</t>
  </si>
  <si>
    <t>Length</t>
  </si>
  <si>
    <t>Spacing</t>
  </si>
  <si>
    <t>Position</t>
  </si>
  <si>
    <t>Frequency</t>
  </si>
  <si>
    <t>Wavelength</t>
  </si>
  <si>
    <t>Element</t>
  </si>
  <si>
    <t>Parasitic element diameter</t>
  </si>
  <si>
    <t>Driven element diameter</t>
  </si>
  <si>
    <t>Elements</t>
  </si>
  <si>
    <t>Boom correction</t>
  </si>
  <si>
    <t>DL6WU yagi design tool</t>
  </si>
  <si>
    <t>mm</t>
  </si>
  <si>
    <t>Dimension unit</t>
  </si>
  <si>
    <t>MHz</t>
  </si>
  <si>
    <t>dBi</t>
  </si>
  <si>
    <t>Gain</t>
  </si>
  <si>
    <t>Boom length</t>
  </si>
  <si>
    <t>°</t>
  </si>
  <si>
    <t>Inputs:</t>
  </si>
  <si>
    <t>Calculated values:</t>
  </si>
  <si>
    <t>Title</t>
  </si>
  <si>
    <t>2m yagi</t>
  </si>
  <si>
    <t>Lower</t>
  </si>
  <si>
    <t>Upper</t>
  </si>
  <si>
    <t>Limits</t>
  </si>
  <si>
    <t>l</t>
  </si>
  <si>
    <t>Item</t>
  </si>
  <si>
    <t>Value</t>
  </si>
  <si>
    <t>Limits:</t>
  </si>
  <si>
    <t>pu</t>
  </si>
  <si>
    <t>Gain (dBi)</t>
  </si>
  <si>
    <t xml:space="preserve"> -  "Extremely Long Yagi Antennas", VHF Communications, 3/82; and</t>
  </si>
  <si>
    <t xml:space="preserve"> -  "Zelf Ontwerpen en Bouwen van VHF en UHF Antennes" (with PA0MS), VERON;</t>
  </si>
  <si>
    <t xml:space="preserve">   Original program by Jerry Haigwood KY4Z and Bob Stein, W6NBI 1983-86</t>
  </si>
  <si>
    <t xml:space="preserve">   Modifications by Ian White G3SEK 1986</t>
  </si>
  <si>
    <t xml:space="preserve">   Modifications recommended by DL6WU 1988</t>
  </si>
  <si>
    <t xml:space="preserve">   Modifications to reflector lengths (longer) 04/1989</t>
  </si>
  <si>
    <t xml:space="preserve">   PC version only -                                |</t>
  </si>
  <si>
    <t xml:space="preserve">      element spacings from table instead of formula  |</t>
  </si>
  <si>
    <t xml:space="preserve">      metric dimension changed to mm instead of cm,   |</t>
  </si>
  <si>
    <t xml:space="preserve">      menu selections by single keypress,             | G3SEK 06/89</t>
  </si>
  <si>
    <t xml:space="preserve">      screen preview of dimensions                    |</t>
  </si>
  <si>
    <t xml:space="preserve">      many line number changes                        |</t>
  </si>
  <si>
    <t>This is a spreadsheet to design DL6WU yagi antennas based on the following</t>
  </si>
  <si>
    <t xml:space="preserve"> references by Gunter Hoch, DL6WU:</t>
  </si>
  <si>
    <t xml:space="preserve">    and supplemented by direct information from DL6WU.</t>
  </si>
  <si>
    <t>This spreadsheet includes user functions written in VBA and derived</t>
  </si>
  <si>
    <t>from the program dl6wu-gg.bas on 17 July 2006. The following is the change</t>
  </si>
  <si>
    <t>history from that file:</t>
  </si>
  <si>
    <t xml:space="preserve">      Line 1250 corrected to show correct             |</t>
  </si>
  <si>
    <t xml:space="preserve">      electrical boom length in design summary        |</t>
  </si>
  <si>
    <t xml:space="preserve">      for Yagi's up to 14 elements.                   | GW7KYT 10/2000</t>
  </si>
  <si>
    <t xml:space="preserve">      Line 1522, reactance formula corrected          |</t>
  </si>
  <si>
    <t xml:space="preserve">      (-320 missing in original).                     |</t>
  </si>
  <si>
    <t xml:space="preserve">      Lines 1200-130 corrected correctly!             | G3SEK 09/2003</t>
  </si>
  <si>
    <t>The intention with this spreadsheet was to faithfully implement the</t>
  </si>
  <si>
    <t>algorithms and data from the program dl6wu-gg.bas which is believed</t>
  </si>
  <si>
    <t>This derivation is produced and published with permission of Ian White</t>
  </si>
  <si>
    <t>(G3SEK, GM3SEK).</t>
  </si>
  <si>
    <t xml:space="preserve">  1. You may copy and distribute verbatim copies of the Program's</t>
  </si>
  <si>
    <t>source code as you receive it, in any medium, provided that you</t>
  </si>
  <si>
    <t>conspicuously and appropriately publish on each copy an appropriate</t>
  </si>
  <si>
    <t>copyright notice and disclaimer of warranty; keep intact all the</t>
  </si>
  <si>
    <t>notices that refer to this License and to the absence of any warranty;</t>
  </si>
  <si>
    <t>and give any other recipients of the Program a copy of this License</t>
  </si>
  <si>
    <t>along with the Program.</t>
  </si>
  <si>
    <t>This program is free software; you can redistribute it and/or</t>
  </si>
  <si>
    <t>modify it under the terms of the GNU General Public License</t>
  </si>
  <si>
    <t>as published by the Free Software Foundation; either version 2</t>
  </si>
  <si>
    <t>of the License, or (at your option) any later version.</t>
  </si>
  <si>
    <t>This program is distributed in the hope that it will be useful,</t>
  </si>
  <si>
    <t>but WITHOUT ANY WARRANTY; without even the implied warranty of</t>
  </si>
  <si>
    <t>MERCHANTABILITY or FITNESS FOR A PARTICULAR PURPOSE.  See the</t>
  </si>
  <si>
    <t>GNU General Public License for more details.</t>
  </si>
  <si>
    <t>You should have received a copy of the GNU General Public License</t>
  </si>
  <si>
    <t>along with this program; if not, write to the Free Software</t>
  </si>
  <si>
    <t>Foundation, Inc., 51 Franklin Street, Fifth Floor, Boston, MA  02110-1301, USA.</t>
  </si>
  <si>
    <t>A spreadsheet to design DL6WU yagi antennas.</t>
  </si>
  <si>
    <t xml:space="preserve">                       Version 2, June 1991</t>
  </si>
  <si>
    <t xml:space="preserve"> Copyright (C) 1989, 1991 Free Software Foundation, Inc.,</t>
  </si>
  <si>
    <t xml:space="preserve"> 51 Franklin Street, Fifth Floor, Boston, MA 02110-1301 USA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</si>
  <si>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</si>
  <si>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</si>
  <si>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</si>
  <si>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licenses for most software are designed to take away your</t>
  </si>
  <si>
    <t>freedom to share and change it.  By contrast, the GNU General Public</t>
  </si>
  <si>
    <t>License is intended to guarantee your freedom to share and change free</t>
  </si>
  <si>
    <t>software--to make sure the software is free for all its users.  This</t>
  </si>
  <si>
    <t>General Public License applies to most of the Free Software</t>
  </si>
  <si>
    <t>Foundation's software and to any other program whose authors commit to</t>
  </si>
  <si>
    <t>using it.  (Some other Free Software Foundation software is covered by</t>
  </si>
  <si>
    <t>the GNU Lesser General Public License instead.)  You can apply it to</t>
  </si>
  <si>
    <t>your programs, too.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</si>
  <si>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</si>
  <si>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</si>
  <si>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</si>
  <si>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this service if you wish), that you receive source code or can get it</t>
  </si>
  <si>
    <t>if you want it, that you can change the software or use pieces of it</t>
  </si>
  <si>
    <t>in new free programs; and that you know you can do these things.</t>
  </si>
  <si>
    <t xml:space="preserve">  To protect your rights, we need to make restrictions that forbid</t>
  </si>
  <si>
    <t>anyone to deny you these rights or to ask you to surrender the rights.</t>
  </si>
  <si>
    <t>These restrictions translate to certain responsibilities for you if you</t>
  </si>
  <si>
    <t>distribute copies of the software, or if you modify it.</t>
  </si>
  <si>
    <t xml:space="preserve">  For example, if you distribute copies of such a program, whether</t>
  </si>
  <si>
    <t>gratis or for a fee, you must give the recipients all the rights that</t>
  </si>
  <si>
    <t>you have.  You must make sure that they, too, receive or can get the</t>
  </si>
  <si>
    <t>source code.  And you must show them these terms so they know their</t>
  </si>
  <si>
    <t>rights.</t>
  </si>
  <si>
    <t xml:space="preserve">  We protect your rights with two steps: (1) copyright the software, and</t>
  </si>
  <si>
    <t>(2) offer you this license which gives you legal permission to copy,</t>
  </si>
  <si>
    <t>distribute and/or modify the software.</t>
  </si>
  <si>
    <t xml:space="preserve">  Also, for each author's protection and ours, we want to make certain</t>
  </si>
  <si>
    <t>that everyone understands that there is no warranty for this free</t>
  </si>
  <si>
    <t>software.  If the software is modified by someone else and passed on, we</t>
  </si>
  <si>
    <t>want its recipients to know that what they have is not the original, so</t>
  </si>
  <si>
    <t>that any problems introduced by others will not reflect on the original</t>
  </si>
  <si>
    <t>authors' reputations.</t>
  </si>
  <si>
    <t xml:space="preserve">  Finally, any free program is threatened constantly by software</t>
  </si>
  <si>
    <t>patents.  We wish to avoid the danger that redistributors of a free</t>
  </si>
  <si>
    <t>program will individually obtain patent licenses, in effect making the</t>
  </si>
  <si>
    <t>program proprietary.  To prevent this, we have made it clear that any</t>
  </si>
  <si>
    <t>patent must be licensed for everyone's free use or not licensed at all.</t>
  </si>
  <si>
    <t xml:space="preserve">  The precise terms and conditions for copying, distribution and</t>
  </si>
  <si>
    <t>modification follow.</t>
  </si>
  <si>
    <t xml:space="preserve">                    GNU GENERAL PUBLIC LICENSE</t>
  </si>
  <si>
    <t xml:space="preserve">   TERMS AND CONDITIONS FOR COPYING, DISTRIBUTION AND MODIFICATION</t>
  </si>
  <si>
    <t xml:space="preserve">  0. This License applies to any program or other work which contains</t>
  </si>
  <si>
    <t>a notice placed by the copyright holder saying it may be distributed</t>
  </si>
  <si>
    <t>under the terms of this General Public License.  The "Program", below,</t>
  </si>
  <si>
    <t>refers to any such program or work, and a "work based on the Program"</t>
  </si>
  <si>
    <t>means either the Program or any derivative work under copyright law:</t>
  </si>
  <si>
    <t>that is to say, a work containing the Program or a portion of it,</t>
  </si>
  <si>
    <t>either verbatim or with modifications and/or translated into another</t>
  </si>
  <si>
    <t>language.  (Hereinafter, translation is included without limitation in</t>
  </si>
  <si>
    <t>the term "modification".)  Each licensee is addressed as "you".</t>
  </si>
  <si>
    <t>Activities other than copying, distribution and modification are not</t>
  </si>
  <si>
    <t>covered by this License; they are outside its scope.  The act of</t>
  </si>
  <si>
    <t>running the Program is not restricted, and the output from the Program</t>
  </si>
  <si>
    <t>is covered only if its contents constitute a work based on the</t>
  </si>
  <si>
    <t>Program (independent of having been made by running the Program).</t>
  </si>
  <si>
    <t>Whether that is true depends on what the Program does.</t>
  </si>
  <si>
    <t>You may charge a fee for the physical act of transferring a copy, and</t>
  </si>
  <si>
    <t>you may at your option offer warranty protection in exchange for a fee.</t>
  </si>
  <si>
    <t xml:space="preserve">  2. You may modify your copy or copies of the Program or any portion</t>
  </si>
  <si>
    <t>of it, thus forming a work based on the Program, and copy and</t>
  </si>
  <si>
    <t>distribute such modifications or work under the terms of Section 1</t>
  </si>
  <si>
    <t>above, provided that you also meet all of these conditions:</t>
  </si>
  <si>
    <t xml:space="preserve">    a) You must cause the modified files to carry prominent notices</t>
  </si>
  <si>
    <t xml:space="preserve">    stating that you changed the files and the date of any change.</t>
  </si>
  <si>
    <t xml:space="preserve">    b) You must cause any work that you distribute or publish, that in</t>
  </si>
  <si>
    <t xml:space="preserve">    whole or in part contains or is derived from the Program or any</t>
  </si>
  <si>
    <t xml:space="preserve">    part thereof, to be licensed as a whole at no charge to all third</t>
  </si>
  <si>
    <t xml:space="preserve">    parties under the terms of this License.</t>
  </si>
  <si>
    <t xml:space="preserve">    c) If the modified program normally reads commands interactively</t>
  </si>
  <si>
    <t xml:space="preserve">    when run, you must cause it, when started running for such</t>
  </si>
  <si>
    <t xml:space="preserve">    interactive use in the most ordinary way, to print or display an</t>
  </si>
  <si>
    <t xml:space="preserve">    announcement including an appropriate copyright notice and a</t>
  </si>
  <si>
    <t xml:space="preserve">    notice that there is no warranty (or else, saying that you provide</t>
  </si>
  <si>
    <t xml:space="preserve">    a warranty) and that users may redistribute the program under</t>
  </si>
  <si>
    <t xml:space="preserve">    these conditions, and telling the user how to view a copy of this</t>
  </si>
  <si>
    <t xml:space="preserve">    License.  (Exception: if the Program itself is interactive but</t>
  </si>
  <si>
    <t xml:space="preserve">    does not normally print such an announcement, your work based on</t>
  </si>
  <si>
    <t xml:space="preserve">    the Program is not required to print an announcement.)</t>
  </si>
  <si>
    <t>These requirements apply to the modified work as a whole.  If</t>
  </si>
  <si>
    <t>identifiable sections of that work are not derived from the Program,</t>
  </si>
  <si>
    <t>and can be reasonably considered independent and separate works in</t>
  </si>
  <si>
    <t>themselves, then this License, and its terms, do not apply to those</t>
  </si>
  <si>
    <t>sections when you distribute them as separate works.  But when you</t>
  </si>
  <si>
    <t>distribute the same sections as part of a whole which is a work based</t>
  </si>
  <si>
    <t>on the Program, the distribution of the whole must be on the terms of</t>
  </si>
  <si>
    <t>this License, whose permissions for other licensees extend to the</t>
  </si>
  <si>
    <t>entire whole, and thus to each and every part regardless of who wrote it.</t>
  </si>
  <si>
    <t>Thus, it is not the intent of this section to claim rights or contest</t>
  </si>
  <si>
    <t>your rights to work written entirely by you; rather, the intent is to</t>
  </si>
  <si>
    <t>exercise the right to control the distribution of derivative or</t>
  </si>
  <si>
    <t>collective works based on the Program.</t>
  </si>
  <si>
    <t>In addition, mere aggregation of another work not based on the Program</t>
  </si>
  <si>
    <t>with the Program (or with a work based on the Program) on a volume of</t>
  </si>
  <si>
    <t>a storage or distribution medium does not bring the other work under</t>
  </si>
  <si>
    <t>the scope of this License.</t>
  </si>
  <si>
    <t xml:space="preserve">  3. You may copy and distribute the Program (or a work based on it,</t>
  </si>
  <si>
    <t>under Section 2) in object code or executable form under the terms of</t>
  </si>
  <si>
    <t>Sections 1 and 2 above provided that you also do one of the following:</t>
  </si>
  <si>
    <t xml:space="preserve">    a) Accompany it with the complete corresponding machine-readable</t>
  </si>
  <si>
    <t xml:space="preserve">    source code, which must be distributed under the terms of Sections</t>
  </si>
  <si>
    <t xml:space="preserve">    1 and 2 above on a medium customarily used for software interchange; or,</t>
  </si>
  <si>
    <t xml:space="preserve">    b) Accompany it with a written offer, valid for at least three</t>
  </si>
  <si>
    <t xml:space="preserve">    years, to give any third party, for a charge no more than your</t>
  </si>
  <si>
    <t xml:space="preserve">    cost of physically performing source distribution, a complete</t>
  </si>
  <si>
    <t xml:space="preserve">    machine-readable copy of the corresponding source code, to be</t>
  </si>
  <si>
    <t xml:space="preserve">    distributed under the terms of Sections 1 and 2 above on a medium</t>
  </si>
  <si>
    <t xml:space="preserve">    customarily used for software interchange; or,</t>
  </si>
  <si>
    <t xml:space="preserve">    c) Accompany it with the information you received as to the offer</t>
  </si>
  <si>
    <t xml:space="preserve">    to distribute corresponding source code.  (This alternative is</t>
  </si>
  <si>
    <t xml:space="preserve">    allowed only for noncommercial distribution and only if you</t>
  </si>
  <si>
    <t xml:space="preserve">    received the program in object code or executable form with such</t>
  </si>
  <si>
    <t xml:space="preserve">    an offer, in accord with Subsection b above.)</t>
  </si>
  <si>
    <t>The source code for a work means the preferred form of the work for</t>
  </si>
  <si>
    <t>making modifications to it.  For an executable work, complete source</t>
  </si>
  <si>
    <t>code means all the source code for all modules it contains, plus any</t>
  </si>
  <si>
    <t>associated interface definition files, plus the scripts used to</t>
  </si>
  <si>
    <t>control compilation and installation of the executable.  However, as a</t>
  </si>
  <si>
    <t>special exception, the source code distributed need not include</t>
  </si>
  <si>
    <t>anything that is normally distributed (in either source or binary</t>
  </si>
  <si>
    <t>form) with the major components (compiler, kernel, and so on) of the</t>
  </si>
  <si>
    <t>operating system on which the executable runs, unless that component</t>
  </si>
  <si>
    <t>itself accompanies the executable.</t>
  </si>
  <si>
    <t>If distribution of executable or object code is made by offering</t>
  </si>
  <si>
    <t>access to copy from a designated place, then offering equivalent</t>
  </si>
  <si>
    <t>access to copy the source code from the same place counts as</t>
  </si>
  <si>
    <t>distribution of the source code, even though third parties are not</t>
  </si>
  <si>
    <t>compelled to copy the source along with the object code.</t>
  </si>
  <si>
    <t xml:space="preserve">  4. You may not copy, modify, sublicense, or distribute the Program</t>
  </si>
  <si>
    <t>except as expressly provided under this License.  Any attempt</t>
  </si>
  <si>
    <t>otherwise to copy, modify, sublicense or distribute the Program is</t>
  </si>
  <si>
    <t>void, and will automatically terminate your rights under this License.</t>
  </si>
  <si>
    <t>However, parties who have received copies, or rights, from you under</t>
  </si>
  <si>
    <t>this License will not have their licenses terminated so long as such</t>
  </si>
  <si>
    <t>parties remain in full compliance.</t>
  </si>
  <si>
    <t xml:space="preserve">  5. You are not required to accept this License, since you have not</t>
  </si>
  <si>
    <t>signed it.  However, nothing else grants you permission to modify or</t>
  </si>
  <si>
    <t>distribute the Program or its derivative works.  These actions are</t>
  </si>
  <si>
    <t>prohibited by law if you do not accept this License.  Therefore, by</t>
  </si>
  <si>
    <t>modifying or distributing the Program (or any work based on the</t>
  </si>
  <si>
    <t>Program), you indicate your acceptance of this License to do so, and</t>
  </si>
  <si>
    <t>all its terms and conditions for copying, distributing or modifying</t>
  </si>
  <si>
    <t>the Program or works based on it.</t>
  </si>
  <si>
    <t xml:space="preserve">  6. Each time you redistribute the Program (or any work based on the</t>
  </si>
  <si>
    <t>Program), the recipient automatically receives a license from the</t>
  </si>
  <si>
    <t>original licensor to copy, distribute or modify the Program subject to</t>
  </si>
  <si>
    <t>these terms and conditions.  You may not impose any further</t>
  </si>
  <si>
    <t>restrictions on the recipients' exercise of the rights granted herein.</t>
  </si>
  <si>
    <t>You are not responsible for enforcing compliance by third parties to</t>
  </si>
  <si>
    <t>this License.</t>
  </si>
  <si>
    <t xml:space="preserve">  7. If, as a consequence of a court judgment or allegation of patent</t>
  </si>
  <si>
    <t>infringement or for any other reason (not limited to patent issues),</t>
  </si>
  <si>
    <t>conditions are imposed on you (whether by court order, agreement or</t>
  </si>
  <si>
    <t>otherwise) that contradict the conditions of this License, they do not</t>
  </si>
  <si>
    <t>excuse you from the conditions of this License.  If you cannot</t>
  </si>
  <si>
    <t>distribute so as to satisfy simultaneously your obligations under this</t>
  </si>
  <si>
    <t>License and any other pertinent obligations, then as a consequence you</t>
  </si>
  <si>
    <t>may not distribute the Program at all.  For example, if a patent</t>
  </si>
  <si>
    <t>license would not permit royalty-free redistribution of the Program by</t>
  </si>
  <si>
    <t>all those who receive copies directly or indirectly through you, then</t>
  </si>
  <si>
    <t>the only way you could satisfy both it and this License would be to</t>
  </si>
  <si>
    <t>refrain entirely from distribution of the Program.</t>
  </si>
  <si>
    <t>If any portion of this section is held invalid or unenforceable under</t>
  </si>
  <si>
    <t>any particular circumstance, the balance of the section is intended to</t>
  </si>
  <si>
    <t>apply and the section as a whole is intended to apply in other</t>
  </si>
  <si>
    <t>circumstances.</t>
  </si>
  <si>
    <t>It is not the purpose of this section to induce you to infringe any</t>
  </si>
  <si>
    <t>patents or other property right claims or to contest validity of any</t>
  </si>
  <si>
    <t>such claims; this section has the sole purpose of protecting the</t>
  </si>
  <si>
    <t>integrity of the free software distribution system, which is</t>
  </si>
  <si>
    <t>implemented by public license practices.  Many people have made</t>
  </si>
  <si>
    <t>generous contributions to the wide range of software distributed</t>
  </si>
  <si>
    <t>through that system in reliance on consistent application of that</t>
  </si>
  <si>
    <t>system; it is up to the author/donor to decide if he or she is willing</t>
  </si>
  <si>
    <t>to distribute software through any other system and a licensee cannot</t>
  </si>
  <si>
    <t>impose that choice.</t>
  </si>
  <si>
    <t>This section is intended to make thoroughly clear what is believed to</t>
  </si>
  <si>
    <t>be a consequence of the rest of this License.</t>
  </si>
  <si>
    <t xml:space="preserve">  8. If the distribution and/or use of the Program is restricted in</t>
  </si>
  <si>
    <t>certain countries either by patents or by copyrighted interfaces, the</t>
  </si>
  <si>
    <t>original copyright holder who places the Program under this License</t>
  </si>
  <si>
    <t>may add an explicit geographical distribution limitation excluding</t>
  </si>
  <si>
    <t>those countries, so that distribution is permitted only in or among</t>
  </si>
  <si>
    <t>countries not thus excluded.  In such case, this License incorporates</t>
  </si>
  <si>
    <t>the limitation as if written in the body of this License.</t>
  </si>
  <si>
    <t xml:space="preserve">  9. The Free Software Foundation may publish revised and/or new versions</t>
  </si>
  <si>
    <t>of the General Public License from time to time.  Such new versions will</t>
  </si>
  <si>
    <t>be similar in spirit to the present version, but may differ in detail to</t>
  </si>
  <si>
    <t>address new problems or concerns.</t>
  </si>
  <si>
    <t>Each version is given a distinguishing version number.  If the Program</t>
  </si>
  <si>
    <t>specifies a version number of this License which applies to it and "any</t>
  </si>
  <si>
    <t>later version", you have the option of following the terms and conditions</t>
  </si>
  <si>
    <t>either of that version or of any later version published by the Free</t>
  </si>
  <si>
    <t>Software Foundation.  If the Program does not specify a version number of</t>
  </si>
  <si>
    <t>this License, you may choose any version ever published by the Free Software</t>
  </si>
  <si>
    <t>Foundation.</t>
  </si>
  <si>
    <t xml:space="preserve">  10. If you wish to incorporate parts of the Program into other free</t>
  </si>
  <si>
    <t>programs whose distribution conditions are different, write to the author</t>
  </si>
  <si>
    <t>to ask for permission.  For software which is copyrighted by the Free</t>
  </si>
  <si>
    <t>Software Foundation, write to the Free Software Foundation; we sometimes</t>
  </si>
  <si>
    <t>make exceptions for this.  Our decision will be guided by the two goals</t>
  </si>
  <si>
    <t>of preserving the free status of all derivatives of our free software and</t>
  </si>
  <si>
    <t>of promoting the sharing and reuse of software generally.</t>
  </si>
  <si>
    <t xml:space="preserve">                            NO WARRANTY</t>
  </si>
  <si>
    <t xml:space="preserve">  11. BECAUSE THE PROGRAM IS LICENSED FREE OF CHARGE, THERE IS NO WARRANTY</t>
  </si>
  <si>
    <t>FOR THE PROGRAM, TO THE EXTENT PERMITTED BY APPLICABLE LAW.  EXCEPT WHEN</t>
  </si>
  <si>
    <t>OTHERWISE STATED IN WRITING THE COPYRIGHT HOLDERS AND/OR OTHER PARTIES</t>
  </si>
  <si>
    <t>PROVIDE THE PROGRAM "AS IS" WITHOUT WARRANTY OF ANY KIND, EITHER EXPRESSED</t>
  </si>
  <si>
    <t>OR IMPLIED, INCLUDING, BUT NOT LIMITED TO, THE IMPLIED WARRANTIES OF</t>
  </si>
  <si>
    <t>MERCHANTABILITY AND FITNESS FOR A PARTICULAR PURPOSE.  THE ENTIRE RISK AS</t>
  </si>
  <si>
    <t>TO THE QUALITY AND PERFORMANCE OF THE PROGRAM IS WITH YOU.  SHOULD THE</t>
  </si>
  <si>
    <t>PROGRAM PROVE DEFECTIVE, YOU ASSUME THE COST OF ALL NECESSARY SERVICING,</t>
  </si>
  <si>
    <t>REPAIR OR CORRECTION.</t>
  </si>
  <si>
    <t xml:space="preserve">  12. IN NO EVENT UNLESS REQUIRED BY APPLICABLE LAW OR AGREED TO IN WRITING</t>
  </si>
  <si>
    <t>WILL ANY COPYRIGHT HOLDER, OR ANY OTHER PARTY WHO MAY MODIFY AND/OR</t>
  </si>
  <si>
    <t>REDISTRIBUTE THE PROGRAM AS PERMITTED ABOVE, BE LIABLE TO YOU FOR DAMAGES,</t>
  </si>
  <si>
    <t>INCLUDING ANY GENERAL, SPECIAL, INCIDENTAL OR CONSEQUENTIAL DAMAGES ARISING</t>
  </si>
  <si>
    <t>OUT OF THE USE OR INABILITY TO USE THE PROGRAM (INCLUDING BUT NOT LIMITED</t>
  </si>
  <si>
    <t>TO LOSS OF DATA OR DATA BEING RENDERED INACCURATE OR LOSSES SUSTAINED BY</t>
  </si>
  <si>
    <t>YOU OR THIRD PARTIES OR A FAILURE OF THE PROGRAM TO OPERATE WITH ANY OTHER</t>
  </si>
  <si>
    <t>PROGRAMS), EVEN IF SUCH HOLDER OR OTHER PARTY HAS BEEN ADVISED OF THE</t>
  </si>
  <si>
    <t>POSSIBILITY OF SUCH DAMAGES.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</si>
  <si>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</si>
  <si>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</si>
  <si>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</si>
  <si>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</si>
  <si>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</si>
  <si>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</si>
  <si>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</si>
  <si>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convey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</si>
  <si>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</si>
  <si>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</si>
  <si>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</si>
  <si>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software; you can redistribute it and/or modify</t>
  </si>
  <si>
    <t xml:space="preserve">    it under the terms of the GNU General Public License as published by</t>
  </si>
  <si>
    <t xml:space="preserve">    the Free Software Foundation; either version 2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</si>
  <si>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</si>
  <si>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</si>
  <si>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</si>
  <si>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</si>
  <si>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</si>
  <si>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 along</t>
  </si>
  <si>
    <t xml:space="preserve">    with this program; if not, write to the Free Software Foundation, Inc.,</t>
  </si>
  <si>
    <t xml:space="preserve">    51 Franklin Street, Fifth Floor, Boston, MA 02110-1301 USA.</t>
  </si>
  <si>
    <t>Also add information on how to contact you by electronic and paper mail.</t>
  </si>
  <si>
    <t>If the program is interactive, make it output a short notice like this</t>
  </si>
  <si>
    <t>when it starts in an interactive mode:</t>
  </si>
  <si>
    <t xml:space="preserve">    Gnomovision version 69, Copyright (C) year name of author</t>
  </si>
  <si>
    <t xml:space="preserve">    Gnomovision comes with ABSOLUTELY NO WARRANTY; for details type `show w'.</t>
  </si>
  <si>
    <t xml:space="preserve">    This is free software, and you are welcome to redistribute it</t>
  </si>
  <si>
    <t xml:space="preserve">    under certain conditions; type `show c' for details.</t>
  </si>
  <si>
    <t>The hypothetical commands `show w' and `show c' should show the appropriate</t>
  </si>
  <si>
    <t>parts of the General Public License.  Of course, the commands you use may</t>
  </si>
  <si>
    <t>be called something other than `show w' and `show c'; they could even be</t>
  </si>
  <si>
    <t>mouse-clicks or menu items--whatever suits your program.</t>
  </si>
  <si>
    <t>You should also get your employer (if you work as a programmer) or your</t>
  </si>
  <si>
    <t>school, if any, to sign a "copyright disclaimer" for the program, if</t>
  </si>
  <si>
    <t>necessary.  Here is a sample; alter the names:</t>
  </si>
  <si>
    <t xml:space="preserve">  Yoyodyne, Inc., hereby disclaims all copyright interest in the program</t>
  </si>
  <si>
    <t xml:space="preserve">  `Gnomovision' (which makes passes at compilers) written by James Hacker.</t>
  </si>
  <si>
    <t xml:space="preserve">  &lt;signature of Ty Coon&gt;, 1 April 1989</t>
  </si>
  <si>
    <t xml:space="preserve">  Ty Coon, President of Vice</t>
  </si>
  <si>
    <t>This General Public License does not permit incorporating your program into</t>
  </si>
  <si>
    <t>proprietary programs.  If your program is a subroutine library, you may</t>
  </si>
  <si>
    <t>consider it more useful to permit linking proprietary applications with the</t>
  </si>
  <si>
    <t>library.  If this is what you want to do, use the GNU Lesser General</t>
  </si>
  <si>
    <t>Public License instead of this License.</t>
  </si>
  <si>
    <t>Copyright (C) 2006 Owen Duffy.</t>
  </si>
  <si>
    <t>Licence</t>
  </si>
  <si>
    <t>Change history:</t>
  </si>
  <si>
    <t>V1.01 2006-06-17 OD Initial derived from dl6wu-gg.bas.</t>
  </si>
  <si>
    <t>Please notify defects to owen@vk1od.net.</t>
  </si>
  <si>
    <t>Bonded</t>
  </si>
  <si>
    <t>Boom correction (B/I/N)</t>
  </si>
  <si>
    <t>Reflector offset</t>
  </si>
  <si>
    <t>to best capture Guenter Hoch's design concepts.</t>
  </si>
  <si>
    <t>Download current version from:</t>
  </si>
  <si>
    <t>DL6WU-OD.xlt</t>
  </si>
  <si>
    <t>Stacking dist - H plane</t>
  </si>
  <si>
    <t>Stacking dist - E plane</t>
  </si>
  <si>
    <t>Beamwidth - E plane</t>
  </si>
  <si>
    <t>Beamwidth - H plane</t>
  </si>
  <si>
    <t>DL6WU</t>
  </si>
  <si>
    <t>Stacking dist - method</t>
  </si>
  <si>
    <t>V1.02 2006-06-21 OD Function names prefixed to be unique in a wider context, field labels edited. 2006-06-17 OD Initial derived from dl6wu-gg.bas.</t>
  </si>
  <si>
    <t>V1.03 2006-06-22 OD Added choice of method for calculation of suggested stacking distance for two Yagis, related functions renamed, model sheets edited for new field.</t>
  </si>
  <si>
    <t>V1.04 2006-06-23 OD Relabelled choice of method for calculation of suggested stacking distance for two Yagis.</t>
  </si>
  <si>
    <t>V2.01 2006-06-30 OD Uses VK1OD's regression for estimating beamwidth from gain, DL6WU formula for optimum stacking distance from beamwidth.</t>
  </si>
  <si>
    <t>Dimensional 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</si>
</sst>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2" formatCode="0.0"/>
    <numFmt numFmtId="173" formatCode="0.000"/>
    <numFmt numFmtId="177" formatCode="0.0000"/>
    <numFmt numFmtId="183" formatCode="d\-mmm\-yyyy"/>
  </numFmts>
  <fonts count="12" x14ac:knownFonts="1">
    <font>
      <sz val="10"/>
      <name val="Arial"/>
    </font>
    <font>
      <b/>
      <sz val="10"/>
      <name val="Arial"/>
      <family val="2"/>
    </font>
    <font>
      <b/>
      <sz val="24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10"/>
      <name val="Courier New"/>
      <family val="3"/>
    </font>
    <font>
      <sz val="10"/>
      <name val="Arial Unicode MS"/>
      <family val="2"/>
    </font>
    <font>
      <sz val="9"/>
      <name val="Courier"/>
      <family val="3"/>
    </font>
    <font>
      <sz val="9"/>
      <name val="Courier New"/>
      <family val="3"/>
    </font>
    <font>
      <sz val="9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172" fontId="0" fillId="0" borderId="0" xfId="0" applyNumberFormat="1"/>
    <xf numFmtId="1" fontId="0" fillId="0" borderId="0" xfId="0" applyNumberFormat="1"/>
    <xf numFmtId="172" fontId="0" fillId="2" borderId="1" xfId="0" applyNumberFormat="1" applyFill="1" applyBorder="1"/>
    <xf numFmtId="1" fontId="0" fillId="2" borderId="0" xfId="0" applyNumberFormat="1" applyFill="1"/>
    <xf numFmtId="172" fontId="0" fillId="2" borderId="0" xfId="0" applyNumberFormat="1" applyFill="1"/>
    <xf numFmtId="11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NumberFormat="1" applyFill="1" applyBorder="1"/>
    <xf numFmtId="0" fontId="0" fillId="3" borderId="0" xfId="0" applyFill="1" applyAlignment="1" applyProtection="1">
      <alignment horizontal="right"/>
      <protection locked="0"/>
    </xf>
    <xf numFmtId="172" fontId="0" fillId="3" borderId="0" xfId="0" applyNumberFormat="1" applyFill="1" applyProtection="1">
      <protection locked="0"/>
    </xf>
    <xf numFmtId="0" fontId="0" fillId="3" borderId="0" xfId="0" applyFill="1" applyProtection="1">
      <protection locked="0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173" fontId="0" fillId="0" borderId="9" xfId="0" applyNumberFormat="1" applyBorder="1"/>
    <xf numFmtId="173" fontId="0" fillId="0" borderId="10" xfId="0" applyNumberFormat="1" applyBorder="1"/>
    <xf numFmtId="1" fontId="0" fillId="0" borderId="11" xfId="0" applyNumberFormat="1" applyBorder="1"/>
    <xf numFmtId="0" fontId="0" fillId="0" borderId="8" xfId="0" applyBorder="1" applyAlignment="1">
      <alignment horizontal="right"/>
    </xf>
    <xf numFmtId="0" fontId="0" fillId="0" borderId="10" xfId="0" applyBorder="1" applyAlignment="1">
      <alignment horizontal="right"/>
    </xf>
    <xf numFmtId="177" fontId="0" fillId="2" borderId="7" xfId="0" applyNumberFormat="1" applyFill="1" applyBorder="1"/>
    <xf numFmtId="177" fontId="0" fillId="2" borderId="0" xfId="0" applyNumberFormat="1" applyFill="1" applyBorder="1"/>
    <xf numFmtId="1" fontId="0" fillId="0" borderId="5" xfId="0" applyNumberFormat="1" applyBorder="1"/>
    <xf numFmtId="0" fontId="3" fillId="0" borderId="9" xfId="0" applyFont="1" applyBorder="1"/>
    <xf numFmtId="0" fontId="3" fillId="0" borderId="10" xfId="0" applyFont="1" applyBorder="1"/>
    <xf numFmtId="0" fontId="0" fillId="0" borderId="10" xfId="0" applyBorder="1"/>
    <xf numFmtId="0" fontId="3" fillId="0" borderId="11" xfId="0" applyFont="1" applyBorder="1"/>
    <xf numFmtId="173" fontId="0" fillId="0" borderId="0" xfId="0" applyNumberFormat="1" applyBorder="1"/>
    <xf numFmtId="1" fontId="4" fillId="0" borderId="0" xfId="0" applyNumberFormat="1" applyFont="1"/>
    <xf numFmtId="172" fontId="4" fillId="0" borderId="0" xfId="0" applyNumberFormat="1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1" applyNumberFormat="1" applyAlignment="1" applyProtection="1"/>
    <xf numFmtId="183" fontId="0" fillId="0" borderId="0" xfId="0" applyNumberFormat="1" applyAlignment="1">
      <alignment horizontal="left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top" wrapText="1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0" xfId="0" applyFill="1" applyAlignment="1" applyProtection="1">
      <alignment horizontal="left"/>
      <protection locked="0"/>
    </xf>
    <xf numFmtId="0" fontId="0" fillId="0" borderId="7" xfId="0" applyBorder="1" applyAlignment="1">
      <alignment horizontal="center"/>
    </xf>
  </cellXfs>
  <cellStyles count="2">
    <cellStyle name="Hyperlink" xfId="1" builtinId="8"/>
    <cellStyle name="Normal" xfId="0" builtinId="0"/>
  </cellStyles>
  <dxfs count="4">
    <dxf>
      <fill>
        <patternFill>
          <bgColor indexed="33"/>
        </patternFill>
      </fill>
    </dxf>
    <dxf>
      <fill>
        <patternFill>
          <bgColor indexed="33"/>
        </patternFill>
      </fill>
    </dxf>
    <dxf>
      <fill>
        <patternFill>
          <bgColor indexed="33"/>
        </patternFill>
      </fill>
    </dxf>
    <dxf>
      <fill>
        <patternFill>
          <bgColor indexed="3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Gain vs boom length</a:t>
            </a:r>
          </a:p>
        </c:rich>
      </c:tx>
      <c:layout>
        <c:manualLayout>
          <c:xMode val="edge"/>
          <c:yMode val="edge"/>
          <c:x val="0.37015573930274065"/>
          <c:y val="3.18628213628345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53514779998599"/>
          <c:y val="0.16666706559021138"/>
          <c:w val="0.72286958513048305"/>
          <c:h val="0.651962344808768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Model!$K$16</c:f>
              <c:strCache>
                <c:ptCount val="1"/>
                <c:pt idx="0">
                  <c:v>Gain (dBi)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Model!$J$17:$J$27</c:f>
              <c:numCache>
                <c:formatCode>0</c:formatCode>
                <c:ptCount val="11"/>
                <c:pt idx="0">
                  <c:v>4476.5419206283605</c:v>
                </c:pt>
                <c:pt idx="1">
                  <c:v>6012.4727691666913</c:v>
                </c:pt>
                <c:pt idx="2">
                  <c:v>8075.3915502028231</c:v>
                </c:pt>
                <c:pt idx="3">
                  <c:v>10846.111274467417</c:v>
                </c:pt>
                <c:pt idx="4">
                  <c:v>14567.483080764618</c:v>
                </c:pt>
                <c:pt idx="5">
                  <c:v>19565.681923983753</c:v>
                </c:pt>
                <c:pt idx="6">
                  <c:v>26278.795522061526</c:v>
                </c:pt>
                <c:pt idx="7">
                  <c:v>35295.22235786778</c:v>
                </c:pt>
                <c:pt idx="8">
                  <c:v>47405.244286995498</c:v>
                </c:pt>
                <c:pt idx="9">
                  <c:v>63670.294045017523</c:v>
                </c:pt>
                <c:pt idx="10">
                  <c:v>80616.73940499693</c:v>
                </c:pt>
              </c:numCache>
            </c:numRef>
          </c:xVal>
          <c:yVal>
            <c:numRef>
              <c:f>Model!$K$17:$K$27</c:f>
              <c:numCache>
                <c:formatCode>General</c:formatCode>
                <c:ptCount val="11"/>
                <c:pt idx="0">
                  <c:v>13.950000000000001</c:v>
                </c:pt>
                <c:pt idx="1">
                  <c:v>14.950000000000001</c:v>
                </c:pt>
                <c:pt idx="2">
                  <c:v>15.950000000000001</c:v>
                </c:pt>
                <c:pt idx="3">
                  <c:v>16.950000000000003</c:v>
                </c:pt>
                <c:pt idx="4">
                  <c:v>17.950000000000003</c:v>
                </c:pt>
                <c:pt idx="5">
                  <c:v>18.950000000000003</c:v>
                </c:pt>
                <c:pt idx="6">
                  <c:v>19.950000000000003</c:v>
                </c:pt>
                <c:pt idx="7">
                  <c:v>20.950000000000003</c:v>
                </c:pt>
                <c:pt idx="8">
                  <c:v>21.950000000000003</c:v>
                </c:pt>
                <c:pt idx="9">
                  <c:v>22.950000000000003</c:v>
                </c:pt>
                <c:pt idx="10">
                  <c:v>23.75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790536"/>
        <c:axId val="763787792"/>
      </c:scatterChart>
      <c:valAx>
        <c:axId val="76379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Boom length</a:t>
                </a:r>
              </a:p>
            </c:rich>
          </c:tx>
          <c:layout>
            <c:manualLayout>
              <c:xMode val="edge"/>
              <c:yMode val="edge"/>
              <c:x val="0.39922556176107105"/>
              <c:y val="0.90686491571144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87792"/>
        <c:crosses val="autoZero"/>
        <c:crossBetween val="midCat"/>
      </c:valAx>
      <c:valAx>
        <c:axId val="763787792"/>
        <c:scaling>
          <c:orientation val="minMax"/>
          <c:max val="24"/>
          <c:min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Gain (dBi)</a:t>
                </a:r>
              </a:p>
            </c:rich>
          </c:tx>
          <c:layout>
            <c:manualLayout>
              <c:xMode val="edge"/>
              <c:yMode val="edge"/>
              <c:x val="1.7441893474998249E-2"/>
              <c:y val="0.3946087876474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905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Gain vs boom length</a:t>
            </a:r>
          </a:p>
        </c:rich>
      </c:tx>
      <c:layout>
        <c:manualLayout>
          <c:xMode val="edge"/>
          <c:yMode val="edge"/>
          <c:x val="0.36599999999999999"/>
          <c:y val="3.18628213628345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99999999999999"/>
          <c:y val="0.16666706559021138"/>
          <c:w val="0.71599999999999997"/>
          <c:h val="0.651962344808768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'Model-large'!$K$16</c:f>
              <c:strCache>
                <c:ptCount val="1"/>
                <c:pt idx="0">
                  <c:v>Gain (dBi)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'Model-large'!$J$17:$J$27</c:f>
              <c:numCache>
                <c:formatCode>0</c:formatCode>
                <c:ptCount val="11"/>
                <c:pt idx="0">
                  <c:v>4476.5419206283605</c:v>
                </c:pt>
                <c:pt idx="1">
                  <c:v>6012.4727691666913</c:v>
                </c:pt>
                <c:pt idx="2">
                  <c:v>8075.3915502028231</c:v>
                </c:pt>
                <c:pt idx="3">
                  <c:v>10846.111274467417</c:v>
                </c:pt>
                <c:pt idx="4">
                  <c:v>14567.483080764618</c:v>
                </c:pt>
                <c:pt idx="5">
                  <c:v>19565.681923983753</c:v>
                </c:pt>
                <c:pt idx="6">
                  <c:v>26278.795522061526</c:v>
                </c:pt>
                <c:pt idx="7">
                  <c:v>35295.22235786778</c:v>
                </c:pt>
                <c:pt idx="8">
                  <c:v>47405.244286995498</c:v>
                </c:pt>
                <c:pt idx="9">
                  <c:v>63670.294045017523</c:v>
                </c:pt>
                <c:pt idx="10">
                  <c:v>80616.73940499693</c:v>
                </c:pt>
              </c:numCache>
            </c:numRef>
          </c:xVal>
          <c:yVal>
            <c:numRef>
              <c:f>'Model-large'!$K$17:$K$27</c:f>
              <c:numCache>
                <c:formatCode>General</c:formatCode>
                <c:ptCount val="11"/>
                <c:pt idx="0">
                  <c:v>13.950000000000001</c:v>
                </c:pt>
                <c:pt idx="1">
                  <c:v>14.950000000000001</c:v>
                </c:pt>
                <c:pt idx="2">
                  <c:v>15.950000000000001</c:v>
                </c:pt>
                <c:pt idx="3">
                  <c:v>16.950000000000003</c:v>
                </c:pt>
                <c:pt idx="4">
                  <c:v>17.950000000000003</c:v>
                </c:pt>
                <c:pt idx="5">
                  <c:v>18.950000000000003</c:v>
                </c:pt>
                <c:pt idx="6">
                  <c:v>19.950000000000003</c:v>
                </c:pt>
                <c:pt idx="7">
                  <c:v>20.950000000000003</c:v>
                </c:pt>
                <c:pt idx="8">
                  <c:v>21.950000000000003</c:v>
                </c:pt>
                <c:pt idx="9">
                  <c:v>22.950000000000003</c:v>
                </c:pt>
                <c:pt idx="10">
                  <c:v>23.75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792496"/>
        <c:axId val="763788968"/>
      </c:scatterChart>
      <c:valAx>
        <c:axId val="763792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Boom length</a:t>
                </a:r>
              </a:p>
            </c:rich>
          </c:tx>
          <c:layout>
            <c:manualLayout>
              <c:xMode val="edge"/>
              <c:yMode val="edge"/>
              <c:x val="0.39800000000000002"/>
              <c:y val="0.90686491571144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88968"/>
        <c:crosses val="autoZero"/>
        <c:crossBetween val="midCat"/>
      </c:valAx>
      <c:valAx>
        <c:axId val="763788968"/>
        <c:scaling>
          <c:orientation val="minMax"/>
          <c:max val="24"/>
          <c:min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Gain (dBi)</a:t>
                </a:r>
              </a:p>
            </c:rich>
          </c:tx>
          <c:layout>
            <c:manualLayout>
              <c:xMode val="edge"/>
              <c:yMode val="edge"/>
              <c:x val="1.7999999999999999E-2"/>
              <c:y val="0.3946087876474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924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16</xdr:col>
      <xdr:colOff>0</xdr:colOff>
      <xdr:row>39</xdr:row>
      <xdr:rowOff>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16</xdr:col>
      <xdr:colOff>0</xdr:colOff>
      <xdr:row>39</xdr:row>
      <xdr:rowOff>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7"/>
  <sheetViews>
    <sheetView tabSelected="1" workbookViewId="0">
      <selection activeCell="B24" sqref="B24"/>
    </sheetView>
  </sheetViews>
  <sheetFormatPr defaultRowHeight="12.75" x14ac:dyDescent="0.2"/>
  <cols>
    <col min="1" max="1" width="24.42578125" customWidth="1"/>
    <col min="3" max="3" width="4.7109375" customWidth="1"/>
    <col min="4" max="4" width="3.42578125" customWidth="1"/>
    <col min="5" max="8" width="10.42578125" customWidth="1"/>
    <col min="10" max="10" width="24.7109375" customWidth="1"/>
    <col min="11" max="11" width="12.140625" customWidth="1"/>
    <col min="12" max="12" width="4.140625" bestFit="1" customWidth="1"/>
    <col min="14" max="14" width="3" bestFit="1" customWidth="1"/>
    <col min="16" max="16" width="11.42578125" customWidth="1"/>
  </cols>
  <sheetData>
    <row r="1" spans="1:16" ht="30" x14ac:dyDescent="0.4">
      <c r="A1" s="9" t="s">
        <v>11</v>
      </c>
    </row>
    <row r="3" spans="1:16" x14ac:dyDescent="0.2">
      <c r="A3" s="8" t="s">
        <v>19</v>
      </c>
      <c r="J3" s="8" t="s">
        <v>29</v>
      </c>
    </row>
    <row r="4" spans="1:16" x14ac:dyDescent="0.2">
      <c r="A4" t="s">
        <v>21</v>
      </c>
      <c r="B4" s="51" t="s">
        <v>22</v>
      </c>
      <c r="C4" s="51"/>
      <c r="D4" s="51"/>
      <c r="E4" s="51"/>
      <c r="F4" s="51"/>
      <c r="G4" s="51"/>
      <c r="H4" s="51"/>
      <c r="J4" s="16" t="s">
        <v>27</v>
      </c>
      <c r="K4" s="49" t="s">
        <v>28</v>
      </c>
      <c r="L4" s="52"/>
      <c r="M4" s="52"/>
      <c r="N4" s="50"/>
      <c r="O4" s="49" t="s">
        <v>25</v>
      </c>
      <c r="P4" s="50"/>
    </row>
    <row r="5" spans="1:16" x14ac:dyDescent="0.2">
      <c r="A5" t="s">
        <v>13</v>
      </c>
      <c r="B5" s="13" t="s">
        <v>12</v>
      </c>
      <c r="J5" s="17"/>
      <c r="K5" s="22"/>
      <c r="L5" s="23"/>
      <c r="M5" s="23"/>
      <c r="N5" s="34"/>
      <c r="O5" s="27" t="s">
        <v>23</v>
      </c>
      <c r="P5" s="28" t="s">
        <v>24</v>
      </c>
    </row>
    <row r="6" spans="1:16" x14ac:dyDescent="0.2">
      <c r="A6" t="s">
        <v>4</v>
      </c>
      <c r="B6" s="14">
        <v>144.19999999999999</v>
      </c>
      <c r="C6" t="s">
        <v>14</v>
      </c>
      <c r="E6" s="10" t="s">
        <v>6</v>
      </c>
      <c r="F6" s="10" t="s">
        <v>3</v>
      </c>
      <c r="G6" s="10" t="s">
        <v>2</v>
      </c>
      <c r="H6" s="10" t="s">
        <v>1</v>
      </c>
      <c r="J6" s="20" t="str">
        <f t="shared" ref="J6:L8" si="0">A7</f>
        <v>Parasitic element diameter</v>
      </c>
      <c r="K6" s="20">
        <f t="shared" si="0"/>
        <v>6</v>
      </c>
      <c r="L6" s="21" t="str">
        <f t="shared" si="0"/>
        <v>mm</v>
      </c>
      <c r="M6" s="29">
        <f>K6/$B$16</f>
        <v>2.8859965516544119E-3</v>
      </c>
      <c r="N6" s="32" t="s">
        <v>26</v>
      </c>
      <c r="O6" s="21">
        <v>1E-3</v>
      </c>
      <c r="P6" s="24">
        <v>0.02</v>
      </c>
    </row>
    <row r="7" spans="1:16" x14ac:dyDescent="0.2">
      <c r="A7" t="s">
        <v>7</v>
      </c>
      <c r="B7" s="15">
        <v>6</v>
      </c>
      <c r="C7" t="str">
        <f>$B$5</f>
        <v>mm</v>
      </c>
      <c r="E7" s="11"/>
      <c r="F7" s="11" t="str">
        <f>"("&amp;$B$5&amp;")"</f>
        <v>(mm)</v>
      </c>
      <c r="G7" s="11" t="str">
        <f>"("&amp;$B$5&amp;")"</f>
        <v>(mm)</v>
      </c>
      <c r="H7" s="11" t="str">
        <f>"("&amp;$B$5&amp;")"</f>
        <v>(mm)</v>
      </c>
      <c r="J7" s="22" t="str">
        <f t="shared" si="0"/>
        <v>Driven element diameter</v>
      </c>
      <c r="K7" s="22">
        <f t="shared" si="0"/>
        <v>6</v>
      </c>
      <c r="L7" s="23" t="str">
        <f t="shared" si="0"/>
        <v>mm</v>
      </c>
      <c r="M7" s="30">
        <f>K7/$B$16</f>
        <v>2.8859965516544119E-3</v>
      </c>
      <c r="N7" s="33" t="s">
        <v>26</v>
      </c>
      <c r="O7" s="23">
        <v>1E-3</v>
      </c>
      <c r="P7" s="25">
        <v>0.02</v>
      </c>
    </row>
    <row r="8" spans="1:16" x14ac:dyDescent="0.2">
      <c r="A8" t="s">
        <v>8</v>
      </c>
      <c r="B8" s="15">
        <v>6</v>
      </c>
      <c r="C8" t="str">
        <f>$B$5</f>
        <v>mm</v>
      </c>
      <c r="E8" s="12" t="str">
        <f t="array" ref="E8:H54">dl6wu_yagi(B11,B7,B8,B9,B10,B12,B16)</f>
        <v>R</v>
      </c>
      <c r="F8" s="3">
        <v>15</v>
      </c>
      <c r="G8" s="3">
        <v>15</v>
      </c>
      <c r="H8" s="3">
        <v>1023.209246765578</v>
      </c>
      <c r="J8" s="22" t="str">
        <f t="shared" si="0"/>
        <v>Boom diameter</v>
      </c>
      <c r="K8" s="22">
        <f t="shared" si="0"/>
        <v>25</v>
      </c>
      <c r="L8" s="23" t="str">
        <f t="shared" si="0"/>
        <v>mm</v>
      </c>
      <c r="M8" s="30">
        <f>K8/$B$16</f>
        <v>1.2024985631893382E-2</v>
      </c>
      <c r="N8" s="33" t="s">
        <v>26</v>
      </c>
      <c r="O8" s="36">
        <v>0</v>
      </c>
      <c r="P8" s="25">
        <f>IF(UPPER(LEFT(K9,1))="B",0.055,IF(UPPER(LEFT(K9,1))="I",0.06,""))</f>
        <v>5.5E-2</v>
      </c>
    </row>
    <row r="9" spans="1:16" x14ac:dyDescent="0.2">
      <c r="A9" t="s">
        <v>0</v>
      </c>
      <c r="B9" s="15">
        <v>25</v>
      </c>
      <c r="C9" t="str">
        <f>$B$5</f>
        <v>mm</v>
      </c>
      <c r="E9" s="12" t="str">
        <v>DE</v>
      </c>
      <c r="F9" s="3">
        <v>430.8009126213592</v>
      </c>
      <c r="G9" s="3">
        <v>415.8009126213592</v>
      </c>
      <c r="H9" s="3">
        <v>1004.8890117943831</v>
      </c>
      <c r="J9" s="22" t="s">
        <v>10</v>
      </c>
      <c r="K9" s="27" t="str">
        <f>B10</f>
        <v>Bonded</v>
      </c>
      <c r="L9" s="23" t="str">
        <f>C10</f>
        <v/>
      </c>
      <c r="M9" s="30">
        <f>dl6wu_boomcorrection(B10,B9/B16)</f>
        <v>0.26985604900213522</v>
      </c>
      <c r="N9" s="34" t="s">
        <v>30</v>
      </c>
      <c r="O9" s="36">
        <v>0</v>
      </c>
      <c r="P9" s="25">
        <v>1</v>
      </c>
    </row>
    <row r="10" spans="1:16" x14ac:dyDescent="0.2">
      <c r="A10" t="s">
        <v>358</v>
      </c>
      <c r="B10" s="13" t="s">
        <v>357</v>
      </c>
      <c r="C10" t="str">
        <f>IF(ISNUMBER(B10),"pu","")</f>
        <v/>
      </c>
      <c r="E10" s="12" t="str">
        <v>D 1</v>
      </c>
      <c r="F10" s="3">
        <v>586.7262548543689</v>
      </c>
      <c r="G10" s="3">
        <v>155.9253422330097</v>
      </c>
      <c r="H10" s="3">
        <v>937.19711708125374</v>
      </c>
      <c r="J10" s="18" t="str">
        <f>A12</f>
        <v>Elements</v>
      </c>
      <c r="K10" s="18">
        <f>B12</f>
        <v>10</v>
      </c>
      <c r="L10" s="19"/>
      <c r="M10" s="31">
        <f>K10</f>
        <v>10</v>
      </c>
      <c r="N10" s="35"/>
      <c r="O10" s="31">
        <v>10</v>
      </c>
      <c r="P10" s="26">
        <v>100</v>
      </c>
    </row>
    <row r="11" spans="1:16" x14ac:dyDescent="0.2">
      <c r="A11" t="s">
        <v>359</v>
      </c>
      <c r="B11" s="15">
        <v>15</v>
      </c>
      <c r="C11" t="str">
        <f>$B$5</f>
        <v>mm</v>
      </c>
      <c r="E11" s="12" t="str">
        <v>D 2</v>
      </c>
      <c r="F11" s="3">
        <v>960.94707621359225</v>
      </c>
      <c r="G11" s="3">
        <v>374.22082135922329</v>
      </c>
      <c r="H11" s="3">
        <v>929.00512076467783</v>
      </c>
      <c r="J11" s="1"/>
      <c r="K11" s="1"/>
      <c r="L11" s="1"/>
      <c r="M11" s="1"/>
      <c r="N11" s="1"/>
      <c r="O11" s="1"/>
    </row>
    <row r="12" spans="1:16" x14ac:dyDescent="0.2">
      <c r="A12" t="s">
        <v>9</v>
      </c>
      <c r="B12" s="15">
        <v>10</v>
      </c>
      <c r="E12" s="12" t="str">
        <v>D 3</v>
      </c>
      <c r="F12" s="3">
        <v>1407.9330572815534</v>
      </c>
      <c r="G12" s="3">
        <v>446.98598106796112</v>
      </c>
      <c r="H12" s="3">
        <v>919.90298418802752</v>
      </c>
    </row>
    <row r="13" spans="1:16" x14ac:dyDescent="0.2">
      <c r="E13" s="12" t="str">
        <v>D 4</v>
      </c>
      <c r="F13" s="3">
        <v>1927.6841980582524</v>
      </c>
      <c r="G13" s="3">
        <v>519.751140776699</v>
      </c>
      <c r="H13" s="3">
        <v>911.01455522430115</v>
      </c>
      <c r="J13" s="1"/>
      <c r="K13" s="1"/>
      <c r="L13" s="1"/>
      <c r="M13" s="1"/>
      <c r="N13" s="1"/>
      <c r="O13" s="1"/>
    </row>
    <row r="14" spans="1:16" x14ac:dyDescent="0.2">
      <c r="E14" s="12" t="str">
        <v>D 5</v>
      </c>
      <c r="F14" s="3">
        <v>2509.8054757281552</v>
      </c>
      <c r="G14" s="3">
        <v>582.12127766990295</v>
      </c>
      <c r="H14" s="3">
        <v>903.04647880569394</v>
      </c>
      <c r="J14" s="1"/>
      <c r="K14" s="1"/>
      <c r="L14" s="1"/>
      <c r="M14" s="1"/>
      <c r="N14" s="1"/>
      <c r="O14" s="1"/>
    </row>
    <row r="15" spans="1:16" x14ac:dyDescent="0.2">
      <c r="A15" s="8" t="s">
        <v>20</v>
      </c>
      <c r="E15" s="12" t="str">
        <v>D 6</v>
      </c>
      <c r="F15" s="3">
        <v>3133.506844660194</v>
      </c>
      <c r="G15" s="3">
        <v>623.7013689320388</v>
      </c>
      <c r="H15" s="3">
        <v>896.0945071704549</v>
      </c>
      <c r="J15" s="1"/>
      <c r="K15" s="1"/>
      <c r="L15" s="1"/>
      <c r="M15" s="1"/>
      <c r="N15" s="1"/>
      <c r="O15" s="1"/>
    </row>
    <row r="16" spans="1:16" x14ac:dyDescent="0.2">
      <c r="A16" t="s">
        <v>5</v>
      </c>
      <c r="B16" s="4">
        <f>dl6wu_wavelength(B5,B6*1000000)</f>
        <v>2079.004563106796</v>
      </c>
      <c r="C16" t="str">
        <f>$B$5</f>
        <v>mm</v>
      </c>
      <c r="E16" s="12" t="str">
        <v>D 7</v>
      </c>
      <c r="F16" s="3">
        <v>3788.3932820388345</v>
      </c>
      <c r="G16" s="3">
        <v>654.88643737864072</v>
      </c>
      <c r="H16" s="3">
        <v>890.04067356907854</v>
      </c>
      <c r="J16" s="1" t="str">
        <f>"Boom length ("&amp;B5&amp;")"</f>
        <v>Boom length (mm)</v>
      </c>
      <c r="K16" s="1" t="s">
        <v>31</v>
      </c>
      <c r="L16" s="1"/>
      <c r="M16" s="1"/>
      <c r="N16" s="1"/>
      <c r="O16" s="1"/>
    </row>
    <row r="17" spans="1:15" x14ac:dyDescent="0.2">
      <c r="A17" t="s">
        <v>373</v>
      </c>
      <c r="B17" s="4">
        <f>0.003*B16</f>
        <v>6.2370136893203885</v>
      </c>
      <c r="C17" t="str">
        <f>$B$5</f>
        <v>mm</v>
      </c>
      <c r="E17" s="12" t="str">
        <v>D 8</v>
      </c>
      <c r="F17" s="3">
        <v>4474.4647878640772</v>
      </c>
      <c r="G17" s="3">
        <v>686.07150582524275</v>
      </c>
      <c r="H17" s="3">
        <v>884.72758189275635</v>
      </c>
      <c r="J17" s="37">
        <f t="shared" ref="J17:J27" si="1">EXP((K17-2.15-9.2)/3.39)*$B$16</f>
        <v>4476.5419206283605</v>
      </c>
      <c r="K17">
        <f>11.8+2.15</f>
        <v>13.950000000000001</v>
      </c>
      <c r="L17" s="38"/>
      <c r="N17" s="1"/>
      <c r="O17" s="7"/>
    </row>
    <row r="18" spans="1:15" x14ac:dyDescent="0.2">
      <c r="A18" t="s">
        <v>17</v>
      </c>
      <c r="B18" s="4">
        <f>MAX(F8:F54)+$B$11-0</f>
        <v>4489.4647878640772</v>
      </c>
      <c r="C18" t="str">
        <f>$B$5</f>
        <v>mm</v>
      </c>
      <c r="E18" s="12" t="str">
        <v/>
      </c>
      <c r="F18" s="3" t="str">
        <v/>
      </c>
      <c r="G18" s="3" t="str">
        <v/>
      </c>
      <c r="H18" s="3" t="str">
        <v/>
      </c>
      <c r="J18" s="37">
        <f t="shared" si="1"/>
        <v>6012.4727691666913</v>
      </c>
      <c r="K18">
        <f t="shared" ref="K18:K26" si="2">K17+1</f>
        <v>14.950000000000001</v>
      </c>
      <c r="N18" s="1"/>
      <c r="O18" s="1"/>
    </row>
    <row r="19" spans="1:15" x14ac:dyDescent="0.2">
      <c r="A19" t="s">
        <v>16</v>
      </c>
      <c r="B19" s="5">
        <f>dl6wu_gain(($B$18-2*$B$11)/$B$16)</f>
        <v>13.935043082568132</v>
      </c>
      <c r="C19" t="s">
        <v>15</v>
      </c>
      <c r="E19" s="12" t="str">
        <v/>
      </c>
      <c r="F19" s="3" t="str">
        <v/>
      </c>
      <c r="G19" s="3" t="str">
        <v/>
      </c>
      <c r="H19" s="3" t="str">
        <v/>
      </c>
      <c r="J19" s="37">
        <f t="shared" si="1"/>
        <v>8075.3915502028231</v>
      </c>
      <c r="K19">
        <f t="shared" si="2"/>
        <v>15.950000000000001</v>
      </c>
      <c r="L19" s="1"/>
      <c r="N19" s="1"/>
      <c r="O19" s="1"/>
    </row>
    <row r="20" spans="1:15" x14ac:dyDescent="0.2">
      <c r="A20" t="s">
        <v>366</v>
      </c>
      <c r="B20" s="5">
        <f>dl6wu_bwh(($B$18-2*$B$11)/$B$16)</f>
        <v>40.93019561404784</v>
      </c>
      <c r="C20" t="s">
        <v>18</v>
      </c>
      <c r="E20" s="12" t="str">
        <v/>
      </c>
      <c r="F20" s="3" t="str">
        <v/>
      </c>
      <c r="G20" s="3" t="str">
        <v/>
      </c>
      <c r="H20" s="3" t="str">
        <v/>
      </c>
      <c r="J20" s="37">
        <f t="shared" si="1"/>
        <v>10846.111274467417</v>
      </c>
      <c r="K20">
        <f t="shared" si="2"/>
        <v>16.950000000000003</v>
      </c>
      <c r="L20" s="1"/>
      <c r="N20" s="1"/>
      <c r="O20" s="1"/>
    </row>
    <row r="21" spans="1:15" x14ac:dyDescent="0.2">
      <c r="A21" t="s">
        <v>365</v>
      </c>
      <c r="B21" s="5">
        <f>dl6wu_bwe(($B$18-2*$B$11)/$B$16)</f>
        <v>37.154307537825915</v>
      </c>
      <c r="C21" t="s">
        <v>18</v>
      </c>
      <c r="E21" s="12" t="str">
        <v/>
      </c>
      <c r="F21" s="3" t="str">
        <v/>
      </c>
      <c r="G21" s="3" t="str">
        <v/>
      </c>
      <c r="H21" s="3" t="str">
        <v/>
      </c>
      <c r="J21" s="37">
        <f t="shared" si="1"/>
        <v>14567.483080764618</v>
      </c>
      <c r="K21">
        <f t="shared" si="2"/>
        <v>17.950000000000003</v>
      </c>
      <c r="L21" s="1"/>
      <c r="N21" s="1"/>
      <c r="O21" s="1"/>
    </row>
    <row r="22" spans="1:15" x14ac:dyDescent="0.2">
      <c r="A22" t="s">
        <v>363</v>
      </c>
      <c r="B22" s="4">
        <f>dl6wu_sdh(($B$18-2*$B$11)/$B$16,$B$16)</f>
        <v>2973.0922930076472</v>
      </c>
      <c r="C22" t="str">
        <f>$B$5</f>
        <v>mm</v>
      </c>
      <c r="E22" s="12" t="str">
        <v/>
      </c>
      <c r="F22" s="3" t="str">
        <v/>
      </c>
      <c r="G22" s="3" t="str">
        <v/>
      </c>
      <c r="H22" s="3" t="str">
        <v/>
      </c>
      <c r="J22" s="37">
        <f t="shared" si="1"/>
        <v>19565.681923983753</v>
      </c>
      <c r="K22">
        <f t="shared" si="2"/>
        <v>18.950000000000003</v>
      </c>
      <c r="L22" s="1"/>
      <c r="N22" s="1"/>
      <c r="O22" s="1"/>
    </row>
    <row r="23" spans="1:15" x14ac:dyDescent="0.2">
      <c r="A23" t="s">
        <v>364</v>
      </c>
      <c r="B23" s="4">
        <f>dl6wu_sde(($B$18-2*$B$11)/$B$16,$B$16)</f>
        <v>3262.9098338839535</v>
      </c>
      <c r="C23" t="str">
        <f>$B$5</f>
        <v>mm</v>
      </c>
      <c r="E23" s="12" t="str">
        <v/>
      </c>
      <c r="F23" s="3" t="str">
        <v/>
      </c>
      <c r="G23" s="3" t="str">
        <v/>
      </c>
      <c r="H23" s="3" t="str">
        <v/>
      </c>
      <c r="J23" s="37">
        <f t="shared" si="1"/>
        <v>26278.795522061526</v>
      </c>
      <c r="K23">
        <f t="shared" si="2"/>
        <v>19.950000000000003</v>
      </c>
      <c r="L23" s="1"/>
      <c r="N23" s="1"/>
      <c r="O23" s="1"/>
    </row>
    <row r="24" spans="1:15" x14ac:dyDescent="0.2">
      <c r="E24" s="12" t="str">
        <v/>
      </c>
      <c r="F24" s="3" t="str">
        <v/>
      </c>
      <c r="G24" s="3" t="str">
        <v/>
      </c>
      <c r="H24" s="3" t="str">
        <v/>
      </c>
      <c r="J24" s="37">
        <f t="shared" si="1"/>
        <v>35295.22235786778</v>
      </c>
      <c r="K24">
        <f t="shared" si="2"/>
        <v>20.950000000000003</v>
      </c>
      <c r="L24" s="1"/>
      <c r="N24" s="1"/>
      <c r="O24" s="1"/>
    </row>
    <row r="25" spans="1:15" x14ac:dyDescent="0.2">
      <c r="E25" s="12" t="str">
        <v/>
      </c>
      <c r="F25" s="3" t="str">
        <v/>
      </c>
      <c r="G25" s="3" t="str">
        <v/>
      </c>
      <c r="H25" s="3" t="str">
        <v/>
      </c>
      <c r="J25" s="37">
        <f t="shared" si="1"/>
        <v>47405.244286995498</v>
      </c>
      <c r="K25">
        <f t="shared" si="2"/>
        <v>21.950000000000003</v>
      </c>
      <c r="L25" s="1"/>
      <c r="N25" s="1"/>
      <c r="O25" s="1"/>
    </row>
    <row r="26" spans="1:15" x14ac:dyDescent="0.2">
      <c r="E26" s="12" t="str">
        <v/>
      </c>
      <c r="F26" s="3" t="str">
        <v/>
      </c>
      <c r="G26" s="3" t="str">
        <v/>
      </c>
      <c r="H26" s="3" t="str">
        <v/>
      </c>
      <c r="J26" s="37">
        <f t="shared" si="1"/>
        <v>63670.294045017523</v>
      </c>
      <c r="K26">
        <f t="shared" si="2"/>
        <v>22.950000000000003</v>
      </c>
      <c r="L26" s="1"/>
      <c r="N26" s="1"/>
      <c r="O26" s="1"/>
    </row>
    <row r="27" spans="1:15" x14ac:dyDescent="0.2">
      <c r="A27" t="str">
        <f ca="1">"Version: "&amp;dl6wu_version("v")</f>
        <v>Version: 2.02</v>
      </c>
      <c r="E27" s="12" t="str">
        <v/>
      </c>
      <c r="F27" s="3" t="str">
        <v/>
      </c>
      <c r="G27" s="3" t="str">
        <v/>
      </c>
      <c r="H27" s="3" t="str">
        <v/>
      </c>
      <c r="J27" s="37">
        <f t="shared" si="1"/>
        <v>80616.73940499693</v>
      </c>
      <c r="K27">
        <f>21.6+2.15</f>
        <v>23.75</v>
      </c>
      <c r="L27" s="38"/>
      <c r="N27" s="1"/>
      <c r="O27" s="1"/>
    </row>
    <row r="28" spans="1:15" x14ac:dyDescent="0.2">
      <c r="A28" s="46">
        <f ca="1">dl6wu_version("d")</f>
        <v>41735</v>
      </c>
      <c r="E28" s="12" t="str">
        <v/>
      </c>
      <c r="F28" s="3" t="str">
        <v/>
      </c>
      <c r="G28" s="3" t="str">
        <v/>
      </c>
      <c r="H28" s="3" t="str">
        <v/>
      </c>
      <c r="J28" s="1"/>
      <c r="K28" s="1"/>
      <c r="L28" s="1"/>
      <c r="N28" s="1"/>
      <c r="O28" s="1"/>
    </row>
    <row r="29" spans="1:15" x14ac:dyDescent="0.2">
      <c r="A29" t="str">
        <f ca="1">dl6wu_version("c")</f>
        <v>Copyright: Owen Duffy 2006, 2014.</v>
      </c>
      <c r="E29" s="12" t="str">
        <v/>
      </c>
      <c r="F29" s="3" t="str">
        <v/>
      </c>
      <c r="G29" s="3" t="str">
        <v/>
      </c>
      <c r="H29" s="3" t="str">
        <v/>
      </c>
      <c r="J29" s="1"/>
      <c r="K29" s="1"/>
      <c r="L29" s="1"/>
      <c r="N29" s="1"/>
      <c r="O29" s="1"/>
    </row>
    <row r="30" spans="1:15" x14ac:dyDescent="0.2">
      <c r="A30" s="45" t="str">
        <f ca="1">"Support: "&amp;HYPERLINK(dl6wu_version("u"),dl6wu_version("u"))</f>
        <v>Support: http://owenduffy.net</v>
      </c>
      <c r="E30" s="12" t="str">
        <v/>
      </c>
      <c r="F30" s="3" t="str">
        <v/>
      </c>
      <c r="G30" s="3" t="str">
        <v/>
      </c>
      <c r="H30" s="3" t="str">
        <v/>
      </c>
      <c r="J30" s="1"/>
      <c r="K30" s="1"/>
      <c r="L30" s="1"/>
      <c r="N30" s="1"/>
      <c r="O30" s="1"/>
    </row>
    <row r="31" spans="1:15" x14ac:dyDescent="0.2">
      <c r="E31" s="12" t="str">
        <v/>
      </c>
      <c r="F31" s="3" t="str">
        <v/>
      </c>
      <c r="G31" s="3" t="str">
        <v/>
      </c>
      <c r="H31" s="3" t="str">
        <v/>
      </c>
      <c r="J31" s="1"/>
      <c r="K31" s="1"/>
      <c r="L31" s="1"/>
      <c r="N31" s="1"/>
      <c r="O31" s="1"/>
    </row>
    <row r="32" spans="1:15" x14ac:dyDescent="0.2">
      <c r="E32" s="12" t="str">
        <v/>
      </c>
      <c r="F32" s="3" t="str">
        <v/>
      </c>
      <c r="G32" s="3" t="str">
        <v/>
      </c>
      <c r="H32" s="3" t="str">
        <v/>
      </c>
      <c r="J32" s="1"/>
      <c r="K32" s="1"/>
      <c r="L32" s="1"/>
      <c r="N32" s="1"/>
      <c r="O32" s="1"/>
    </row>
    <row r="33" spans="1:15" x14ac:dyDescent="0.2">
      <c r="E33" s="12" t="str">
        <v/>
      </c>
      <c r="F33" s="3" t="str">
        <v/>
      </c>
      <c r="G33" s="3" t="str">
        <v/>
      </c>
      <c r="H33" s="3" t="str">
        <v/>
      </c>
      <c r="J33" s="1"/>
      <c r="K33" s="1"/>
      <c r="L33" s="1"/>
      <c r="N33" s="1"/>
      <c r="O33" s="1"/>
    </row>
    <row r="34" spans="1:15" x14ac:dyDescent="0.2">
      <c r="E34" s="12" t="str">
        <v/>
      </c>
      <c r="F34" s="3" t="str">
        <v/>
      </c>
      <c r="G34" s="3" t="str">
        <v/>
      </c>
      <c r="H34" s="3" t="str">
        <v/>
      </c>
      <c r="J34" s="1"/>
      <c r="K34" s="1"/>
      <c r="L34" s="1"/>
      <c r="N34" s="1"/>
      <c r="O34" s="1"/>
    </row>
    <row r="35" spans="1:15" x14ac:dyDescent="0.2">
      <c r="E35" s="12" t="str">
        <v/>
      </c>
      <c r="F35" s="3" t="str">
        <v/>
      </c>
      <c r="G35" s="3" t="str">
        <v/>
      </c>
      <c r="H35" s="3" t="str">
        <v/>
      </c>
      <c r="J35" s="1"/>
      <c r="K35" s="1"/>
      <c r="L35" s="1"/>
      <c r="N35" s="1"/>
      <c r="O35" s="1"/>
    </row>
    <row r="36" spans="1:15" x14ac:dyDescent="0.2">
      <c r="E36" s="12" t="str">
        <v/>
      </c>
      <c r="F36" s="3" t="str">
        <v/>
      </c>
      <c r="G36" s="3" t="str">
        <v/>
      </c>
      <c r="H36" s="3" t="str">
        <v/>
      </c>
      <c r="J36" s="1"/>
      <c r="K36" s="1"/>
      <c r="L36" s="1"/>
      <c r="N36" s="1"/>
      <c r="O36" s="1"/>
    </row>
    <row r="37" spans="1:15" x14ac:dyDescent="0.2">
      <c r="E37" s="12" t="str">
        <v/>
      </c>
      <c r="F37" s="3" t="str">
        <v/>
      </c>
      <c r="G37" s="3" t="str">
        <v/>
      </c>
      <c r="H37" s="3" t="str">
        <v/>
      </c>
      <c r="J37" s="1"/>
      <c r="K37" s="1"/>
      <c r="L37" s="1"/>
      <c r="N37" s="1"/>
      <c r="O37" s="1"/>
    </row>
    <row r="38" spans="1:15" x14ac:dyDescent="0.2">
      <c r="B38" s="6"/>
      <c r="E38" s="12" t="str">
        <v/>
      </c>
      <c r="F38" s="3" t="str">
        <v/>
      </c>
      <c r="G38" s="3" t="str">
        <v/>
      </c>
      <c r="H38" s="3" t="str">
        <v/>
      </c>
      <c r="J38" s="1"/>
      <c r="K38" s="1"/>
      <c r="L38" s="1"/>
      <c r="N38" s="1"/>
      <c r="O38" s="1"/>
    </row>
    <row r="39" spans="1:15" x14ac:dyDescent="0.2">
      <c r="E39" s="12" t="str">
        <v/>
      </c>
      <c r="F39" s="3" t="str">
        <v/>
      </c>
      <c r="G39" s="3" t="str">
        <v/>
      </c>
      <c r="H39" s="3" t="str">
        <v/>
      </c>
      <c r="J39" s="1"/>
      <c r="N39" s="1"/>
      <c r="O39" s="1"/>
    </row>
    <row r="40" spans="1:15" x14ac:dyDescent="0.2">
      <c r="E40" s="12" t="str">
        <v/>
      </c>
      <c r="F40" s="3" t="str">
        <v/>
      </c>
      <c r="G40" s="3" t="str">
        <v/>
      </c>
      <c r="H40" s="3" t="str">
        <v/>
      </c>
      <c r="J40" s="1"/>
      <c r="K40" s="1"/>
      <c r="L40" s="1"/>
      <c r="M40" s="1"/>
      <c r="N40" s="1"/>
      <c r="O40" s="1"/>
    </row>
    <row r="41" spans="1:15" x14ac:dyDescent="0.2">
      <c r="E41" s="12" t="str">
        <v/>
      </c>
      <c r="F41" s="3" t="str">
        <v/>
      </c>
      <c r="G41" s="3" t="str">
        <v/>
      </c>
      <c r="H41" s="3" t="str">
        <v/>
      </c>
      <c r="J41" s="1"/>
      <c r="K41" s="1"/>
      <c r="L41" s="1"/>
      <c r="M41" s="1"/>
      <c r="N41" s="1"/>
      <c r="O41" s="1"/>
    </row>
    <row r="42" spans="1:15" x14ac:dyDescent="0.2">
      <c r="E42" s="12" t="str">
        <v/>
      </c>
      <c r="F42" s="3" t="str">
        <v/>
      </c>
      <c r="G42" s="3" t="str">
        <v/>
      </c>
      <c r="H42" s="3" t="str">
        <v/>
      </c>
      <c r="J42" s="1"/>
      <c r="K42" s="1"/>
      <c r="L42" s="1"/>
      <c r="M42" s="1"/>
      <c r="N42" s="1"/>
      <c r="O42" s="1"/>
    </row>
    <row r="43" spans="1:15" x14ac:dyDescent="0.2">
      <c r="E43" s="12" t="str">
        <v/>
      </c>
      <c r="F43" s="3" t="str">
        <v/>
      </c>
      <c r="G43" s="3" t="str">
        <v/>
      </c>
      <c r="H43" s="3" t="str">
        <v/>
      </c>
    </row>
    <row r="44" spans="1:15" x14ac:dyDescent="0.2">
      <c r="E44" s="12" t="str">
        <v/>
      </c>
      <c r="F44" s="3" t="str">
        <v/>
      </c>
      <c r="G44" s="3" t="str">
        <v/>
      </c>
      <c r="H44" s="3" t="str">
        <v/>
      </c>
    </row>
    <row r="45" spans="1:15" x14ac:dyDescent="0.2">
      <c r="A45" s="45"/>
      <c r="E45" s="12" t="str">
        <v/>
      </c>
      <c r="F45" s="3" t="str">
        <v/>
      </c>
      <c r="G45" s="3" t="str">
        <v/>
      </c>
      <c r="H45" s="3" t="str">
        <v/>
      </c>
    </row>
    <row r="46" spans="1:15" x14ac:dyDescent="0.2">
      <c r="E46" s="12" t="str">
        <v/>
      </c>
      <c r="F46" s="3" t="str">
        <v/>
      </c>
      <c r="G46" s="3" t="str">
        <v/>
      </c>
      <c r="H46" s="3" t="str">
        <v/>
      </c>
    </row>
    <row r="47" spans="1:15" x14ac:dyDescent="0.2">
      <c r="E47" s="12" t="str">
        <v/>
      </c>
      <c r="F47" s="3" t="str">
        <v/>
      </c>
      <c r="G47" s="3" t="str">
        <v/>
      </c>
      <c r="H47" s="3" t="str">
        <v/>
      </c>
    </row>
    <row r="48" spans="1:15" x14ac:dyDescent="0.2">
      <c r="E48" s="12" t="str">
        <v/>
      </c>
      <c r="F48" s="3" t="str">
        <v/>
      </c>
      <c r="G48" s="3" t="str">
        <v/>
      </c>
      <c r="H48" s="3" t="str">
        <v/>
      </c>
    </row>
    <row r="49" spans="1:8" x14ac:dyDescent="0.2">
      <c r="E49" s="12" t="str">
        <v/>
      </c>
      <c r="F49" s="3" t="str">
        <v/>
      </c>
      <c r="G49" s="3" t="str">
        <v/>
      </c>
      <c r="H49" s="3" t="str">
        <v/>
      </c>
    </row>
    <row r="50" spans="1:8" x14ac:dyDescent="0.2">
      <c r="E50" s="12" t="str">
        <v/>
      </c>
      <c r="F50" s="3" t="str">
        <v/>
      </c>
      <c r="G50" s="3" t="str">
        <v/>
      </c>
      <c r="H50" s="3" t="str">
        <v/>
      </c>
    </row>
    <row r="51" spans="1:8" x14ac:dyDescent="0.2">
      <c r="E51" s="12" t="str">
        <v/>
      </c>
      <c r="F51" s="3" t="str">
        <v/>
      </c>
      <c r="G51" s="3" t="str">
        <v/>
      </c>
      <c r="H51" s="3" t="str">
        <v/>
      </c>
    </row>
    <row r="52" spans="1:8" x14ac:dyDescent="0.2">
      <c r="E52" s="12" t="str">
        <v/>
      </c>
      <c r="F52" s="3" t="str">
        <v/>
      </c>
      <c r="G52" s="3" t="str">
        <v/>
      </c>
      <c r="H52" s="3" t="str">
        <v/>
      </c>
    </row>
    <row r="53" spans="1:8" x14ac:dyDescent="0.2">
      <c r="E53" s="12" t="str">
        <v/>
      </c>
      <c r="F53" s="3" t="str">
        <v/>
      </c>
      <c r="G53" s="3" t="str">
        <v/>
      </c>
      <c r="H53" s="3" t="str">
        <v/>
      </c>
    </row>
    <row r="54" spans="1:8" x14ac:dyDescent="0.2">
      <c r="E54" s="12" t="str">
        <v/>
      </c>
      <c r="F54" s="3" t="str">
        <v/>
      </c>
      <c r="G54" s="3" t="str">
        <v/>
      </c>
      <c r="H54" s="3" t="str">
        <v/>
      </c>
    </row>
    <row r="55" spans="1:8" x14ac:dyDescent="0.2">
      <c r="A55" s="1"/>
      <c r="B55" s="2"/>
      <c r="C55" s="2"/>
      <c r="D55" s="2"/>
      <c r="E55" s="1"/>
      <c r="F55" s="1"/>
    </row>
    <row r="56" spans="1:8" x14ac:dyDescent="0.2">
      <c r="A56" s="1"/>
      <c r="B56" s="2"/>
      <c r="C56" s="2"/>
      <c r="D56" s="2"/>
      <c r="E56" s="1"/>
      <c r="F56" s="1"/>
    </row>
    <row r="57" spans="1:8" x14ac:dyDescent="0.2">
      <c r="A57" s="1"/>
      <c r="B57" s="2"/>
      <c r="C57" s="2"/>
      <c r="D57" s="2"/>
      <c r="E57" s="1"/>
      <c r="F57" s="1"/>
    </row>
    <row r="58" spans="1:8" x14ac:dyDescent="0.2">
      <c r="A58" s="1"/>
      <c r="B58" s="2"/>
      <c r="C58" s="2"/>
      <c r="D58" s="2"/>
      <c r="E58" s="1"/>
      <c r="F58" s="1"/>
    </row>
    <row r="59" spans="1:8" x14ac:dyDescent="0.2">
      <c r="A59" s="1"/>
      <c r="B59" s="2"/>
      <c r="C59" s="2"/>
      <c r="D59" s="2"/>
      <c r="E59" s="1"/>
      <c r="F59" s="1"/>
    </row>
    <row r="60" spans="1:8" x14ac:dyDescent="0.2">
      <c r="A60" s="1"/>
      <c r="B60" s="2"/>
      <c r="C60" s="2"/>
      <c r="D60" s="2"/>
      <c r="E60" s="1"/>
      <c r="F60" s="1"/>
    </row>
    <row r="61" spans="1:8" x14ac:dyDescent="0.2">
      <c r="A61" s="1"/>
      <c r="B61" s="2"/>
      <c r="C61" s="2"/>
      <c r="D61" s="2"/>
      <c r="E61" s="1"/>
      <c r="F61" s="1"/>
    </row>
    <row r="62" spans="1:8" x14ac:dyDescent="0.2">
      <c r="A62" s="1"/>
      <c r="B62" s="2"/>
      <c r="C62" s="2"/>
      <c r="D62" s="2"/>
      <c r="E62" s="1"/>
      <c r="F62" s="1"/>
    </row>
    <row r="63" spans="1:8" x14ac:dyDescent="0.2">
      <c r="A63" s="1"/>
      <c r="B63" s="2"/>
      <c r="C63" s="2"/>
      <c r="D63" s="2"/>
      <c r="E63" s="1"/>
      <c r="F63" s="1"/>
    </row>
    <row r="64" spans="1:8" x14ac:dyDescent="0.2">
      <c r="C64" s="2"/>
    </row>
    <row r="65" spans="3:3" x14ac:dyDescent="0.2">
      <c r="C65" s="2"/>
    </row>
    <row r="66" spans="3:3" x14ac:dyDescent="0.2">
      <c r="C66" s="2"/>
    </row>
    <row r="67" spans="3:3" x14ac:dyDescent="0.2">
      <c r="C67" s="2"/>
    </row>
    <row r="68" spans="3:3" x14ac:dyDescent="0.2">
      <c r="C68" s="2"/>
    </row>
    <row r="69" spans="3:3" x14ac:dyDescent="0.2">
      <c r="C69" s="2"/>
    </row>
    <row r="70" spans="3:3" x14ac:dyDescent="0.2">
      <c r="C70" s="2"/>
    </row>
    <row r="71" spans="3:3" x14ac:dyDescent="0.2">
      <c r="C71" s="2"/>
    </row>
    <row r="72" spans="3:3" x14ac:dyDescent="0.2">
      <c r="C72" s="2"/>
    </row>
    <row r="73" spans="3:3" x14ac:dyDescent="0.2">
      <c r="C73" s="2"/>
    </row>
    <row r="74" spans="3:3" x14ac:dyDescent="0.2">
      <c r="C74" s="2"/>
    </row>
    <row r="75" spans="3:3" x14ac:dyDescent="0.2">
      <c r="C75" s="2"/>
    </row>
    <row r="76" spans="3:3" x14ac:dyDescent="0.2">
      <c r="C76" s="2"/>
    </row>
    <row r="77" spans="3:3" x14ac:dyDescent="0.2">
      <c r="C77" s="2"/>
    </row>
    <row r="78" spans="3:3" x14ac:dyDescent="0.2">
      <c r="C78" s="2"/>
    </row>
    <row r="79" spans="3:3" x14ac:dyDescent="0.2">
      <c r="C79" s="2"/>
    </row>
    <row r="80" spans="3:3" x14ac:dyDescent="0.2">
      <c r="C80" s="2"/>
    </row>
    <row r="81" spans="3:3" x14ac:dyDescent="0.2">
      <c r="C81" s="2"/>
    </row>
    <row r="82" spans="3:3" x14ac:dyDescent="0.2">
      <c r="C82" s="2"/>
    </row>
    <row r="83" spans="3:3" x14ac:dyDescent="0.2">
      <c r="C83" s="2"/>
    </row>
    <row r="84" spans="3:3" x14ac:dyDescent="0.2">
      <c r="C84" s="2"/>
    </row>
    <row r="85" spans="3:3" x14ac:dyDescent="0.2">
      <c r="C85" s="2"/>
    </row>
    <row r="86" spans="3:3" x14ac:dyDescent="0.2">
      <c r="C86" s="2"/>
    </row>
    <row r="87" spans="3:3" x14ac:dyDescent="0.2">
      <c r="C87" s="2"/>
    </row>
    <row r="88" spans="3:3" x14ac:dyDescent="0.2">
      <c r="C88" s="2"/>
    </row>
    <row r="89" spans="3:3" x14ac:dyDescent="0.2">
      <c r="C89" s="2"/>
    </row>
    <row r="90" spans="3:3" x14ac:dyDescent="0.2">
      <c r="C90" s="2"/>
    </row>
    <row r="91" spans="3:3" x14ac:dyDescent="0.2">
      <c r="C91" s="2"/>
    </row>
    <row r="92" spans="3:3" x14ac:dyDescent="0.2">
      <c r="C92" s="2"/>
    </row>
    <row r="93" spans="3:3" x14ac:dyDescent="0.2">
      <c r="C93" s="2"/>
    </row>
    <row r="94" spans="3:3" x14ac:dyDescent="0.2">
      <c r="C94" s="2"/>
    </row>
    <row r="95" spans="3:3" x14ac:dyDescent="0.2">
      <c r="C95" s="2"/>
    </row>
    <row r="96" spans="3:3" x14ac:dyDescent="0.2">
      <c r="C96" s="2"/>
    </row>
    <row r="97" spans="3:3" x14ac:dyDescent="0.2">
      <c r="C97" s="2"/>
    </row>
    <row r="98" spans="3:3" x14ac:dyDescent="0.2">
      <c r="C98" s="2"/>
    </row>
    <row r="99" spans="3:3" x14ac:dyDescent="0.2">
      <c r="C99" s="2"/>
    </row>
    <row r="100" spans="3:3" x14ac:dyDescent="0.2">
      <c r="C100" s="2"/>
    </row>
    <row r="101" spans="3:3" x14ac:dyDescent="0.2">
      <c r="C101" s="2"/>
    </row>
    <row r="102" spans="3:3" x14ac:dyDescent="0.2">
      <c r="C102" s="2"/>
    </row>
    <row r="103" spans="3:3" x14ac:dyDescent="0.2">
      <c r="C103" s="2"/>
    </row>
    <row r="104" spans="3:3" x14ac:dyDescent="0.2">
      <c r="C104" s="2"/>
    </row>
    <row r="105" spans="3:3" x14ac:dyDescent="0.2">
      <c r="C105" s="2"/>
    </row>
    <row r="106" spans="3:3" x14ac:dyDescent="0.2">
      <c r="C106" s="2"/>
    </row>
    <row r="107" spans="3:3" x14ac:dyDescent="0.2">
      <c r="C107" s="2"/>
    </row>
  </sheetData>
  <sheetProtection sheet="1" objects="1" scenarios="1"/>
  <scenarios current="2" sqref="B18:B23">
    <scenario name="Base" locked="1" count="9" user="OD" comment="Creat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Bonded"/>
      <inputCells r="B11" val="35"/>
      <inputCells r="B12" val="10"/>
    </scenario>
    <scenario name="Longer" locked="1" count="9" user="OD" comment="Creat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Bonded"/>
      <inputCells r="B11" val="35"/>
      <inputCells r="B12" val="14"/>
    </scenario>
    <scenario name="Longer- insulated" locked="1" count="9" user="OD" comment="Created by OD on 18/07/2006_x000a_Modifi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Insulated"/>
      <inputCells r="B11" val="35"/>
      <inputCells r="B12" val="14"/>
    </scenario>
  </scenarios>
  <mergeCells count="3">
    <mergeCell ref="O4:P4"/>
    <mergeCell ref="B4:H4"/>
    <mergeCell ref="K4:N4"/>
  </mergeCells>
  <phoneticPr fontId="0" type="noConversion"/>
  <conditionalFormatting sqref="M6:M9">
    <cfRule type="cellIs" dxfId="3" priority="1" stopIfTrue="1" operator="notBetween">
      <formula>O6</formula>
      <formula>P6</formula>
    </cfRule>
  </conditionalFormatting>
  <conditionalFormatting sqref="M10">
    <cfRule type="cellIs" dxfId="2" priority="2" stopIfTrue="1" operator="notBetween">
      <formula>$O$10</formula>
      <formula>$P$10</formula>
    </cfRule>
  </conditionalFormatting>
  <pageMargins left="0.74803149606299213" right="0.74803149606299213" top="0.78740157480314965" bottom="0.78740157480314965" header="0.51181102362204722" footer="0.51181102362204722"/>
  <pageSetup paperSize="9"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7"/>
  <sheetViews>
    <sheetView workbookViewId="0">
      <selection activeCell="B25" sqref="B25"/>
    </sheetView>
  </sheetViews>
  <sheetFormatPr defaultRowHeight="12.75" x14ac:dyDescent="0.2"/>
  <cols>
    <col min="1" max="1" width="24.42578125" customWidth="1"/>
    <col min="3" max="3" width="4.7109375" customWidth="1"/>
    <col min="4" max="4" width="3.42578125" customWidth="1"/>
    <col min="5" max="8" width="10.42578125" customWidth="1"/>
    <col min="10" max="10" width="24.7109375" customWidth="1"/>
    <col min="11" max="11" width="12.140625" customWidth="1"/>
    <col min="12" max="12" width="4.140625" bestFit="1" customWidth="1"/>
    <col min="14" max="14" width="3" bestFit="1" customWidth="1"/>
  </cols>
  <sheetData>
    <row r="1" spans="1:16" ht="30" x14ac:dyDescent="0.4">
      <c r="A1" s="9" t="s">
        <v>11</v>
      </c>
    </row>
    <row r="3" spans="1:16" x14ac:dyDescent="0.2">
      <c r="A3" s="8" t="s">
        <v>19</v>
      </c>
      <c r="J3" s="8" t="s">
        <v>29</v>
      </c>
    </row>
    <row r="4" spans="1:16" x14ac:dyDescent="0.2">
      <c r="A4" t="s">
        <v>21</v>
      </c>
      <c r="B4" s="51" t="s">
        <v>22</v>
      </c>
      <c r="C4" s="51"/>
      <c r="D4" s="51"/>
      <c r="E4" s="51"/>
      <c r="F4" s="51"/>
      <c r="G4" s="51"/>
      <c r="H4" s="51"/>
      <c r="J4" s="16" t="s">
        <v>27</v>
      </c>
      <c r="K4" s="49" t="s">
        <v>28</v>
      </c>
      <c r="L4" s="52"/>
      <c r="M4" s="52"/>
      <c r="N4" s="50"/>
      <c r="O4" s="49" t="s">
        <v>25</v>
      </c>
      <c r="P4" s="50"/>
    </row>
    <row r="5" spans="1:16" x14ac:dyDescent="0.2">
      <c r="A5" t="s">
        <v>13</v>
      </c>
      <c r="B5" s="13" t="s">
        <v>12</v>
      </c>
      <c r="J5" s="17"/>
      <c r="K5" s="22"/>
      <c r="L5" s="23"/>
      <c r="M5" s="23"/>
      <c r="N5" s="34"/>
      <c r="O5" s="27" t="s">
        <v>23</v>
      </c>
      <c r="P5" s="28" t="s">
        <v>24</v>
      </c>
    </row>
    <row r="6" spans="1:16" x14ac:dyDescent="0.2">
      <c r="A6" t="s">
        <v>4</v>
      </c>
      <c r="B6" s="14">
        <v>144.19999999999999</v>
      </c>
      <c r="C6" t="s">
        <v>14</v>
      </c>
      <c r="E6" s="10" t="s">
        <v>6</v>
      </c>
      <c r="F6" s="10" t="s">
        <v>3</v>
      </c>
      <c r="G6" s="10" t="s">
        <v>2</v>
      </c>
      <c r="H6" s="10" t="s">
        <v>1</v>
      </c>
      <c r="J6" s="20" t="str">
        <f t="shared" ref="J6:L8" si="0">A7</f>
        <v>Parasitic element diameter</v>
      </c>
      <c r="K6" s="20">
        <f t="shared" si="0"/>
        <v>6</v>
      </c>
      <c r="L6" s="21" t="str">
        <f t="shared" si="0"/>
        <v>mm</v>
      </c>
      <c r="M6" s="29">
        <f>K6/$B$16</f>
        <v>2.8859965516544119E-3</v>
      </c>
      <c r="N6" s="32" t="s">
        <v>26</v>
      </c>
      <c r="O6" s="21">
        <v>1E-3</v>
      </c>
      <c r="P6" s="24">
        <v>0.02</v>
      </c>
    </row>
    <row r="7" spans="1:16" x14ac:dyDescent="0.2">
      <c r="A7" t="s">
        <v>7</v>
      </c>
      <c r="B7" s="15">
        <v>6</v>
      </c>
      <c r="C7" t="str">
        <f>$B$5</f>
        <v>mm</v>
      </c>
      <c r="E7" s="11"/>
      <c r="F7" s="11" t="str">
        <f>"("&amp;$B$5&amp;")"</f>
        <v>(mm)</v>
      </c>
      <c r="G7" s="11" t="str">
        <f>"("&amp;$B$5&amp;")"</f>
        <v>(mm)</v>
      </c>
      <c r="H7" s="11" t="str">
        <f>"("&amp;$B$5&amp;")"</f>
        <v>(mm)</v>
      </c>
      <c r="J7" s="22" t="str">
        <f t="shared" si="0"/>
        <v>Driven element diameter</v>
      </c>
      <c r="K7" s="22">
        <f t="shared" si="0"/>
        <v>6</v>
      </c>
      <c r="L7" s="23" t="str">
        <f t="shared" si="0"/>
        <v>mm</v>
      </c>
      <c r="M7" s="30">
        <f>K7/$B$16</f>
        <v>2.8859965516544119E-3</v>
      </c>
      <c r="N7" s="33" t="s">
        <v>26</v>
      </c>
      <c r="O7" s="23">
        <v>1E-3</v>
      </c>
      <c r="P7" s="25">
        <v>0.02</v>
      </c>
    </row>
    <row r="8" spans="1:16" x14ac:dyDescent="0.2">
      <c r="A8" t="s">
        <v>8</v>
      </c>
      <c r="B8" s="15">
        <v>6</v>
      </c>
      <c r="C8" t="str">
        <f>$B$5</f>
        <v>mm</v>
      </c>
      <c r="E8" s="12" t="str">
        <f t="array" ref="E8:H107">dl6wu_yagi(B11,B7,B8,B9,B10,B12,B16)</f>
        <v>R</v>
      </c>
      <c r="F8" s="3">
        <v>15</v>
      </c>
      <c r="G8" s="3">
        <v>15</v>
      </c>
      <c r="H8" s="3">
        <v>1023.209246765578</v>
      </c>
      <c r="J8" s="22" t="str">
        <f t="shared" si="0"/>
        <v>Boom diameter</v>
      </c>
      <c r="K8" s="22">
        <f t="shared" si="0"/>
        <v>25</v>
      </c>
      <c r="L8" s="23" t="str">
        <f t="shared" si="0"/>
        <v>mm</v>
      </c>
      <c r="M8" s="30">
        <f>K8/$B$16</f>
        <v>1.2024985631893382E-2</v>
      </c>
      <c r="N8" s="33" t="s">
        <v>26</v>
      </c>
      <c r="O8" s="36">
        <v>0</v>
      </c>
      <c r="P8" s="25">
        <f>IF(UPPER(LEFT(K9,1))="B",0.055,IF(UPPER(LEFT(K9,1))="I",0.06,""))</f>
        <v>5.5E-2</v>
      </c>
    </row>
    <row r="9" spans="1:16" x14ac:dyDescent="0.2">
      <c r="A9" t="s">
        <v>0</v>
      </c>
      <c r="B9" s="15">
        <v>25</v>
      </c>
      <c r="C9" t="str">
        <f>$B$5</f>
        <v>mm</v>
      </c>
      <c r="E9" s="12" t="str">
        <v>DE</v>
      </c>
      <c r="F9" s="3">
        <v>430.8009126213592</v>
      </c>
      <c r="G9" s="3">
        <v>415.8009126213592</v>
      </c>
      <c r="H9" s="3">
        <v>1004.8890117943831</v>
      </c>
      <c r="J9" s="22" t="s">
        <v>10</v>
      </c>
      <c r="K9" s="27" t="str">
        <f>B10</f>
        <v>Bonded</v>
      </c>
      <c r="L9" s="23" t="str">
        <f>C10</f>
        <v/>
      </c>
      <c r="M9" s="30">
        <f>dl6wu_boomcorrection(B10,B9/B16)</f>
        <v>0.26985604900213522</v>
      </c>
      <c r="N9" s="34" t="s">
        <v>30</v>
      </c>
      <c r="O9" s="36">
        <v>0</v>
      </c>
      <c r="P9" s="25">
        <v>1</v>
      </c>
    </row>
    <row r="10" spans="1:16" x14ac:dyDescent="0.2">
      <c r="A10" t="s">
        <v>358</v>
      </c>
      <c r="B10" s="13" t="s">
        <v>357</v>
      </c>
      <c r="C10" t="str">
        <f>IF(ISNUMBER(B10),"pu","")</f>
        <v/>
      </c>
      <c r="E10" s="12" t="str">
        <v>D 1</v>
      </c>
      <c r="F10" s="3">
        <v>586.7262548543689</v>
      </c>
      <c r="G10" s="3">
        <v>155.9253422330097</v>
      </c>
      <c r="H10" s="3">
        <v>937.19711708125374</v>
      </c>
      <c r="J10" s="18" t="str">
        <f>A12</f>
        <v>Elements</v>
      </c>
      <c r="K10" s="18">
        <f>B12</f>
        <v>100</v>
      </c>
      <c r="L10" s="19"/>
      <c r="M10" s="31">
        <f>K10</f>
        <v>100</v>
      </c>
      <c r="N10" s="35"/>
      <c r="O10" s="31">
        <v>10</v>
      </c>
      <c r="P10" s="26">
        <v>100</v>
      </c>
    </row>
    <row r="11" spans="1:16" x14ac:dyDescent="0.2">
      <c r="A11" t="s">
        <v>359</v>
      </c>
      <c r="B11" s="15">
        <v>15</v>
      </c>
      <c r="C11" t="str">
        <f>$B$5</f>
        <v>mm</v>
      </c>
      <c r="E11" s="12" t="str">
        <v>D 2</v>
      </c>
      <c r="F11" s="3">
        <v>960.94707621359225</v>
      </c>
      <c r="G11" s="3">
        <v>374.22082135922329</v>
      </c>
      <c r="H11" s="3">
        <v>929.00512076467783</v>
      </c>
      <c r="J11" s="1"/>
      <c r="K11" s="1"/>
      <c r="L11" s="1"/>
      <c r="M11" s="1"/>
      <c r="N11" s="1"/>
      <c r="O11" s="1"/>
    </row>
    <row r="12" spans="1:16" x14ac:dyDescent="0.2">
      <c r="A12" t="s">
        <v>9</v>
      </c>
      <c r="B12" s="15">
        <v>100</v>
      </c>
      <c r="E12" s="12" t="str">
        <v>D 3</v>
      </c>
      <c r="F12" s="3">
        <v>1407.9330572815534</v>
      </c>
      <c r="G12" s="3">
        <v>446.98598106796112</v>
      </c>
      <c r="H12" s="3">
        <v>919.90298418802752</v>
      </c>
    </row>
    <row r="13" spans="1:16" x14ac:dyDescent="0.2">
      <c r="A13" t="s">
        <v>368</v>
      </c>
      <c r="B13" s="13" t="s">
        <v>367</v>
      </c>
      <c r="E13" s="12" t="str">
        <v>D 4</v>
      </c>
      <c r="F13" s="3">
        <v>1927.6841980582524</v>
      </c>
      <c r="G13" s="3">
        <v>519.751140776699</v>
      </c>
      <c r="H13" s="3">
        <v>911.01455522430115</v>
      </c>
      <c r="J13" s="1"/>
      <c r="K13" s="1"/>
      <c r="L13" s="1"/>
      <c r="M13" s="1"/>
      <c r="N13" s="1"/>
      <c r="O13" s="1"/>
    </row>
    <row r="14" spans="1:16" x14ac:dyDescent="0.2">
      <c r="E14" s="12" t="str">
        <v>D 5</v>
      </c>
      <c r="F14" s="3">
        <v>2509.8054757281552</v>
      </c>
      <c r="G14" s="3">
        <v>582.12127766990295</v>
      </c>
      <c r="H14" s="3">
        <v>903.04647880569394</v>
      </c>
      <c r="J14" s="1"/>
      <c r="K14" s="1"/>
      <c r="L14" s="1"/>
      <c r="M14" s="1"/>
      <c r="N14" s="1"/>
      <c r="O14" s="1"/>
    </row>
    <row r="15" spans="1:16" x14ac:dyDescent="0.2">
      <c r="A15" s="8" t="s">
        <v>20</v>
      </c>
      <c r="E15" s="12" t="str">
        <v>D 6</v>
      </c>
      <c r="F15" s="3">
        <v>3133.506844660194</v>
      </c>
      <c r="G15" s="3">
        <v>623.7013689320388</v>
      </c>
      <c r="H15" s="3">
        <v>896.0945071704549</v>
      </c>
      <c r="J15" s="1"/>
      <c r="K15" s="1"/>
      <c r="L15" s="1"/>
      <c r="M15" s="1"/>
      <c r="N15" s="1"/>
      <c r="O15" s="1"/>
    </row>
    <row r="16" spans="1:16" x14ac:dyDescent="0.2">
      <c r="A16" t="s">
        <v>5</v>
      </c>
      <c r="B16" s="5">
        <f>dl6wu_wavelength(B5,B6*1000000)</f>
        <v>2079.004563106796</v>
      </c>
      <c r="C16" t="str">
        <f>$B$5</f>
        <v>mm</v>
      </c>
      <c r="E16" s="12" t="str">
        <v>D 7</v>
      </c>
      <c r="F16" s="3">
        <v>3788.3932820388345</v>
      </c>
      <c r="G16" s="3">
        <v>654.88643737864072</v>
      </c>
      <c r="H16" s="3">
        <v>890.04067356907854</v>
      </c>
      <c r="J16" s="1" t="str">
        <f>"Boom length ("&amp;B5&amp;")"</f>
        <v>Boom length (mm)</v>
      </c>
      <c r="K16" s="1" t="s">
        <v>31</v>
      </c>
      <c r="L16" s="1"/>
      <c r="M16" s="1"/>
      <c r="N16" s="1"/>
      <c r="O16" s="1"/>
    </row>
    <row r="17" spans="1:15" x14ac:dyDescent="0.2">
      <c r="A17" t="s">
        <v>373</v>
      </c>
      <c r="B17" s="5">
        <f>0.003*B16</f>
        <v>6.2370136893203885</v>
      </c>
      <c r="C17" t="str">
        <f>$B$5</f>
        <v>mm</v>
      </c>
      <c r="E17" s="12" t="str">
        <v>D 8</v>
      </c>
      <c r="F17" s="3">
        <v>4474.4647878640772</v>
      </c>
      <c r="G17" s="3">
        <v>686.07150582524275</v>
      </c>
      <c r="H17" s="3">
        <v>884.72758189275635</v>
      </c>
      <c r="J17" s="37">
        <f t="shared" ref="J17:J27" si="1">EXP((K17-2.15-9.2)/3.39)*$B$16</f>
        <v>4476.5419206283605</v>
      </c>
      <c r="K17">
        <f>11.8+2.15</f>
        <v>13.950000000000001</v>
      </c>
      <c r="L17" s="38"/>
      <c r="N17" s="1"/>
      <c r="O17" s="7"/>
    </row>
    <row r="18" spans="1:15" x14ac:dyDescent="0.2">
      <c r="A18" t="s">
        <v>17</v>
      </c>
      <c r="B18" s="4">
        <f>MAX(F8:F107)+$B$11-0</f>
        <v>79063.358466504724</v>
      </c>
      <c r="C18" t="str">
        <f>$B$5</f>
        <v>mm</v>
      </c>
      <c r="E18" s="12" t="str">
        <v>D 9</v>
      </c>
      <c r="F18" s="3">
        <v>5191.7213621359215</v>
      </c>
      <c r="G18" s="3">
        <v>717.25657427184456</v>
      </c>
      <c r="H18" s="3">
        <v>880.01429986140727</v>
      </c>
      <c r="J18" s="37">
        <f t="shared" si="1"/>
        <v>6012.4727691666913</v>
      </c>
      <c r="K18">
        <f t="shared" ref="K18:K26" si="2">K17+1</f>
        <v>14.950000000000001</v>
      </c>
      <c r="N18" s="1"/>
      <c r="O18" s="1"/>
    </row>
    <row r="19" spans="1:15" x14ac:dyDescent="0.2">
      <c r="A19" t="s">
        <v>16</v>
      </c>
      <c r="B19" s="5">
        <f>dl6wu_gain(($B$18-2*$B$11)/$B$16)</f>
        <v>23.68075497532655</v>
      </c>
      <c r="C19" t="s">
        <v>15</v>
      </c>
      <c r="E19" s="12" t="str">
        <v>D 10</v>
      </c>
      <c r="F19" s="3">
        <v>5940.1630048543684</v>
      </c>
      <c r="G19" s="3">
        <v>748.44164271844659</v>
      </c>
      <c r="H19" s="3">
        <v>875.78778148790525</v>
      </c>
      <c r="J19" s="37">
        <f t="shared" si="1"/>
        <v>8075.3915502028231</v>
      </c>
      <c r="K19">
        <f t="shared" si="2"/>
        <v>15.950000000000001</v>
      </c>
      <c r="L19" s="1"/>
      <c r="N19" s="1"/>
      <c r="O19" s="1"/>
    </row>
    <row r="20" spans="1:15" x14ac:dyDescent="0.2">
      <c r="A20" t="s">
        <v>366</v>
      </c>
      <c r="B20" s="5">
        <f>dl6wu_bwh(($B$18-2*$B$11)/$B$16)</f>
        <v>12.747237705951047</v>
      </c>
      <c r="C20" t="s">
        <v>18</v>
      </c>
      <c r="E20" s="12" t="str">
        <v>D 11</v>
      </c>
      <c r="F20" s="3">
        <v>6719.789716019417</v>
      </c>
      <c r="G20" s="3">
        <v>779.6267111650485</v>
      </c>
      <c r="H20" s="3">
        <v>871.96045523980797</v>
      </c>
      <c r="J20" s="37">
        <f t="shared" si="1"/>
        <v>10846.111274467417</v>
      </c>
      <c r="K20">
        <f t="shared" si="2"/>
        <v>16.950000000000003</v>
      </c>
      <c r="L20" s="1"/>
      <c r="N20" s="1"/>
      <c r="O20" s="1"/>
    </row>
    <row r="21" spans="1:15" x14ac:dyDescent="0.2">
      <c r="A21" t="s">
        <v>365</v>
      </c>
      <c r="B21" s="5">
        <f>dl6wu_bwe(($B$18-2*$B$11)/$B$16)</f>
        <v>12.649277436988241</v>
      </c>
      <c r="C21" t="s">
        <v>18</v>
      </c>
      <c r="E21" s="12" t="str">
        <v>D 12</v>
      </c>
      <c r="F21" s="3">
        <v>7530.6014956310673</v>
      </c>
      <c r="G21" s="3">
        <v>810.81177961165042</v>
      </c>
      <c r="H21" s="3">
        <v>868.46485685065397</v>
      </c>
      <c r="J21" s="37">
        <f t="shared" si="1"/>
        <v>14567.483080764618</v>
      </c>
      <c r="K21">
        <f t="shared" si="2"/>
        <v>17.950000000000003</v>
      </c>
      <c r="L21" s="1"/>
      <c r="N21" s="1"/>
      <c r="O21" s="1"/>
    </row>
    <row r="22" spans="1:15" x14ac:dyDescent="0.2">
      <c r="A22" t="s">
        <v>363</v>
      </c>
      <c r="B22" s="4">
        <f>dl6wu_sdh(($B$18-2*$B$11)/$B$16,$B$16)</f>
        <v>9363.9277665717163</v>
      </c>
      <c r="C22" t="str">
        <f>$B$5</f>
        <v>mm</v>
      </c>
      <c r="E22" s="12" t="str">
        <v>D 13</v>
      </c>
      <c r="F22" s="3">
        <v>8362.2033208737848</v>
      </c>
      <c r="G22" s="3">
        <v>831.60182524271841</v>
      </c>
      <c r="H22" s="3">
        <v>865.24863560105371</v>
      </c>
      <c r="J22" s="37">
        <f t="shared" si="1"/>
        <v>19565.681923983753</v>
      </c>
      <c r="K22">
        <f t="shared" si="2"/>
        <v>18.950000000000003</v>
      </c>
      <c r="L22" s="1"/>
      <c r="N22" s="1"/>
      <c r="O22" s="1"/>
    </row>
    <row r="23" spans="1:15" x14ac:dyDescent="0.2">
      <c r="A23" t="s">
        <v>364</v>
      </c>
      <c r="B23" s="4">
        <f>dl6wu_sde(($B$18-2*$B$11)/$B$16,$B$16)</f>
        <v>9436.1469681969647</v>
      </c>
      <c r="C23" t="str">
        <f>$B$5</f>
        <v>mm</v>
      </c>
      <c r="E23" s="12" t="str">
        <v>D 14</v>
      </c>
      <c r="F23" s="3">
        <v>9193.8051461165032</v>
      </c>
      <c r="G23" s="3">
        <v>831.60182524271841</v>
      </c>
      <c r="H23" s="3">
        <v>862.27065747746008</v>
      </c>
      <c r="J23" s="37">
        <f t="shared" si="1"/>
        <v>26278.795522061526</v>
      </c>
      <c r="K23">
        <f t="shared" si="2"/>
        <v>19.950000000000003</v>
      </c>
      <c r="L23" s="1"/>
      <c r="N23" s="1"/>
      <c r="O23" s="1"/>
    </row>
    <row r="24" spans="1:15" x14ac:dyDescent="0.2">
      <c r="E24" s="12" t="str">
        <v>D 15</v>
      </c>
      <c r="F24" s="3">
        <v>10025.406971359222</v>
      </c>
      <c r="G24" s="3">
        <v>831.60182524271841</v>
      </c>
      <c r="H24" s="3">
        <v>859.49814139285593</v>
      </c>
      <c r="J24" s="37">
        <f t="shared" si="1"/>
        <v>35295.22235786778</v>
      </c>
      <c r="K24">
        <f t="shared" si="2"/>
        <v>20.950000000000003</v>
      </c>
      <c r="L24" s="1"/>
      <c r="N24" s="1"/>
      <c r="O24" s="1"/>
    </row>
    <row r="25" spans="1:15" x14ac:dyDescent="0.2">
      <c r="E25" s="12" t="str">
        <v>D 16</v>
      </c>
      <c r="F25" s="3">
        <v>10857.00879660194</v>
      </c>
      <c r="G25" s="3">
        <v>831.60182524271841</v>
      </c>
      <c r="H25" s="3">
        <v>856.90459350672688</v>
      </c>
      <c r="J25" s="37">
        <f t="shared" si="1"/>
        <v>47405.244286995498</v>
      </c>
      <c r="K25">
        <f t="shared" si="2"/>
        <v>21.950000000000003</v>
      </c>
      <c r="L25" s="1"/>
      <c r="N25" s="1"/>
      <c r="O25" s="1"/>
    </row>
    <row r="26" spans="1:15" x14ac:dyDescent="0.2">
      <c r="E26" s="12" t="str">
        <v>D 17</v>
      </c>
      <c r="F26" s="3">
        <v>11688.610621844658</v>
      </c>
      <c r="G26" s="3">
        <v>831.60182524271841</v>
      </c>
      <c r="H26" s="3">
        <v>854.46831746085013</v>
      </c>
      <c r="J26" s="37">
        <f t="shared" si="1"/>
        <v>63670.294045017523</v>
      </c>
      <c r="K26">
        <f t="shared" si="2"/>
        <v>22.950000000000003</v>
      </c>
      <c r="L26" s="1"/>
      <c r="N26" s="1"/>
      <c r="O26" s="1"/>
    </row>
    <row r="27" spans="1:15" x14ac:dyDescent="0.2">
      <c r="A27" t="str">
        <f ca="1">"Version: "&amp;dl6wu_version("v")</f>
        <v>Version: 2.02</v>
      </c>
      <c r="E27" s="12" t="str">
        <v>D 18</v>
      </c>
      <c r="F27" s="3">
        <v>12520.212447087377</v>
      </c>
      <c r="G27" s="3">
        <v>831.60182524271841</v>
      </c>
      <c r="H27" s="3">
        <v>852.17133062997084</v>
      </c>
      <c r="J27" s="37">
        <f t="shared" si="1"/>
        <v>80616.73940499693</v>
      </c>
      <c r="K27">
        <f>21.6+2.15</f>
        <v>23.75</v>
      </c>
      <c r="L27" s="38"/>
      <c r="N27" s="1"/>
      <c r="O27" s="1"/>
    </row>
    <row r="28" spans="1:15" x14ac:dyDescent="0.2">
      <c r="A28" s="46">
        <f ca="1">dl6wu_version("d")</f>
        <v>41735</v>
      </c>
      <c r="E28" s="12" t="str">
        <v>D 19</v>
      </c>
      <c r="F28" s="3">
        <v>13351.814272330095</v>
      </c>
      <c r="G28" s="3">
        <v>831.60182524271841</v>
      </c>
      <c r="H28" s="3">
        <v>849.99856570320549</v>
      </c>
      <c r="J28" s="1"/>
      <c r="K28" s="1"/>
      <c r="L28" s="1"/>
      <c r="N28" s="1"/>
      <c r="O28" s="1"/>
    </row>
    <row r="29" spans="1:15" x14ac:dyDescent="0.2">
      <c r="A29" t="str">
        <f ca="1">dl6wu_version("c")</f>
        <v>Copyright: Owen Duffy 2006, 2014.</v>
      </c>
      <c r="E29" s="12" t="str">
        <v>D 20</v>
      </c>
      <c r="F29" s="3">
        <v>14183.416097572814</v>
      </c>
      <c r="G29" s="3">
        <v>831.60182524271841</v>
      </c>
      <c r="H29" s="3">
        <v>847.93727413063255</v>
      </c>
      <c r="J29" s="1"/>
      <c r="K29" s="1"/>
      <c r="L29" s="1"/>
      <c r="N29" s="1"/>
      <c r="O29" s="1"/>
    </row>
    <row r="30" spans="1:15" x14ac:dyDescent="0.2">
      <c r="A30" s="45" t="str">
        <f ca="1">"Support: "&amp;HYPERLINK(dl6wu_version("u"),dl6wu_version("u"))</f>
        <v>Support: http://owenduffy.net</v>
      </c>
      <c r="E30" s="12" t="str">
        <v>D 21</v>
      </c>
      <c r="F30" s="3">
        <v>15015.017922815532</v>
      </c>
      <c r="G30" s="3">
        <v>831.60182524271841</v>
      </c>
      <c r="H30" s="3">
        <v>845.97657403141284</v>
      </c>
      <c r="J30" s="1"/>
      <c r="K30" s="1"/>
      <c r="L30" s="1"/>
      <c r="N30" s="1"/>
      <c r="O30" s="1"/>
    </row>
    <row r="31" spans="1:15" x14ac:dyDescent="0.2">
      <c r="E31" s="12" t="str">
        <v>D 22</v>
      </c>
      <c r="F31" s="3">
        <v>15846.61974805825</v>
      </c>
      <c r="G31" s="3">
        <v>831.60182524271841</v>
      </c>
      <c r="H31" s="3">
        <v>844.10710288735629</v>
      </c>
      <c r="J31" s="1"/>
      <c r="K31" s="1"/>
      <c r="L31" s="1"/>
      <c r="N31" s="1"/>
      <c r="O31" s="1"/>
    </row>
    <row r="32" spans="1:15" x14ac:dyDescent="0.2">
      <c r="E32" s="12" t="str">
        <v>D 23</v>
      </c>
      <c r="F32" s="3">
        <v>16678.221573300969</v>
      </c>
      <c r="G32" s="3">
        <v>831.60182524271841</v>
      </c>
      <c r="H32" s="3">
        <v>842.32074731509329</v>
      </c>
      <c r="J32" s="1"/>
      <c r="K32" s="1"/>
      <c r="L32" s="1"/>
      <c r="N32" s="1"/>
      <c r="O32" s="1"/>
    </row>
    <row r="33" spans="2:15" x14ac:dyDescent="0.2">
      <c r="E33" s="12" t="str">
        <v>D 24</v>
      </c>
      <c r="F33" s="3">
        <v>17509.823398543689</v>
      </c>
      <c r="G33" s="3">
        <v>831.60182524271841</v>
      </c>
      <c r="H33" s="3">
        <v>840.61043031980807</v>
      </c>
      <c r="J33" s="1"/>
      <c r="K33" s="1"/>
      <c r="L33" s="1"/>
      <c r="N33" s="1"/>
      <c r="O33" s="1"/>
    </row>
    <row r="34" spans="2:15" x14ac:dyDescent="0.2">
      <c r="E34" s="12" t="str">
        <v>D 25</v>
      </c>
      <c r="F34" s="3">
        <v>18341.425223786406</v>
      </c>
      <c r="G34" s="3">
        <v>831.60182524271841</v>
      </c>
      <c r="H34" s="3">
        <v>838.96994197915933</v>
      </c>
      <c r="J34" s="1"/>
      <c r="K34" s="1"/>
      <c r="L34" s="1"/>
      <c r="N34" s="1"/>
      <c r="O34" s="1"/>
    </row>
    <row r="35" spans="2:15" x14ac:dyDescent="0.2">
      <c r="E35" s="12" t="str">
        <v>D 26</v>
      </c>
      <c r="F35" s="3">
        <v>19173.027049029122</v>
      </c>
      <c r="G35" s="3">
        <v>831.60182524271841</v>
      </c>
      <c r="H35" s="3">
        <v>837.39380334412397</v>
      </c>
      <c r="J35" s="1"/>
      <c r="K35" s="1"/>
      <c r="L35" s="1"/>
      <c r="N35" s="1"/>
      <c r="O35" s="1"/>
    </row>
    <row r="36" spans="2:15" x14ac:dyDescent="0.2">
      <c r="E36" s="12" t="str">
        <v>D 27</v>
      </c>
      <c r="F36" s="3">
        <v>20004.628874271839</v>
      </c>
      <c r="G36" s="3">
        <v>831.60182524271841</v>
      </c>
      <c r="H36" s="3">
        <v>835.87715603507741</v>
      </c>
      <c r="J36" s="1"/>
      <c r="K36" s="1"/>
      <c r="L36" s="1"/>
      <c r="N36" s="1"/>
      <c r="O36" s="1"/>
    </row>
    <row r="37" spans="2:15" x14ac:dyDescent="0.2">
      <c r="E37" s="12" t="str">
        <v>D 28</v>
      </c>
      <c r="F37" s="3">
        <v>20836.230699514555</v>
      </c>
      <c r="G37" s="3">
        <v>831.60182524271841</v>
      </c>
      <c r="H37" s="3">
        <v>834.41567192438833</v>
      </c>
      <c r="J37" s="1"/>
      <c r="K37" s="1"/>
      <c r="L37" s="1"/>
      <c r="N37" s="1"/>
      <c r="O37" s="1"/>
    </row>
    <row r="38" spans="2:15" x14ac:dyDescent="0.2">
      <c r="B38" s="6"/>
      <c r="E38" s="12" t="str">
        <v>D 29</v>
      </c>
      <c r="F38" s="3">
        <v>21667.832524757272</v>
      </c>
      <c r="G38" s="3">
        <v>831.60182524271841</v>
      </c>
      <c r="H38" s="3">
        <v>833.00547867430203</v>
      </c>
      <c r="J38" s="1"/>
      <c r="K38" s="1"/>
      <c r="L38" s="1"/>
      <c r="N38" s="1"/>
      <c r="O38" s="1"/>
    </row>
    <row r="39" spans="2:15" x14ac:dyDescent="0.2">
      <c r="E39" s="12" t="str">
        <v>D 30</v>
      </c>
      <c r="F39" s="3">
        <v>22499.434349999989</v>
      </c>
      <c r="G39" s="3">
        <v>831.60182524271841</v>
      </c>
      <c r="H39" s="3">
        <v>831.64309790324273</v>
      </c>
      <c r="J39" s="1"/>
      <c r="N39" s="1"/>
      <c r="O39" s="1"/>
    </row>
    <row r="40" spans="2:15" x14ac:dyDescent="0.2">
      <c r="E40" s="12" t="str">
        <v>D 31</v>
      </c>
      <c r="F40" s="3">
        <v>23331.036175242705</v>
      </c>
      <c r="G40" s="3">
        <v>831.60182524271841</v>
      </c>
      <c r="H40" s="3">
        <v>830.32539349465446</v>
      </c>
      <c r="J40" s="1"/>
      <c r="K40" s="1"/>
      <c r="L40" s="1"/>
      <c r="M40" s="1"/>
      <c r="N40" s="1"/>
      <c r="O40" s="1"/>
    </row>
    <row r="41" spans="2:15" x14ac:dyDescent="0.2">
      <c r="E41" s="12" t="str">
        <v>D 32</v>
      </c>
      <c r="F41" s="3">
        <v>24162.638000485422</v>
      </c>
      <c r="G41" s="3">
        <v>831.60182524271841</v>
      </c>
      <c r="H41" s="3">
        <v>829.04952811526221</v>
      </c>
      <c r="J41" s="1"/>
      <c r="K41" s="1"/>
      <c r="L41" s="1"/>
      <c r="M41" s="1"/>
      <c r="N41" s="1"/>
      <c r="O41" s="1"/>
    </row>
    <row r="42" spans="2:15" x14ac:dyDescent="0.2">
      <c r="E42" s="12" t="str">
        <v>D 33</v>
      </c>
      <c r="F42" s="3">
        <v>24994.239825728138</v>
      </c>
      <c r="G42" s="3">
        <v>831.60182524271841</v>
      </c>
      <c r="H42" s="3">
        <v>827.8129264262592</v>
      </c>
      <c r="J42" s="1"/>
      <c r="K42" s="1"/>
      <c r="L42" s="1"/>
      <c r="M42" s="1"/>
      <c r="N42" s="1"/>
      <c r="O42" s="1"/>
    </row>
    <row r="43" spans="2:15" x14ac:dyDescent="0.2">
      <c r="E43" s="12" t="str">
        <v>D 34</v>
      </c>
      <c r="F43" s="3">
        <v>25825.841650970855</v>
      </c>
      <c r="G43" s="3">
        <v>831.60182524271841</v>
      </c>
      <c r="H43" s="3">
        <v>826.61324378800896</v>
      </c>
    </row>
    <row r="44" spans="2:15" x14ac:dyDescent="0.2">
      <c r="E44" s="12" t="str">
        <v>D 35</v>
      </c>
      <c r="F44" s="3">
        <v>26657.443476213572</v>
      </c>
      <c r="G44" s="3">
        <v>831.60182524271841</v>
      </c>
      <c r="H44" s="3">
        <v>825.44833950235659</v>
      </c>
    </row>
    <row r="45" spans="2:15" x14ac:dyDescent="0.2">
      <c r="E45" s="12" t="str">
        <v>D 36</v>
      </c>
      <c r="F45" s="3">
        <v>27489.045301456288</v>
      </c>
      <c r="G45" s="3">
        <v>831.60182524271841</v>
      </c>
      <c r="H45" s="3">
        <v>824.31625382523998</v>
      </c>
    </row>
    <row r="46" spans="2:15" x14ac:dyDescent="0.2">
      <c r="E46" s="12" t="str">
        <v>D 37</v>
      </c>
      <c r="F46" s="3">
        <v>28320.647126699005</v>
      </c>
      <c r="G46" s="3">
        <v>831.60182524271841</v>
      </c>
      <c r="H46" s="3">
        <v>823.2151881295315</v>
      </c>
    </row>
    <row r="47" spans="2:15" x14ac:dyDescent="0.2">
      <c r="E47" s="12" t="str">
        <v>D 38</v>
      </c>
      <c r="F47" s="3">
        <v>29152.248951941721</v>
      </c>
      <c r="G47" s="3">
        <v>831.60182524271841</v>
      </c>
      <c r="H47" s="3">
        <v>822.14348771384289</v>
      </c>
    </row>
    <row r="48" spans="2:15" x14ac:dyDescent="0.2">
      <c r="E48" s="12" t="str">
        <v>D 39</v>
      </c>
      <c r="F48" s="3">
        <v>29983.850777184438</v>
      </c>
      <c r="G48" s="3">
        <v>831.60182524271841</v>
      </c>
      <c r="H48" s="3">
        <v>821.09962684476034</v>
      </c>
    </row>
    <row r="49" spans="1:8" x14ac:dyDescent="0.2">
      <c r="E49" s="12" t="str">
        <v>D 40</v>
      </c>
      <c r="F49" s="3">
        <v>30815.452602427154</v>
      </c>
      <c r="G49" s="3">
        <v>831.60182524271841</v>
      </c>
      <c r="H49" s="3">
        <v>820.08219569311791</v>
      </c>
    </row>
    <row r="50" spans="1:8" x14ac:dyDescent="0.2">
      <c r="E50" s="12" t="str">
        <v>D 41</v>
      </c>
      <c r="F50" s="3">
        <v>31647.054427669871</v>
      </c>
      <c r="G50" s="3">
        <v>831.60182524271841</v>
      </c>
      <c r="H50" s="3">
        <v>819.08988888359977</v>
      </c>
    </row>
    <row r="51" spans="1:8" x14ac:dyDescent="0.2">
      <c r="E51" s="12" t="str">
        <v>D 42</v>
      </c>
      <c r="F51" s="3">
        <v>32478.656252912588</v>
      </c>
      <c r="G51" s="3">
        <v>831.60182524271841</v>
      </c>
      <c r="H51" s="3">
        <v>818.12149542433735</v>
      </c>
    </row>
    <row r="52" spans="1:8" x14ac:dyDescent="0.2">
      <c r="E52" s="12" t="str">
        <v>D 43</v>
      </c>
      <c r="F52" s="3">
        <v>33310.258078155304</v>
      </c>
      <c r="G52" s="3">
        <v>831.60182524271841</v>
      </c>
      <c r="H52" s="3">
        <v>817.17588982160783</v>
      </c>
    </row>
    <row r="53" spans="1:8" x14ac:dyDescent="0.2">
      <c r="E53" s="12" t="str">
        <v>D 44</v>
      </c>
      <c r="F53" s="3">
        <v>34141.859903398021</v>
      </c>
      <c r="G53" s="3">
        <v>831.60182524271841</v>
      </c>
      <c r="H53" s="3">
        <v>816.25202421611891</v>
      </c>
    </row>
    <row r="54" spans="1:8" x14ac:dyDescent="0.2">
      <c r="E54" s="12" t="str">
        <v>D 45</v>
      </c>
      <c r="F54" s="3">
        <v>34973.461728640737</v>
      </c>
      <c r="G54" s="3">
        <v>831.60182524271841</v>
      </c>
      <c r="H54" s="3">
        <v>815.3489214030933</v>
      </c>
    </row>
    <row r="55" spans="1:8" x14ac:dyDescent="0.2">
      <c r="A55" s="1"/>
      <c r="B55" s="2"/>
      <c r="C55" s="2"/>
      <c r="E55" s="12" t="str">
        <v>D 46</v>
      </c>
      <c r="F55" s="3">
        <v>35805.063553883454</v>
      </c>
      <c r="G55" s="3">
        <v>831.60182524271841</v>
      </c>
      <c r="H55" s="3">
        <v>814.4656686195741</v>
      </c>
    </row>
    <row r="56" spans="1:8" x14ac:dyDescent="0.2">
      <c r="A56" s="1"/>
      <c r="B56" s="2"/>
      <c r="C56" s="2"/>
      <c r="E56" s="12" t="str">
        <v>D 47</v>
      </c>
      <c r="F56" s="3">
        <v>36636.665379126171</v>
      </c>
      <c r="G56" s="3">
        <v>831.60182524271841</v>
      </c>
      <c r="H56" s="3">
        <v>813.60141199992506</v>
      </c>
    </row>
    <row r="57" spans="1:8" x14ac:dyDescent="0.2">
      <c r="A57" s="1"/>
      <c r="B57" s="2"/>
      <c r="C57" s="2"/>
      <c r="E57" s="12" t="str">
        <v>D 48</v>
      </c>
      <c r="F57" s="3">
        <v>37468.267204368887</v>
      </c>
      <c r="G57" s="3">
        <v>831.60182524271841</v>
      </c>
      <c r="H57" s="3">
        <v>812.75535161509868</v>
      </c>
    </row>
    <row r="58" spans="1:8" x14ac:dyDescent="0.2">
      <c r="A58" s="1"/>
      <c r="B58" s="2"/>
      <c r="C58" s="2"/>
      <c r="E58" s="12" t="str">
        <v>D 49</v>
      </c>
      <c r="F58" s="3">
        <v>38299.869029611604</v>
      </c>
      <c r="G58" s="3">
        <v>831.60182524271841</v>
      </c>
      <c r="H58" s="3">
        <v>811.92673702343473</v>
      </c>
    </row>
    <row r="59" spans="1:8" x14ac:dyDescent="0.2">
      <c r="A59" s="1"/>
      <c r="B59" s="2"/>
      <c r="C59" s="2"/>
      <c r="E59" s="12" t="str">
        <v>D 50</v>
      </c>
      <c r="F59" s="3">
        <v>39131.47085485432</v>
      </c>
      <c r="G59" s="3">
        <v>831.60182524271841</v>
      </c>
      <c r="H59" s="3">
        <v>811.11486327097111</v>
      </c>
    </row>
    <row r="60" spans="1:8" x14ac:dyDescent="0.2">
      <c r="A60" s="1"/>
      <c r="B60" s="2"/>
      <c r="C60" s="2"/>
      <c r="E60" s="12" t="str">
        <v>D 51</v>
      </c>
      <c r="F60" s="3">
        <v>39963.072680097037</v>
      </c>
      <c r="G60" s="3">
        <v>831.60182524271841</v>
      </c>
      <c r="H60" s="3">
        <v>810.31906728784327</v>
      </c>
    </row>
    <row r="61" spans="1:8" x14ac:dyDescent="0.2">
      <c r="A61" s="1"/>
      <c r="B61" s="2"/>
      <c r="C61" s="2"/>
      <c r="E61" s="12" t="str">
        <v>D 52</v>
      </c>
      <c r="F61" s="3">
        <v>40794.674505339754</v>
      </c>
      <c r="G61" s="3">
        <v>831.60182524271841</v>
      </c>
      <c r="H61" s="3">
        <v>809.53872463461903</v>
      </c>
    </row>
    <row r="62" spans="1:8" x14ac:dyDescent="0.2">
      <c r="A62" s="1"/>
      <c r="B62" s="2"/>
      <c r="C62" s="2"/>
      <c r="E62" s="12" t="str">
        <v>D 53</v>
      </c>
      <c r="F62" s="3">
        <v>41626.27633058247</v>
      </c>
      <c r="G62" s="3">
        <v>831.60182524271841</v>
      </c>
      <c r="H62" s="3">
        <v>808.7732465585641</v>
      </c>
    </row>
    <row r="63" spans="1:8" x14ac:dyDescent="0.2">
      <c r="A63" s="1"/>
      <c r="B63" s="2"/>
      <c r="C63" s="2"/>
      <c r="E63" s="12" t="str">
        <v>D 54</v>
      </c>
      <c r="F63" s="3">
        <v>42457.878155825187</v>
      </c>
      <c r="G63" s="3">
        <v>831.60182524271841</v>
      </c>
      <c r="H63" s="3">
        <v>808.02207732507395</v>
      </c>
    </row>
    <row r="64" spans="1:8" x14ac:dyDescent="0.2">
      <c r="C64" s="2"/>
      <c r="E64" s="12" t="str">
        <v>D 55</v>
      </c>
      <c r="F64" s="3">
        <v>43289.479981067903</v>
      </c>
      <c r="G64" s="3">
        <v>831.60182524271841</v>
      </c>
      <c r="H64" s="3">
        <v>807.28469179397212</v>
      </c>
    </row>
    <row r="65" spans="3:8" x14ac:dyDescent="0.2">
      <c r="C65" s="2"/>
      <c r="E65" s="12" t="str">
        <v>D 56</v>
      </c>
      <c r="F65" s="3">
        <v>44121.08180631062</v>
      </c>
      <c r="G65" s="3">
        <v>831.60182524271841</v>
      </c>
      <c r="H65" s="3">
        <v>806.56059321419616</v>
      </c>
    </row>
    <row r="66" spans="3:8" x14ac:dyDescent="0.2">
      <c r="C66" s="2"/>
      <c r="E66" s="12" t="str">
        <v>D 57</v>
      </c>
      <c r="F66" s="3">
        <v>44952.683631553336</v>
      </c>
      <c r="G66" s="3">
        <v>831.60182524271841</v>
      </c>
      <c r="H66" s="3">
        <v>805.84931121367686</v>
      </c>
    </row>
    <row r="67" spans="3:8" x14ac:dyDescent="0.2">
      <c r="C67" s="2"/>
      <c r="E67" s="12" t="str">
        <v>D 58</v>
      </c>
      <c r="F67" s="3">
        <v>45784.285456796053</v>
      </c>
      <c r="G67" s="3">
        <v>831.60182524271841</v>
      </c>
      <c r="H67" s="3">
        <v>805.15039996403834</v>
      </c>
    </row>
    <row r="68" spans="3:8" x14ac:dyDescent="0.2">
      <c r="C68" s="2"/>
      <c r="E68" s="12" t="str">
        <v>D 59</v>
      </c>
      <c r="F68" s="3">
        <v>46615.88728203877</v>
      </c>
      <c r="G68" s="3">
        <v>831.60182524271841</v>
      </c>
      <c r="H68" s="3">
        <v>804.46343650218489</v>
      </c>
    </row>
    <row r="69" spans="3:8" x14ac:dyDescent="0.2">
      <c r="C69" s="2"/>
      <c r="E69" s="12" t="str">
        <v>D 60</v>
      </c>
      <c r="F69" s="3">
        <v>47447.489107281486</v>
      </c>
      <c r="G69" s="3">
        <v>831.60182524271841</v>
      </c>
      <c r="H69" s="3">
        <v>803.78801919295188</v>
      </c>
    </row>
    <row r="70" spans="3:8" x14ac:dyDescent="0.2">
      <c r="C70" s="2"/>
      <c r="E70" s="12" t="str">
        <v>D 61</v>
      </c>
      <c r="F70" s="3">
        <v>48279.090932524203</v>
      </c>
      <c r="G70" s="3">
        <v>831.60182524271841</v>
      </c>
      <c r="H70" s="3">
        <v>803.12376631882864</v>
      </c>
    </row>
    <row r="71" spans="3:8" x14ac:dyDescent="0.2">
      <c r="C71" s="2"/>
      <c r="E71" s="12" t="str">
        <v>D 62</v>
      </c>
      <c r="F71" s="3">
        <v>49110.692757766919</v>
      </c>
      <c r="G71" s="3">
        <v>831.60182524271841</v>
      </c>
      <c r="H71" s="3">
        <v>802.47031478435349</v>
      </c>
    </row>
    <row r="72" spans="3:8" x14ac:dyDescent="0.2">
      <c r="C72" s="2"/>
      <c r="E72" s="12" t="str">
        <v>D 63</v>
      </c>
      <c r="F72" s="3">
        <v>49942.294583009636</v>
      </c>
      <c r="G72" s="3">
        <v>831.60182524271841</v>
      </c>
      <c r="H72" s="3">
        <v>801.82731892417132</v>
      </c>
    </row>
    <row r="73" spans="3:8" x14ac:dyDescent="0.2">
      <c r="C73" s="2"/>
      <c r="E73" s="12" t="str">
        <v>D 64</v>
      </c>
      <c r="F73" s="3">
        <v>50773.896408252353</v>
      </c>
      <c r="G73" s="3">
        <v>831.60182524271841</v>
      </c>
      <c r="H73" s="3">
        <v>801.19444940495737</v>
      </c>
    </row>
    <row r="74" spans="3:8" x14ac:dyDescent="0.2">
      <c r="C74" s="2"/>
      <c r="E74" s="12" t="str">
        <v>D 65</v>
      </c>
      <c r="F74" s="3">
        <v>51605.498233495069</v>
      </c>
      <c r="G74" s="3">
        <v>831.60182524271841</v>
      </c>
      <c r="H74" s="3">
        <v>800.57139221247235</v>
      </c>
    </row>
    <row r="75" spans="3:8" x14ac:dyDescent="0.2">
      <c r="C75" s="2"/>
      <c r="E75" s="12" t="str">
        <v>D 66</v>
      </c>
      <c r="F75" s="3">
        <v>52437.100058737786</v>
      </c>
      <c r="G75" s="3">
        <v>831.60182524271841</v>
      </c>
      <c r="H75" s="3">
        <v>799.95784771595299</v>
      </c>
    </row>
    <row r="76" spans="3:8" x14ac:dyDescent="0.2">
      <c r="C76" s="2"/>
      <c r="E76" s="12" t="str">
        <v>D 67</v>
      </c>
      <c r="F76" s="3">
        <v>53268.701883980502</v>
      </c>
      <c r="G76" s="3">
        <v>831.60182524271841</v>
      </c>
      <c r="H76" s="3">
        <v>799.35352980285575</v>
      </c>
    </row>
    <row r="77" spans="3:8" x14ac:dyDescent="0.2">
      <c r="C77" s="2"/>
      <c r="E77" s="12" t="str">
        <v>D 68</v>
      </c>
      <c r="F77" s="3">
        <v>54100.303709223219</v>
      </c>
      <c r="G77" s="3">
        <v>831.60182524271841</v>
      </c>
      <c r="H77" s="3">
        <v>798.75816507770207</v>
      </c>
    </row>
    <row r="78" spans="3:8" x14ac:dyDescent="0.2">
      <c r="C78" s="2"/>
      <c r="E78" s="12" t="str">
        <v>D 69</v>
      </c>
      <c r="F78" s="3">
        <v>54931.905534465935</v>
      </c>
      <c r="G78" s="3">
        <v>831.60182524271841</v>
      </c>
      <c r="H78" s="3">
        <v>798.17149211940807</v>
      </c>
    </row>
    <row r="79" spans="3:8" x14ac:dyDescent="0.2">
      <c r="C79" s="2"/>
      <c r="E79" s="12" t="str">
        <v>D 70</v>
      </c>
      <c r="F79" s="3">
        <v>55763.507359708652</v>
      </c>
      <c r="G79" s="3">
        <v>831.60182524271841</v>
      </c>
      <c r="H79" s="3">
        <v>797.59326079204925</v>
      </c>
    </row>
    <row r="80" spans="3:8" x14ac:dyDescent="0.2">
      <c r="C80" s="2"/>
      <c r="E80" s="12" t="str">
        <v>D 71</v>
      </c>
      <c r="F80" s="3">
        <v>56595.109184951369</v>
      </c>
      <c r="G80" s="3">
        <v>831.60182524271841</v>
      </c>
      <c r="H80" s="3">
        <v>797.02323160451272</v>
      </c>
    </row>
    <row r="81" spans="3:8" x14ac:dyDescent="0.2">
      <c r="C81" s="2"/>
      <c r="E81" s="12" t="str">
        <v>D 72</v>
      </c>
      <c r="F81" s="3">
        <v>57426.711010194085</v>
      </c>
      <c r="G81" s="3">
        <v>831.60182524271841</v>
      </c>
      <c r="H81" s="3">
        <v>796.46117511493276</v>
      </c>
    </row>
    <row r="82" spans="3:8" x14ac:dyDescent="0.2">
      <c r="C82" s="2"/>
      <c r="E82" s="12" t="str">
        <v>D 73</v>
      </c>
      <c r="F82" s="3">
        <v>58258.312835436802</v>
      </c>
      <c r="G82" s="3">
        <v>831.60182524271841</v>
      </c>
      <c r="H82" s="3">
        <v>795.90687137620512</v>
      </c>
    </row>
    <row r="83" spans="3:8" x14ac:dyDescent="0.2">
      <c r="C83" s="2"/>
      <c r="E83" s="12" t="str">
        <v>D 74</v>
      </c>
      <c r="F83" s="3">
        <v>59089.914660679518</v>
      </c>
      <c r="G83" s="3">
        <v>831.60182524271841</v>
      </c>
      <c r="H83" s="3">
        <v>795.36010941922416</v>
      </c>
    </row>
    <row r="84" spans="3:8" x14ac:dyDescent="0.2">
      <c r="C84" s="2"/>
      <c r="E84" s="12" t="str">
        <v>D 75</v>
      </c>
      <c r="F84" s="3">
        <v>59921.516485922235</v>
      </c>
      <c r="G84" s="3">
        <v>831.60182524271841</v>
      </c>
      <c r="H84" s="3">
        <v>794.8206867708052</v>
      </c>
    </row>
    <row r="85" spans="3:8" x14ac:dyDescent="0.2">
      <c r="C85" s="2"/>
      <c r="E85" s="12" t="str">
        <v>D 76</v>
      </c>
      <c r="F85" s="3">
        <v>60753.118311164952</v>
      </c>
      <c r="G85" s="3">
        <v>831.60182524271841</v>
      </c>
      <c r="H85" s="3">
        <v>794.28840900353543</v>
      </c>
    </row>
    <row r="86" spans="3:8" x14ac:dyDescent="0.2">
      <c r="C86" s="2"/>
      <c r="E86" s="12" t="str">
        <v>D 77</v>
      </c>
      <c r="F86" s="3">
        <v>61584.720136407668</v>
      </c>
      <c r="G86" s="3">
        <v>831.60182524271841</v>
      </c>
      <c r="H86" s="3">
        <v>793.76308931505037</v>
      </c>
    </row>
    <row r="87" spans="3:8" x14ac:dyDescent="0.2">
      <c r="C87" s="2"/>
      <c r="E87" s="12" t="str">
        <v>D 78</v>
      </c>
      <c r="F87" s="3">
        <v>62416.321961650385</v>
      </c>
      <c r="G87" s="3">
        <v>831.60182524271841</v>
      </c>
      <c r="H87" s="3">
        <v>793.24454813445311</v>
      </c>
    </row>
    <row r="88" spans="3:8" x14ac:dyDescent="0.2">
      <c r="C88" s="2"/>
      <c r="E88" s="12" t="str">
        <v>D 79</v>
      </c>
      <c r="F88" s="3">
        <v>63247.923786893101</v>
      </c>
      <c r="G88" s="3">
        <v>831.60182524271841</v>
      </c>
      <c r="H88" s="3">
        <v>792.73261275380821</v>
      </c>
    </row>
    <row r="89" spans="3:8" x14ac:dyDescent="0.2">
      <c r="C89" s="2"/>
      <c r="E89" s="12" t="str">
        <v>D 80</v>
      </c>
      <c r="F89" s="3">
        <v>64079.525612135818</v>
      </c>
      <c r="G89" s="3">
        <v>831.60182524271841</v>
      </c>
      <c r="H89" s="3">
        <v>792.22711698281068</v>
      </c>
    </row>
    <row r="90" spans="3:8" x14ac:dyDescent="0.2">
      <c r="C90" s="2"/>
      <c r="E90" s="12" t="str">
        <v>D 81</v>
      </c>
      <c r="F90" s="3">
        <v>64911.127437378535</v>
      </c>
      <c r="G90" s="3">
        <v>831.60182524271841</v>
      </c>
      <c r="H90" s="3">
        <v>791.72790082490792</v>
      </c>
    </row>
    <row r="91" spans="3:8" x14ac:dyDescent="0.2">
      <c r="C91" s="2"/>
      <c r="E91" s="12" t="str">
        <v>D 82</v>
      </c>
      <c r="F91" s="3">
        <v>65742.729262621258</v>
      </c>
      <c r="G91" s="3">
        <v>831.60182524271841</v>
      </c>
      <c r="H91" s="3">
        <v>791.23481017329254</v>
      </c>
    </row>
    <row r="92" spans="3:8" x14ac:dyDescent="0.2">
      <c r="C92" s="2"/>
      <c r="E92" s="12" t="str">
        <v>D 83</v>
      </c>
      <c r="F92" s="3">
        <v>66574.331087863975</v>
      </c>
      <c r="G92" s="3">
        <v>831.60182524271841</v>
      </c>
      <c r="H92" s="3">
        <v>790.74769652531984</v>
      </c>
    </row>
    <row r="93" spans="3:8" x14ac:dyDescent="0.2">
      <c r="C93" s="2"/>
      <c r="E93" s="12" t="str">
        <v>D 84</v>
      </c>
      <c r="F93" s="3">
        <v>67405.932913106692</v>
      </c>
      <c r="G93" s="3">
        <v>831.60182524271841</v>
      </c>
      <c r="H93" s="3">
        <v>790.26641671403013</v>
      </c>
    </row>
    <row r="94" spans="3:8" x14ac:dyDescent="0.2">
      <c r="C94" s="2"/>
      <c r="E94" s="12" t="str">
        <v>D 85</v>
      </c>
      <c r="F94" s="3">
        <v>68237.534738349408</v>
      </c>
      <c r="G94" s="3">
        <v>831.60182524271841</v>
      </c>
      <c r="H94" s="3">
        <v>789.79083265555528</v>
      </c>
    </row>
    <row r="95" spans="3:8" x14ac:dyDescent="0.2">
      <c r="C95" s="2"/>
      <c r="E95" s="12" t="str">
        <v>D 86</v>
      </c>
      <c r="F95" s="3">
        <v>69069.136563592125</v>
      </c>
      <c r="G95" s="3">
        <v>831.60182524271841</v>
      </c>
      <c r="H95" s="3">
        <v>789.3208111113006</v>
      </c>
    </row>
    <row r="96" spans="3:8" x14ac:dyDescent="0.2">
      <c r="C96" s="2"/>
      <c r="E96" s="12" t="str">
        <v>D 87</v>
      </c>
      <c r="F96" s="3">
        <v>69900.738388834841</v>
      </c>
      <c r="G96" s="3">
        <v>831.60182524271841</v>
      </c>
      <c r="H96" s="3">
        <v>788.85622346387242</v>
      </c>
    </row>
    <row r="97" spans="3:8" x14ac:dyDescent="0.2">
      <c r="C97" s="2"/>
      <c r="E97" s="12" t="str">
        <v>D 88</v>
      </c>
      <c r="F97" s="3">
        <v>70732.340214077558</v>
      </c>
      <c r="G97" s="3">
        <v>831.60182524271841</v>
      </c>
      <c r="H97" s="3">
        <v>788.39694550581157</v>
      </c>
    </row>
    <row r="98" spans="3:8" x14ac:dyDescent="0.2">
      <c r="C98" s="2"/>
      <c r="E98" s="12" t="str">
        <v>D 89</v>
      </c>
      <c r="F98" s="3">
        <v>71563.942039320274</v>
      </c>
      <c r="G98" s="3">
        <v>831.60182524271841</v>
      </c>
      <c r="H98" s="3">
        <v>787.94285724026395</v>
      </c>
    </row>
    <row r="99" spans="3:8" x14ac:dyDescent="0.2">
      <c r="C99" s="2"/>
      <c r="E99" s="12" t="str">
        <v>D 90</v>
      </c>
      <c r="F99" s="3">
        <v>72395.543864562991</v>
      </c>
      <c r="G99" s="3">
        <v>831.60182524271841</v>
      </c>
      <c r="H99" s="3">
        <v>787.49384269278596</v>
      </c>
    </row>
    <row r="100" spans="3:8" x14ac:dyDescent="0.2">
      <c r="C100" s="2"/>
      <c r="E100" s="12" t="str">
        <v>D 91</v>
      </c>
      <c r="F100" s="3">
        <v>73227.145689805708</v>
      </c>
      <c r="G100" s="3">
        <v>831.60182524271841</v>
      </c>
      <c r="H100" s="3">
        <v>787.0497897335506</v>
      </c>
    </row>
    <row r="101" spans="3:8" x14ac:dyDescent="0.2">
      <c r="C101" s="2"/>
      <c r="E101" s="12" t="str">
        <v>D 92</v>
      </c>
      <c r="F101" s="3">
        <v>74058.747515048424</v>
      </c>
      <c r="G101" s="3">
        <v>831.60182524271841</v>
      </c>
      <c r="H101" s="3">
        <v>786.61058990926688</v>
      </c>
    </row>
    <row r="102" spans="3:8" x14ac:dyDescent="0.2">
      <c r="C102" s="2"/>
      <c r="E102" s="12" t="str">
        <v>D 93</v>
      </c>
      <c r="F102" s="3">
        <v>74890.349340291141</v>
      </c>
      <c r="G102" s="3">
        <v>831.60182524271841</v>
      </c>
      <c r="H102" s="3">
        <v>786.17613828418757</v>
      </c>
    </row>
    <row r="103" spans="3:8" x14ac:dyDescent="0.2">
      <c r="C103" s="2"/>
      <c r="E103" s="12" t="str">
        <v>D 94</v>
      </c>
      <c r="F103" s="3">
        <v>75721.951165533857</v>
      </c>
      <c r="G103" s="3">
        <v>831.60182524271841</v>
      </c>
      <c r="H103" s="3">
        <v>785.74633328961795</v>
      </c>
    </row>
    <row r="104" spans="3:8" x14ac:dyDescent="0.2">
      <c r="C104" s="2"/>
      <c r="E104" s="12" t="str">
        <v>D 95</v>
      </c>
      <c r="F104" s="3">
        <v>76553.552990776574</v>
      </c>
      <c r="G104" s="3">
        <v>831.60182524271841</v>
      </c>
      <c r="H104" s="3">
        <v>785.32107658138875</v>
      </c>
    </row>
    <row r="105" spans="3:8" x14ac:dyDescent="0.2">
      <c r="C105" s="2"/>
      <c r="E105" s="12" t="str">
        <v>D 96</v>
      </c>
      <c r="F105" s="3">
        <v>77385.154816019291</v>
      </c>
      <c r="G105" s="3">
        <v>831.60182524271841</v>
      </c>
      <c r="H105" s="3">
        <v>784.90027290479134</v>
      </c>
    </row>
    <row r="106" spans="3:8" x14ac:dyDescent="0.2">
      <c r="C106" s="2"/>
      <c r="E106" s="12" t="str">
        <v>D 97</v>
      </c>
      <c r="F106" s="3">
        <v>78216.756641262007</v>
      </c>
      <c r="G106" s="3">
        <v>831.60182524271841</v>
      </c>
      <c r="H106" s="3">
        <v>784.48382996651094</v>
      </c>
    </row>
    <row r="107" spans="3:8" x14ac:dyDescent="0.2">
      <c r="C107" s="2"/>
      <c r="E107" s="12" t="str">
        <v>D 98</v>
      </c>
      <c r="F107" s="3">
        <v>79048.358466504724</v>
      </c>
      <c r="G107" s="3">
        <v>831.60182524271841</v>
      </c>
      <c r="H107" s="3">
        <v>784.0716583131275</v>
      </c>
    </row>
  </sheetData>
  <sheetProtection sheet="1" objects="1" scenarios="1"/>
  <scenarios current="2" sqref="B18:B23">
    <scenario name="Base" locked="1" count="9" user="OD" comment="Creat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Bonded"/>
      <inputCells r="B11" val="35"/>
      <inputCells r="B12" val="10"/>
    </scenario>
    <scenario name="Longer" locked="1" count="9" user="OD" comment="Creat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Bonded"/>
      <inputCells r="B11" val="35"/>
      <inputCells r="B12" val="14"/>
    </scenario>
    <scenario name="Longer- insulated" locked="1" count="9" user="OD" comment="Created by OD on 18/07/2006_x000a_Modifi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Insulated"/>
      <inputCells r="B11" val="35"/>
      <inputCells r="B12" val="14"/>
    </scenario>
  </scenarios>
  <mergeCells count="3">
    <mergeCell ref="O4:P4"/>
    <mergeCell ref="B4:H4"/>
    <mergeCell ref="K4:N4"/>
  </mergeCells>
  <phoneticPr fontId="0" type="noConversion"/>
  <conditionalFormatting sqref="M6:M9">
    <cfRule type="cellIs" dxfId="1" priority="1" stopIfTrue="1" operator="notBetween">
      <formula>O6</formula>
      <formula>P6</formula>
    </cfRule>
  </conditionalFormatting>
  <conditionalFormatting sqref="M10">
    <cfRule type="cellIs" dxfId="0" priority="2" stopIfTrue="1" operator="notBetween">
      <formula>$O$10</formula>
      <formula>$P$10</formula>
    </cfRule>
  </conditionalFormatting>
  <pageMargins left="0.74803149606299213" right="0.74803149606299213" top="0.78740157480314965" bottom="0.78740157480314965" header="0.51181102362204722" footer="0.51181102362204722"/>
  <pageSetup paperSize="9"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8"/>
  <sheetViews>
    <sheetView topLeftCell="A10" workbookViewId="0">
      <selection activeCell="A45" sqref="A45"/>
    </sheetView>
  </sheetViews>
  <sheetFormatPr defaultRowHeight="12.75" x14ac:dyDescent="0.2"/>
  <cols>
    <col min="1" max="1" width="77.42578125" customWidth="1"/>
  </cols>
  <sheetData>
    <row r="1" spans="1:1" ht="30" x14ac:dyDescent="0.4">
      <c r="A1" s="9" t="s">
        <v>362</v>
      </c>
    </row>
    <row r="3" spans="1:1" x14ac:dyDescent="0.2">
      <c r="A3" s="41" t="s">
        <v>44</v>
      </c>
    </row>
    <row r="4" spans="1:1" x14ac:dyDescent="0.2">
      <c r="A4" s="41" t="s">
        <v>45</v>
      </c>
    </row>
    <row r="5" spans="1:1" x14ac:dyDescent="0.2">
      <c r="A5" s="41" t="s">
        <v>32</v>
      </c>
    </row>
    <row r="6" spans="1:1" x14ac:dyDescent="0.2">
      <c r="A6" s="41" t="s">
        <v>33</v>
      </c>
    </row>
    <row r="7" spans="1:1" x14ac:dyDescent="0.2">
      <c r="A7" s="41" t="s">
        <v>46</v>
      </c>
    </row>
    <row r="8" spans="1:1" x14ac:dyDescent="0.2">
      <c r="A8" s="41"/>
    </row>
    <row r="9" spans="1:1" x14ac:dyDescent="0.2">
      <c r="A9" s="41" t="s">
        <v>47</v>
      </c>
    </row>
    <row r="10" spans="1:1" x14ac:dyDescent="0.2">
      <c r="A10" s="41" t="s">
        <v>48</v>
      </c>
    </row>
    <row r="11" spans="1:1" x14ac:dyDescent="0.2">
      <c r="A11" s="41" t="s">
        <v>49</v>
      </c>
    </row>
    <row r="12" spans="1:1" x14ac:dyDescent="0.2">
      <c r="A12" s="42" t="s">
        <v>34</v>
      </c>
    </row>
    <row r="13" spans="1:1" x14ac:dyDescent="0.2">
      <c r="A13" s="42" t="s">
        <v>35</v>
      </c>
    </row>
    <row r="14" spans="1:1" x14ac:dyDescent="0.2">
      <c r="A14" s="42" t="s">
        <v>36</v>
      </c>
    </row>
    <row r="15" spans="1:1" x14ac:dyDescent="0.2">
      <c r="A15" s="42" t="s">
        <v>37</v>
      </c>
    </row>
    <row r="16" spans="1:1" x14ac:dyDescent="0.2">
      <c r="A16" s="42" t="s">
        <v>38</v>
      </c>
    </row>
    <row r="17" spans="1:1" x14ac:dyDescent="0.2">
      <c r="A17" s="42" t="s">
        <v>39</v>
      </c>
    </row>
    <row r="18" spans="1:1" x14ac:dyDescent="0.2">
      <c r="A18" s="42" t="s">
        <v>40</v>
      </c>
    </row>
    <row r="19" spans="1:1" x14ac:dyDescent="0.2">
      <c r="A19" s="42" t="s">
        <v>41</v>
      </c>
    </row>
    <row r="20" spans="1:1" x14ac:dyDescent="0.2">
      <c r="A20" s="42" t="s">
        <v>42</v>
      </c>
    </row>
    <row r="21" spans="1:1" x14ac:dyDescent="0.2">
      <c r="A21" s="42" t="s">
        <v>43</v>
      </c>
    </row>
    <row r="22" spans="1:1" x14ac:dyDescent="0.2">
      <c r="A22" s="42"/>
    </row>
    <row r="23" spans="1:1" x14ac:dyDescent="0.2">
      <c r="A23" s="42" t="s">
        <v>50</v>
      </c>
    </row>
    <row r="24" spans="1:1" x14ac:dyDescent="0.2">
      <c r="A24" s="42" t="s">
        <v>51</v>
      </c>
    </row>
    <row r="25" spans="1:1" x14ac:dyDescent="0.2">
      <c r="A25" s="42" t="s">
        <v>52</v>
      </c>
    </row>
    <row r="26" spans="1:1" x14ac:dyDescent="0.2">
      <c r="A26" s="42" t="s">
        <v>53</v>
      </c>
    </row>
    <row r="27" spans="1:1" x14ac:dyDescent="0.2">
      <c r="A27" s="42" t="s">
        <v>54</v>
      </c>
    </row>
    <row r="28" spans="1:1" x14ac:dyDescent="0.2">
      <c r="A28" s="42"/>
    </row>
    <row r="29" spans="1:1" x14ac:dyDescent="0.2">
      <c r="A29" s="42" t="s">
        <v>55</v>
      </c>
    </row>
    <row r="30" spans="1:1" x14ac:dyDescent="0.2">
      <c r="A30" s="42"/>
    </row>
    <row r="31" spans="1:1" x14ac:dyDescent="0.2">
      <c r="A31" s="42" t="s">
        <v>58</v>
      </c>
    </row>
    <row r="32" spans="1:1" x14ac:dyDescent="0.2">
      <c r="A32" s="42" t="s">
        <v>59</v>
      </c>
    </row>
    <row r="33" spans="1:1" x14ac:dyDescent="0.2">
      <c r="A33" s="42"/>
    </row>
    <row r="34" spans="1:1" x14ac:dyDescent="0.2">
      <c r="A34" s="42" t="s">
        <v>56</v>
      </c>
    </row>
    <row r="35" spans="1:1" x14ac:dyDescent="0.2">
      <c r="A35" s="42" t="s">
        <v>57</v>
      </c>
    </row>
    <row r="36" spans="1:1" x14ac:dyDescent="0.2">
      <c r="A36" s="42" t="s">
        <v>360</v>
      </c>
    </row>
    <row r="37" spans="1:1" ht="13.5" x14ac:dyDescent="0.25">
      <c r="A37" s="39"/>
    </row>
    <row r="38" spans="1:1" x14ac:dyDescent="0.2">
      <c r="A38" s="42" t="s">
        <v>356</v>
      </c>
    </row>
    <row r="39" spans="1:1" x14ac:dyDescent="0.2">
      <c r="A39" s="42"/>
    </row>
    <row r="40" spans="1:1" x14ac:dyDescent="0.2">
      <c r="A40" s="42" t="s">
        <v>361</v>
      </c>
    </row>
    <row r="41" spans="1:1" x14ac:dyDescent="0.2">
      <c r="A41" s="45" t="str">
        <f ca="1">HYPERLINK(dl6wu_version("u"),dl6wu_version("u"))</f>
        <v>http://owenduffy.net</v>
      </c>
    </row>
    <row r="42" spans="1:1" x14ac:dyDescent="0.2">
      <c r="A42" s="43"/>
    </row>
    <row r="43" spans="1:1" x14ac:dyDescent="0.2">
      <c r="A43" s="42" t="s">
        <v>354</v>
      </c>
    </row>
    <row r="44" spans="1:1" x14ac:dyDescent="0.2">
      <c r="A44" s="42" t="s">
        <v>355</v>
      </c>
    </row>
    <row r="45" spans="1:1" ht="27" customHeight="1" x14ac:dyDescent="0.2">
      <c r="A45" s="48" t="s">
        <v>369</v>
      </c>
    </row>
    <row r="46" spans="1:1" ht="36" x14ac:dyDescent="0.2">
      <c r="A46" s="47" t="s">
        <v>370</v>
      </c>
    </row>
    <row r="47" spans="1:1" ht="24" x14ac:dyDescent="0.2">
      <c r="A47" s="47" t="s">
        <v>371</v>
      </c>
    </row>
    <row r="48" spans="1:1" ht="24" x14ac:dyDescent="0.2">
      <c r="A48" s="47" t="s">
        <v>372</v>
      </c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9"/>
  <sheetViews>
    <sheetView workbookViewId="0">
      <selection activeCell="A3" sqref="A3:A18"/>
    </sheetView>
  </sheetViews>
  <sheetFormatPr defaultRowHeight="12.75" x14ac:dyDescent="0.2"/>
  <cols>
    <col min="1" max="1" width="77.42578125" customWidth="1"/>
  </cols>
  <sheetData>
    <row r="1" spans="1:1" ht="30" x14ac:dyDescent="0.4">
      <c r="A1" s="9" t="s">
        <v>353</v>
      </c>
    </row>
    <row r="3" spans="1:1" ht="15" x14ac:dyDescent="0.3">
      <c r="A3" s="40" t="s">
        <v>78</v>
      </c>
    </row>
    <row r="4" spans="1:1" ht="15" x14ac:dyDescent="0.3">
      <c r="A4" s="40" t="s">
        <v>352</v>
      </c>
    </row>
    <row r="5" spans="1:1" x14ac:dyDescent="0.2">
      <c r="A5" s="44"/>
    </row>
    <row r="6" spans="1:1" ht="15" x14ac:dyDescent="0.3">
      <c r="A6" s="40" t="s">
        <v>67</v>
      </c>
    </row>
    <row r="7" spans="1:1" ht="15" x14ac:dyDescent="0.3">
      <c r="A7" s="40" t="s">
        <v>68</v>
      </c>
    </row>
    <row r="8" spans="1:1" ht="15" x14ac:dyDescent="0.3">
      <c r="A8" s="40" t="s">
        <v>69</v>
      </c>
    </row>
    <row r="9" spans="1:1" ht="15" x14ac:dyDescent="0.3">
      <c r="A9" s="40" t="s">
        <v>70</v>
      </c>
    </row>
    <row r="10" spans="1:1" x14ac:dyDescent="0.2">
      <c r="A10" s="44"/>
    </row>
    <row r="11" spans="1:1" ht="15" x14ac:dyDescent="0.3">
      <c r="A11" s="40" t="s">
        <v>71</v>
      </c>
    </row>
    <row r="12" spans="1:1" ht="15" x14ac:dyDescent="0.3">
      <c r="A12" s="40" t="s">
        <v>72</v>
      </c>
    </row>
    <row r="13" spans="1:1" ht="15" x14ac:dyDescent="0.3">
      <c r="A13" s="40" t="s">
        <v>73</v>
      </c>
    </row>
    <row r="14" spans="1:1" ht="15" x14ac:dyDescent="0.3">
      <c r="A14" s="40" t="s">
        <v>74</v>
      </c>
    </row>
    <row r="15" spans="1:1" x14ac:dyDescent="0.2">
      <c r="A15" s="44"/>
    </row>
    <row r="16" spans="1:1" ht="15" x14ac:dyDescent="0.3">
      <c r="A16" s="40" t="s">
        <v>75</v>
      </c>
    </row>
    <row r="17" spans="1:1" ht="15" x14ac:dyDescent="0.3">
      <c r="A17" s="40" t="s">
        <v>76</v>
      </c>
    </row>
    <row r="18" spans="1:1" ht="15" x14ac:dyDescent="0.3">
      <c r="A18" s="40" t="s">
        <v>77</v>
      </c>
    </row>
    <row r="19" spans="1:1" x14ac:dyDescent="0.2">
      <c r="A19" s="44"/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39"/>
  <sheetViews>
    <sheetView workbookViewId="0"/>
  </sheetViews>
  <sheetFormatPr defaultRowHeight="12.75" x14ac:dyDescent="0.2"/>
  <sheetData>
    <row r="1" spans="1:1" ht="13.5" x14ac:dyDescent="0.25">
      <c r="A1" s="39" t="s">
        <v>125</v>
      </c>
    </row>
    <row r="2" spans="1:1" ht="13.5" x14ac:dyDescent="0.25">
      <c r="A2" s="39" t="s">
        <v>79</v>
      </c>
    </row>
    <row r="3" spans="1:1" ht="13.5" x14ac:dyDescent="0.25">
      <c r="A3" s="39"/>
    </row>
    <row r="4" spans="1:1" ht="13.5" x14ac:dyDescent="0.25">
      <c r="A4" s="39" t="s">
        <v>80</v>
      </c>
    </row>
    <row r="5" spans="1:1" ht="13.5" x14ac:dyDescent="0.25">
      <c r="A5" s="39" t="s">
        <v>81</v>
      </c>
    </row>
    <row r="6" spans="1:1" ht="13.5" x14ac:dyDescent="0.25">
      <c r="A6" s="39" t="s">
        <v>82</v>
      </c>
    </row>
    <row r="7" spans="1:1" ht="13.5" x14ac:dyDescent="0.25">
      <c r="A7" s="39" t="s">
        <v>83</v>
      </c>
    </row>
    <row r="8" spans="1:1" ht="13.5" x14ac:dyDescent="0.25">
      <c r="A8" s="39"/>
    </row>
    <row r="9" spans="1:1" ht="13.5" x14ac:dyDescent="0.25">
      <c r="A9" s="39" t="s">
        <v>84</v>
      </c>
    </row>
    <row r="10" spans="1:1" ht="13.5" x14ac:dyDescent="0.25">
      <c r="A10" s="39"/>
    </row>
    <row r="11" spans="1:1" ht="13.5" x14ac:dyDescent="0.25">
      <c r="A11" s="39" t="s">
        <v>85</v>
      </c>
    </row>
    <row r="12" spans="1:1" ht="13.5" x14ac:dyDescent="0.25">
      <c r="A12" s="39" t="s">
        <v>86</v>
      </c>
    </row>
    <row r="13" spans="1:1" ht="13.5" x14ac:dyDescent="0.25">
      <c r="A13" s="39" t="s">
        <v>87</v>
      </c>
    </row>
    <row r="14" spans="1:1" ht="13.5" x14ac:dyDescent="0.25">
      <c r="A14" s="39" t="s">
        <v>88</v>
      </c>
    </row>
    <row r="15" spans="1:1" ht="13.5" x14ac:dyDescent="0.25">
      <c r="A15" s="39" t="s">
        <v>89</v>
      </c>
    </row>
    <row r="16" spans="1:1" ht="13.5" x14ac:dyDescent="0.25">
      <c r="A16" s="39" t="s">
        <v>90</v>
      </c>
    </row>
    <row r="17" spans="1:1" ht="13.5" x14ac:dyDescent="0.25">
      <c r="A17" s="39" t="s">
        <v>91</v>
      </c>
    </row>
    <row r="18" spans="1:1" ht="13.5" x14ac:dyDescent="0.25">
      <c r="A18" s="39" t="s">
        <v>92</v>
      </c>
    </row>
    <row r="19" spans="1:1" ht="13.5" x14ac:dyDescent="0.25">
      <c r="A19" s="39" t="s">
        <v>93</v>
      </c>
    </row>
    <row r="20" spans="1:1" ht="13.5" x14ac:dyDescent="0.25">
      <c r="A20" s="39"/>
    </row>
    <row r="21" spans="1:1" ht="13.5" x14ac:dyDescent="0.25">
      <c r="A21" s="39" t="s">
        <v>94</v>
      </c>
    </row>
    <row r="22" spans="1:1" ht="13.5" x14ac:dyDescent="0.25">
      <c r="A22" s="39" t="s">
        <v>95</v>
      </c>
    </row>
    <row r="23" spans="1:1" ht="13.5" x14ac:dyDescent="0.25">
      <c r="A23" s="39" t="s">
        <v>96</v>
      </c>
    </row>
    <row r="24" spans="1:1" ht="13.5" x14ac:dyDescent="0.25">
      <c r="A24" s="39" t="s">
        <v>97</v>
      </c>
    </row>
    <row r="25" spans="1:1" ht="13.5" x14ac:dyDescent="0.25">
      <c r="A25" s="39" t="s">
        <v>98</v>
      </c>
    </row>
    <row r="26" spans="1:1" ht="13.5" x14ac:dyDescent="0.25">
      <c r="A26" s="39" t="s">
        <v>99</v>
      </c>
    </row>
    <row r="27" spans="1:1" ht="13.5" x14ac:dyDescent="0.25">
      <c r="A27" s="39"/>
    </row>
    <row r="28" spans="1:1" ht="13.5" x14ac:dyDescent="0.25">
      <c r="A28" s="39" t="s">
        <v>100</v>
      </c>
    </row>
    <row r="29" spans="1:1" ht="13.5" x14ac:dyDescent="0.25">
      <c r="A29" s="39" t="s">
        <v>101</v>
      </c>
    </row>
    <row r="30" spans="1:1" ht="13.5" x14ac:dyDescent="0.25">
      <c r="A30" s="39" t="s">
        <v>102</v>
      </c>
    </row>
    <row r="31" spans="1:1" ht="13.5" x14ac:dyDescent="0.25">
      <c r="A31" s="39" t="s">
        <v>103</v>
      </c>
    </row>
    <row r="32" spans="1:1" ht="13.5" x14ac:dyDescent="0.25">
      <c r="A32" s="39"/>
    </row>
    <row r="33" spans="1:1" ht="13.5" x14ac:dyDescent="0.25">
      <c r="A33" s="39" t="s">
        <v>104</v>
      </c>
    </row>
    <row r="34" spans="1:1" ht="13.5" x14ac:dyDescent="0.25">
      <c r="A34" s="39" t="s">
        <v>105</v>
      </c>
    </row>
    <row r="35" spans="1:1" ht="13.5" x14ac:dyDescent="0.25">
      <c r="A35" s="39" t="s">
        <v>106</v>
      </c>
    </row>
    <row r="36" spans="1:1" ht="13.5" x14ac:dyDescent="0.25">
      <c r="A36" s="39" t="s">
        <v>107</v>
      </c>
    </row>
    <row r="37" spans="1:1" ht="13.5" x14ac:dyDescent="0.25">
      <c r="A37" s="39" t="s">
        <v>108</v>
      </c>
    </row>
    <row r="38" spans="1:1" ht="13.5" x14ac:dyDescent="0.25">
      <c r="A38" s="39"/>
    </row>
    <row r="39" spans="1:1" ht="13.5" x14ac:dyDescent="0.25">
      <c r="A39" s="39" t="s">
        <v>109</v>
      </c>
    </row>
    <row r="40" spans="1:1" ht="13.5" x14ac:dyDescent="0.25">
      <c r="A40" s="39" t="s">
        <v>110</v>
      </c>
    </row>
    <row r="41" spans="1:1" ht="13.5" x14ac:dyDescent="0.25">
      <c r="A41" s="39" t="s">
        <v>111</v>
      </c>
    </row>
    <row r="42" spans="1:1" ht="13.5" x14ac:dyDescent="0.25">
      <c r="A42" s="39"/>
    </row>
    <row r="43" spans="1:1" ht="13.5" x14ac:dyDescent="0.25">
      <c r="A43" s="39" t="s">
        <v>112</v>
      </c>
    </row>
    <row r="44" spans="1:1" ht="13.5" x14ac:dyDescent="0.25">
      <c r="A44" s="39" t="s">
        <v>113</v>
      </c>
    </row>
    <row r="45" spans="1:1" ht="13.5" x14ac:dyDescent="0.25">
      <c r="A45" s="39" t="s">
        <v>114</v>
      </c>
    </row>
    <row r="46" spans="1:1" ht="13.5" x14ac:dyDescent="0.25">
      <c r="A46" s="39" t="s">
        <v>115</v>
      </c>
    </row>
    <row r="47" spans="1:1" ht="13.5" x14ac:dyDescent="0.25">
      <c r="A47" s="39" t="s">
        <v>116</v>
      </c>
    </row>
    <row r="48" spans="1:1" ht="13.5" x14ac:dyDescent="0.25">
      <c r="A48" s="39" t="s">
        <v>117</v>
      </c>
    </row>
    <row r="49" spans="1:1" ht="13.5" x14ac:dyDescent="0.25">
      <c r="A49" s="39"/>
    </row>
    <row r="50" spans="1:1" ht="13.5" x14ac:dyDescent="0.25">
      <c r="A50" s="39" t="s">
        <v>118</v>
      </c>
    </row>
    <row r="51" spans="1:1" ht="13.5" x14ac:dyDescent="0.25">
      <c r="A51" s="39" t="s">
        <v>119</v>
      </c>
    </row>
    <row r="52" spans="1:1" ht="13.5" x14ac:dyDescent="0.25">
      <c r="A52" s="39" t="s">
        <v>120</v>
      </c>
    </row>
    <row r="53" spans="1:1" ht="13.5" x14ac:dyDescent="0.25">
      <c r="A53" s="39" t="s">
        <v>121</v>
      </c>
    </row>
    <row r="54" spans="1:1" ht="13.5" x14ac:dyDescent="0.25">
      <c r="A54" s="39" t="s">
        <v>122</v>
      </c>
    </row>
    <row r="55" spans="1:1" ht="13.5" x14ac:dyDescent="0.25">
      <c r="A55" s="39"/>
    </row>
    <row r="56" spans="1:1" ht="13.5" x14ac:dyDescent="0.25">
      <c r="A56" s="39" t="s">
        <v>123</v>
      </c>
    </row>
    <row r="57" spans="1:1" ht="13.5" x14ac:dyDescent="0.25">
      <c r="A57" s="39" t="s">
        <v>124</v>
      </c>
    </row>
    <row r="58" spans="1:1" ht="13.5" x14ac:dyDescent="0.25">
      <c r="A58" s="39"/>
    </row>
    <row r="59" spans="1:1" ht="13.5" x14ac:dyDescent="0.25">
      <c r="A59" s="39" t="s">
        <v>125</v>
      </c>
    </row>
    <row r="60" spans="1:1" ht="13.5" x14ac:dyDescent="0.25">
      <c r="A60" s="39" t="s">
        <v>126</v>
      </c>
    </row>
    <row r="61" spans="1:1" ht="13.5" x14ac:dyDescent="0.25">
      <c r="A61" s="39"/>
    </row>
    <row r="62" spans="1:1" ht="13.5" x14ac:dyDescent="0.25">
      <c r="A62" s="39" t="s">
        <v>127</v>
      </c>
    </row>
    <row r="63" spans="1:1" ht="13.5" x14ac:dyDescent="0.25">
      <c r="A63" s="39" t="s">
        <v>128</v>
      </c>
    </row>
    <row r="64" spans="1:1" ht="13.5" x14ac:dyDescent="0.25">
      <c r="A64" s="39" t="s">
        <v>129</v>
      </c>
    </row>
    <row r="65" spans="1:1" ht="13.5" x14ac:dyDescent="0.25">
      <c r="A65" s="39" t="s">
        <v>130</v>
      </c>
    </row>
    <row r="66" spans="1:1" ht="13.5" x14ac:dyDescent="0.25">
      <c r="A66" s="39" t="s">
        <v>131</v>
      </c>
    </row>
    <row r="67" spans="1:1" ht="13.5" x14ac:dyDescent="0.25">
      <c r="A67" s="39" t="s">
        <v>132</v>
      </c>
    </row>
    <row r="68" spans="1:1" ht="13.5" x14ac:dyDescent="0.25">
      <c r="A68" s="39" t="s">
        <v>133</v>
      </c>
    </row>
    <row r="69" spans="1:1" ht="13.5" x14ac:dyDescent="0.25">
      <c r="A69" s="39" t="s">
        <v>134</v>
      </c>
    </row>
    <row r="70" spans="1:1" ht="13.5" x14ac:dyDescent="0.25">
      <c r="A70" s="39" t="s">
        <v>135</v>
      </c>
    </row>
    <row r="71" spans="1:1" ht="13.5" x14ac:dyDescent="0.25">
      <c r="A71" s="39"/>
    </row>
    <row r="72" spans="1:1" ht="13.5" x14ac:dyDescent="0.25">
      <c r="A72" s="39" t="s">
        <v>136</v>
      </c>
    </row>
    <row r="73" spans="1:1" ht="13.5" x14ac:dyDescent="0.25">
      <c r="A73" s="39" t="s">
        <v>137</v>
      </c>
    </row>
    <row r="74" spans="1:1" ht="13.5" x14ac:dyDescent="0.25">
      <c r="A74" s="39" t="s">
        <v>138</v>
      </c>
    </row>
    <row r="75" spans="1:1" ht="13.5" x14ac:dyDescent="0.25">
      <c r="A75" s="39" t="s">
        <v>139</v>
      </c>
    </row>
    <row r="76" spans="1:1" ht="13.5" x14ac:dyDescent="0.25">
      <c r="A76" s="39" t="s">
        <v>140</v>
      </c>
    </row>
    <row r="77" spans="1:1" ht="13.5" x14ac:dyDescent="0.25">
      <c r="A77" s="39" t="s">
        <v>141</v>
      </c>
    </row>
    <row r="78" spans="1:1" ht="13.5" x14ac:dyDescent="0.25">
      <c r="A78" s="39"/>
    </row>
    <row r="79" spans="1:1" ht="13.5" x14ac:dyDescent="0.25">
      <c r="A79" s="39" t="s">
        <v>60</v>
      </c>
    </row>
    <row r="80" spans="1:1" ht="13.5" x14ac:dyDescent="0.25">
      <c r="A80" s="39" t="s">
        <v>61</v>
      </c>
    </row>
    <row r="81" spans="1:1" ht="13.5" x14ac:dyDescent="0.25">
      <c r="A81" s="39" t="s">
        <v>62</v>
      </c>
    </row>
    <row r="82" spans="1:1" ht="13.5" x14ac:dyDescent="0.25">
      <c r="A82" s="39" t="s">
        <v>63</v>
      </c>
    </row>
    <row r="83" spans="1:1" ht="13.5" x14ac:dyDescent="0.25">
      <c r="A83" s="39" t="s">
        <v>64</v>
      </c>
    </row>
    <row r="84" spans="1:1" ht="13.5" x14ac:dyDescent="0.25">
      <c r="A84" s="39" t="s">
        <v>65</v>
      </c>
    </row>
    <row r="85" spans="1:1" ht="13.5" x14ac:dyDescent="0.25">
      <c r="A85" s="39" t="s">
        <v>66</v>
      </c>
    </row>
    <row r="86" spans="1:1" ht="13.5" x14ac:dyDescent="0.25">
      <c r="A86" s="39"/>
    </row>
    <row r="87" spans="1:1" ht="13.5" x14ac:dyDescent="0.25">
      <c r="A87" s="39" t="s">
        <v>142</v>
      </c>
    </row>
    <row r="88" spans="1:1" ht="13.5" x14ac:dyDescent="0.25">
      <c r="A88" s="39" t="s">
        <v>143</v>
      </c>
    </row>
    <row r="89" spans="1:1" ht="13.5" x14ac:dyDescent="0.25">
      <c r="A89" s="39"/>
    </row>
    <row r="90" spans="1:1" ht="13.5" x14ac:dyDescent="0.25">
      <c r="A90" s="39" t="s">
        <v>144</v>
      </c>
    </row>
    <row r="91" spans="1:1" ht="13.5" x14ac:dyDescent="0.25">
      <c r="A91" s="39" t="s">
        <v>145</v>
      </c>
    </row>
    <row r="92" spans="1:1" ht="13.5" x14ac:dyDescent="0.25">
      <c r="A92" s="39" t="s">
        <v>146</v>
      </c>
    </row>
    <row r="93" spans="1:1" ht="13.5" x14ac:dyDescent="0.25">
      <c r="A93" s="39" t="s">
        <v>147</v>
      </c>
    </row>
    <row r="94" spans="1:1" ht="13.5" x14ac:dyDescent="0.25">
      <c r="A94" s="39"/>
    </row>
    <row r="95" spans="1:1" ht="13.5" x14ac:dyDescent="0.25">
      <c r="A95" s="39" t="s">
        <v>148</v>
      </c>
    </row>
    <row r="96" spans="1:1" ht="13.5" x14ac:dyDescent="0.25">
      <c r="A96" s="39" t="s">
        <v>149</v>
      </c>
    </row>
    <row r="97" spans="1:1" ht="13.5" x14ac:dyDescent="0.25">
      <c r="A97" s="39"/>
    </row>
    <row r="98" spans="1:1" ht="13.5" x14ac:dyDescent="0.25">
      <c r="A98" s="39" t="s">
        <v>150</v>
      </c>
    </row>
    <row r="99" spans="1:1" ht="13.5" x14ac:dyDescent="0.25">
      <c r="A99" s="39" t="s">
        <v>151</v>
      </c>
    </row>
    <row r="100" spans="1:1" ht="13.5" x14ac:dyDescent="0.25">
      <c r="A100" s="39" t="s">
        <v>152</v>
      </c>
    </row>
    <row r="101" spans="1:1" ht="13.5" x14ac:dyDescent="0.25">
      <c r="A101" s="39" t="s">
        <v>153</v>
      </c>
    </row>
    <row r="102" spans="1:1" ht="13.5" x14ac:dyDescent="0.25">
      <c r="A102" s="39"/>
    </row>
    <row r="103" spans="1:1" ht="13.5" x14ac:dyDescent="0.25">
      <c r="A103" s="39" t="s">
        <v>154</v>
      </c>
    </row>
    <row r="104" spans="1:1" ht="13.5" x14ac:dyDescent="0.25">
      <c r="A104" s="39" t="s">
        <v>155</v>
      </c>
    </row>
    <row r="105" spans="1:1" ht="13.5" x14ac:dyDescent="0.25">
      <c r="A105" s="39" t="s">
        <v>156</v>
      </c>
    </row>
    <row r="106" spans="1:1" ht="13.5" x14ac:dyDescent="0.25">
      <c r="A106" s="39" t="s">
        <v>157</v>
      </c>
    </row>
    <row r="107" spans="1:1" ht="13.5" x14ac:dyDescent="0.25">
      <c r="A107" s="39" t="s">
        <v>158</v>
      </c>
    </row>
    <row r="108" spans="1:1" ht="13.5" x14ac:dyDescent="0.25">
      <c r="A108" s="39" t="s">
        <v>159</v>
      </c>
    </row>
    <row r="109" spans="1:1" ht="13.5" x14ac:dyDescent="0.25">
      <c r="A109" s="39" t="s">
        <v>160</v>
      </c>
    </row>
    <row r="110" spans="1:1" ht="13.5" x14ac:dyDescent="0.25">
      <c r="A110" s="39" t="s">
        <v>161</v>
      </c>
    </row>
    <row r="111" spans="1:1" ht="13.5" x14ac:dyDescent="0.25">
      <c r="A111" s="39" t="s">
        <v>162</v>
      </c>
    </row>
    <row r="112" spans="1:1" ht="13.5" x14ac:dyDescent="0.25">
      <c r="A112" s="39" t="s">
        <v>163</v>
      </c>
    </row>
    <row r="113" spans="1:1" ht="13.5" x14ac:dyDescent="0.25">
      <c r="A113" s="39"/>
    </row>
    <row r="114" spans="1:1" ht="13.5" x14ac:dyDescent="0.25">
      <c r="A114" s="39" t="s">
        <v>164</v>
      </c>
    </row>
    <row r="115" spans="1:1" ht="13.5" x14ac:dyDescent="0.25">
      <c r="A115" s="39" t="s">
        <v>165</v>
      </c>
    </row>
    <row r="116" spans="1:1" ht="13.5" x14ac:dyDescent="0.25">
      <c r="A116" s="39" t="s">
        <v>166</v>
      </c>
    </row>
    <row r="117" spans="1:1" ht="13.5" x14ac:dyDescent="0.25">
      <c r="A117" s="39" t="s">
        <v>167</v>
      </c>
    </row>
    <row r="118" spans="1:1" ht="13.5" x14ac:dyDescent="0.25">
      <c r="A118" s="39" t="s">
        <v>168</v>
      </c>
    </row>
    <row r="119" spans="1:1" ht="13.5" x14ac:dyDescent="0.25">
      <c r="A119" s="39" t="s">
        <v>169</v>
      </c>
    </row>
    <row r="120" spans="1:1" ht="13.5" x14ac:dyDescent="0.25">
      <c r="A120" s="39" t="s">
        <v>170</v>
      </c>
    </row>
    <row r="121" spans="1:1" ht="13.5" x14ac:dyDescent="0.25">
      <c r="A121" s="39" t="s">
        <v>171</v>
      </c>
    </row>
    <row r="122" spans="1:1" ht="13.5" x14ac:dyDescent="0.25">
      <c r="A122" s="39" t="s">
        <v>172</v>
      </c>
    </row>
    <row r="123" spans="1:1" ht="13.5" x14ac:dyDescent="0.25">
      <c r="A123" s="39"/>
    </row>
    <row r="124" spans="1:1" ht="13.5" x14ac:dyDescent="0.25">
      <c r="A124" s="39" t="s">
        <v>173</v>
      </c>
    </row>
    <row r="125" spans="1:1" ht="13.5" x14ac:dyDescent="0.25">
      <c r="A125" s="39" t="s">
        <v>174</v>
      </c>
    </row>
    <row r="126" spans="1:1" ht="13.5" x14ac:dyDescent="0.25">
      <c r="A126" s="39" t="s">
        <v>175</v>
      </c>
    </row>
    <row r="127" spans="1:1" ht="13.5" x14ac:dyDescent="0.25">
      <c r="A127" s="39" t="s">
        <v>176</v>
      </c>
    </row>
    <row r="128" spans="1:1" ht="13.5" x14ac:dyDescent="0.25">
      <c r="A128" s="39"/>
    </row>
    <row r="129" spans="1:1" ht="13.5" x14ac:dyDescent="0.25">
      <c r="A129" s="39" t="s">
        <v>177</v>
      </c>
    </row>
    <row r="130" spans="1:1" ht="13.5" x14ac:dyDescent="0.25">
      <c r="A130" s="39" t="s">
        <v>178</v>
      </c>
    </row>
    <row r="131" spans="1:1" ht="13.5" x14ac:dyDescent="0.25">
      <c r="A131" s="39" t="s">
        <v>179</v>
      </c>
    </row>
    <row r="132" spans="1:1" ht="13.5" x14ac:dyDescent="0.25">
      <c r="A132" s="39" t="s">
        <v>180</v>
      </c>
    </row>
    <row r="133" spans="1:1" ht="13.5" x14ac:dyDescent="0.25">
      <c r="A133" s="39"/>
    </row>
    <row r="134" spans="1:1" ht="13.5" x14ac:dyDescent="0.25">
      <c r="A134" s="39" t="s">
        <v>181</v>
      </c>
    </row>
    <row r="135" spans="1:1" ht="13.5" x14ac:dyDescent="0.25">
      <c r="A135" s="39" t="s">
        <v>182</v>
      </c>
    </row>
    <row r="136" spans="1:1" ht="13.5" x14ac:dyDescent="0.25">
      <c r="A136" s="39" t="s">
        <v>183</v>
      </c>
    </row>
    <row r="137" spans="1:1" ht="13.5" x14ac:dyDescent="0.25">
      <c r="A137" s="39"/>
    </row>
    <row r="138" spans="1:1" ht="13.5" x14ac:dyDescent="0.25">
      <c r="A138" s="39" t="s">
        <v>184</v>
      </c>
    </row>
    <row r="139" spans="1:1" ht="13.5" x14ac:dyDescent="0.25">
      <c r="A139" s="39" t="s">
        <v>185</v>
      </c>
    </row>
    <row r="140" spans="1:1" ht="13.5" x14ac:dyDescent="0.25">
      <c r="A140" s="39" t="s">
        <v>186</v>
      </c>
    </row>
    <row r="141" spans="1:1" ht="13.5" x14ac:dyDescent="0.25">
      <c r="A141" s="39"/>
    </row>
    <row r="142" spans="1:1" ht="13.5" x14ac:dyDescent="0.25">
      <c r="A142" s="39" t="s">
        <v>187</v>
      </c>
    </row>
    <row r="143" spans="1:1" ht="13.5" x14ac:dyDescent="0.25">
      <c r="A143" s="39" t="s">
        <v>188</v>
      </c>
    </row>
    <row r="144" spans="1:1" ht="13.5" x14ac:dyDescent="0.25">
      <c r="A144" s="39" t="s">
        <v>189</v>
      </c>
    </row>
    <row r="145" spans="1:1" ht="13.5" x14ac:dyDescent="0.25">
      <c r="A145" s="39" t="s">
        <v>190</v>
      </c>
    </row>
    <row r="146" spans="1:1" ht="13.5" x14ac:dyDescent="0.25">
      <c r="A146" s="39" t="s">
        <v>191</v>
      </c>
    </row>
    <row r="147" spans="1:1" ht="13.5" x14ac:dyDescent="0.25">
      <c r="A147" s="39" t="s">
        <v>192</v>
      </c>
    </row>
    <row r="148" spans="1:1" ht="13.5" x14ac:dyDescent="0.25">
      <c r="A148" s="39"/>
    </row>
    <row r="149" spans="1:1" ht="13.5" x14ac:dyDescent="0.25">
      <c r="A149" s="39" t="s">
        <v>193</v>
      </c>
    </row>
    <row r="150" spans="1:1" ht="13.5" x14ac:dyDescent="0.25">
      <c r="A150" s="39" t="s">
        <v>194</v>
      </c>
    </row>
    <row r="151" spans="1:1" ht="13.5" x14ac:dyDescent="0.25">
      <c r="A151" s="39" t="s">
        <v>195</v>
      </c>
    </row>
    <row r="152" spans="1:1" ht="13.5" x14ac:dyDescent="0.25">
      <c r="A152" s="39" t="s">
        <v>196</v>
      </c>
    </row>
    <row r="153" spans="1:1" ht="13.5" x14ac:dyDescent="0.25">
      <c r="A153" s="39" t="s">
        <v>197</v>
      </c>
    </row>
    <row r="154" spans="1:1" ht="13.5" x14ac:dyDescent="0.25">
      <c r="A154" s="39"/>
    </row>
    <row r="155" spans="1:1" ht="13.5" x14ac:dyDescent="0.25">
      <c r="A155" s="39" t="s">
        <v>198</v>
      </c>
    </row>
    <row r="156" spans="1:1" ht="13.5" x14ac:dyDescent="0.25">
      <c r="A156" s="39" t="s">
        <v>199</v>
      </c>
    </row>
    <row r="157" spans="1:1" ht="13.5" x14ac:dyDescent="0.25">
      <c r="A157" s="39" t="s">
        <v>200</v>
      </c>
    </row>
    <row r="158" spans="1:1" ht="13.5" x14ac:dyDescent="0.25">
      <c r="A158" s="39" t="s">
        <v>201</v>
      </c>
    </row>
    <row r="159" spans="1:1" ht="13.5" x14ac:dyDescent="0.25">
      <c r="A159" s="39" t="s">
        <v>202</v>
      </c>
    </row>
    <row r="160" spans="1:1" ht="13.5" x14ac:dyDescent="0.25">
      <c r="A160" s="39" t="s">
        <v>203</v>
      </c>
    </row>
    <row r="161" spans="1:1" ht="13.5" x14ac:dyDescent="0.25">
      <c r="A161" s="39" t="s">
        <v>204</v>
      </c>
    </row>
    <row r="162" spans="1:1" ht="13.5" x14ac:dyDescent="0.25">
      <c r="A162" s="39" t="s">
        <v>205</v>
      </c>
    </row>
    <row r="163" spans="1:1" ht="13.5" x14ac:dyDescent="0.25">
      <c r="A163" s="39" t="s">
        <v>206</v>
      </c>
    </row>
    <row r="164" spans="1:1" ht="13.5" x14ac:dyDescent="0.25">
      <c r="A164" s="39" t="s">
        <v>207</v>
      </c>
    </row>
    <row r="165" spans="1:1" ht="13.5" x14ac:dyDescent="0.25">
      <c r="A165" s="39"/>
    </row>
    <row r="166" spans="1:1" ht="13.5" x14ac:dyDescent="0.25">
      <c r="A166" s="39" t="s">
        <v>208</v>
      </c>
    </row>
    <row r="167" spans="1:1" ht="13.5" x14ac:dyDescent="0.25">
      <c r="A167" s="39" t="s">
        <v>209</v>
      </c>
    </row>
    <row r="168" spans="1:1" ht="13.5" x14ac:dyDescent="0.25">
      <c r="A168" s="39" t="s">
        <v>210</v>
      </c>
    </row>
    <row r="169" spans="1:1" ht="13.5" x14ac:dyDescent="0.25">
      <c r="A169" s="39" t="s">
        <v>211</v>
      </c>
    </row>
    <row r="170" spans="1:1" ht="13.5" x14ac:dyDescent="0.25">
      <c r="A170" s="39" t="s">
        <v>212</v>
      </c>
    </row>
    <row r="171" spans="1:1" ht="13.5" x14ac:dyDescent="0.25">
      <c r="A171" s="39"/>
    </row>
    <row r="172" spans="1:1" ht="13.5" x14ac:dyDescent="0.25">
      <c r="A172" s="39" t="s">
        <v>213</v>
      </c>
    </row>
    <row r="173" spans="1:1" ht="13.5" x14ac:dyDescent="0.25">
      <c r="A173" s="39" t="s">
        <v>214</v>
      </c>
    </row>
    <row r="174" spans="1:1" ht="13.5" x14ac:dyDescent="0.25">
      <c r="A174" s="39" t="s">
        <v>215</v>
      </c>
    </row>
    <row r="175" spans="1:1" ht="13.5" x14ac:dyDescent="0.25">
      <c r="A175" s="39" t="s">
        <v>216</v>
      </c>
    </row>
    <row r="176" spans="1:1" ht="13.5" x14ac:dyDescent="0.25">
      <c r="A176" s="39" t="s">
        <v>217</v>
      </c>
    </row>
    <row r="177" spans="1:1" ht="13.5" x14ac:dyDescent="0.25">
      <c r="A177" s="39" t="s">
        <v>218</v>
      </c>
    </row>
    <row r="178" spans="1:1" ht="13.5" x14ac:dyDescent="0.25">
      <c r="A178" s="39" t="s">
        <v>219</v>
      </c>
    </row>
    <row r="179" spans="1:1" ht="13.5" x14ac:dyDescent="0.25">
      <c r="A179" s="39"/>
    </row>
    <row r="180" spans="1:1" ht="13.5" x14ac:dyDescent="0.25">
      <c r="A180" s="39" t="s">
        <v>220</v>
      </c>
    </row>
    <row r="181" spans="1:1" ht="13.5" x14ac:dyDescent="0.25">
      <c r="A181" s="39" t="s">
        <v>221</v>
      </c>
    </row>
    <row r="182" spans="1:1" ht="13.5" x14ac:dyDescent="0.25">
      <c r="A182" s="39" t="s">
        <v>222</v>
      </c>
    </row>
    <row r="183" spans="1:1" ht="13.5" x14ac:dyDescent="0.25">
      <c r="A183" s="39" t="s">
        <v>223</v>
      </c>
    </row>
    <row r="184" spans="1:1" ht="13.5" x14ac:dyDescent="0.25">
      <c r="A184" s="39" t="s">
        <v>224</v>
      </c>
    </row>
    <row r="185" spans="1:1" ht="13.5" x14ac:dyDescent="0.25">
      <c r="A185" s="39" t="s">
        <v>225</v>
      </c>
    </row>
    <row r="186" spans="1:1" ht="13.5" x14ac:dyDescent="0.25">
      <c r="A186" s="39" t="s">
        <v>226</v>
      </c>
    </row>
    <row r="187" spans="1:1" ht="13.5" x14ac:dyDescent="0.25">
      <c r="A187" s="39" t="s">
        <v>227</v>
      </c>
    </row>
    <row r="188" spans="1:1" ht="13.5" x14ac:dyDescent="0.25">
      <c r="A188" s="39"/>
    </row>
    <row r="189" spans="1:1" ht="13.5" x14ac:dyDescent="0.25">
      <c r="A189" s="39" t="s">
        <v>228</v>
      </c>
    </row>
    <row r="190" spans="1:1" ht="13.5" x14ac:dyDescent="0.25">
      <c r="A190" s="39" t="s">
        <v>229</v>
      </c>
    </row>
    <row r="191" spans="1:1" ht="13.5" x14ac:dyDescent="0.25">
      <c r="A191" s="39" t="s">
        <v>230</v>
      </c>
    </row>
    <row r="192" spans="1:1" ht="13.5" x14ac:dyDescent="0.25">
      <c r="A192" s="39" t="s">
        <v>231</v>
      </c>
    </row>
    <row r="193" spans="1:1" ht="13.5" x14ac:dyDescent="0.25">
      <c r="A193" s="39" t="s">
        <v>232</v>
      </c>
    </row>
    <row r="194" spans="1:1" ht="13.5" x14ac:dyDescent="0.25">
      <c r="A194" s="39" t="s">
        <v>233</v>
      </c>
    </row>
    <row r="195" spans="1:1" ht="13.5" x14ac:dyDescent="0.25">
      <c r="A195" s="39" t="s">
        <v>234</v>
      </c>
    </row>
    <row r="196" spans="1:1" ht="13.5" x14ac:dyDescent="0.25">
      <c r="A196" s="39"/>
    </row>
    <row r="197" spans="1:1" ht="13.5" x14ac:dyDescent="0.25">
      <c r="A197" s="39" t="s">
        <v>235</v>
      </c>
    </row>
    <row r="198" spans="1:1" ht="13.5" x14ac:dyDescent="0.25">
      <c r="A198" s="39" t="s">
        <v>236</v>
      </c>
    </row>
    <row r="199" spans="1:1" ht="13.5" x14ac:dyDescent="0.25">
      <c r="A199" s="39" t="s">
        <v>237</v>
      </c>
    </row>
    <row r="200" spans="1:1" ht="13.5" x14ac:dyDescent="0.25">
      <c r="A200" s="39" t="s">
        <v>238</v>
      </c>
    </row>
    <row r="201" spans="1:1" ht="13.5" x14ac:dyDescent="0.25">
      <c r="A201" s="39" t="s">
        <v>239</v>
      </c>
    </row>
    <row r="202" spans="1:1" ht="13.5" x14ac:dyDescent="0.25">
      <c r="A202" s="39" t="s">
        <v>240</v>
      </c>
    </row>
    <row r="203" spans="1:1" ht="13.5" x14ac:dyDescent="0.25">
      <c r="A203" s="39" t="s">
        <v>241</v>
      </c>
    </row>
    <row r="204" spans="1:1" ht="13.5" x14ac:dyDescent="0.25">
      <c r="A204" s="39" t="s">
        <v>242</v>
      </c>
    </row>
    <row r="205" spans="1:1" ht="13.5" x14ac:dyDescent="0.25">
      <c r="A205" s="39" t="s">
        <v>243</v>
      </c>
    </row>
    <row r="206" spans="1:1" ht="13.5" x14ac:dyDescent="0.25">
      <c r="A206" s="39" t="s">
        <v>244</v>
      </c>
    </row>
    <row r="207" spans="1:1" ht="13.5" x14ac:dyDescent="0.25">
      <c r="A207" s="39" t="s">
        <v>245</v>
      </c>
    </row>
    <row r="208" spans="1:1" ht="13.5" x14ac:dyDescent="0.25">
      <c r="A208" s="39" t="s">
        <v>246</v>
      </c>
    </row>
    <row r="209" spans="1:1" ht="13.5" x14ac:dyDescent="0.25">
      <c r="A209" s="39"/>
    </row>
    <row r="210" spans="1:1" ht="13.5" x14ac:dyDescent="0.25">
      <c r="A210" s="39" t="s">
        <v>247</v>
      </c>
    </row>
    <row r="211" spans="1:1" ht="13.5" x14ac:dyDescent="0.25">
      <c r="A211" s="39" t="s">
        <v>248</v>
      </c>
    </row>
    <row r="212" spans="1:1" ht="13.5" x14ac:dyDescent="0.25">
      <c r="A212" s="39" t="s">
        <v>249</v>
      </c>
    </row>
    <row r="213" spans="1:1" ht="13.5" x14ac:dyDescent="0.25">
      <c r="A213" s="39" t="s">
        <v>250</v>
      </c>
    </row>
    <row r="214" spans="1:1" ht="13.5" x14ac:dyDescent="0.25">
      <c r="A214" s="39"/>
    </row>
    <row r="215" spans="1:1" ht="13.5" x14ac:dyDescent="0.25">
      <c r="A215" s="39" t="s">
        <v>251</v>
      </c>
    </row>
    <row r="216" spans="1:1" ht="13.5" x14ac:dyDescent="0.25">
      <c r="A216" s="39" t="s">
        <v>252</v>
      </c>
    </row>
    <row r="217" spans="1:1" ht="13.5" x14ac:dyDescent="0.25">
      <c r="A217" s="39" t="s">
        <v>253</v>
      </c>
    </row>
    <row r="218" spans="1:1" ht="13.5" x14ac:dyDescent="0.25">
      <c r="A218" s="39" t="s">
        <v>254</v>
      </c>
    </row>
    <row r="219" spans="1:1" ht="13.5" x14ac:dyDescent="0.25">
      <c r="A219" s="39" t="s">
        <v>255</v>
      </c>
    </row>
    <row r="220" spans="1:1" ht="13.5" x14ac:dyDescent="0.25">
      <c r="A220" s="39" t="s">
        <v>256</v>
      </c>
    </row>
    <row r="221" spans="1:1" ht="13.5" x14ac:dyDescent="0.25">
      <c r="A221" s="39" t="s">
        <v>257</v>
      </c>
    </row>
    <row r="222" spans="1:1" ht="13.5" x14ac:dyDescent="0.25">
      <c r="A222" s="39" t="s">
        <v>258</v>
      </c>
    </row>
    <row r="223" spans="1:1" ht="13.5" x14ac:dyDescent="0.25">
      <c r="A223" s="39" t="s">
        <v>259</v>
      </c>
    </row>
    <row r="224" spans="1:1" ht="13.5" x14ac:dyDescent="0.25">
      <c r="A224" s="39" t="s">
        <v>260</v>
      </c>
    </row>
    <row r="225" spans="1:1" ht="13.5" x14ac:dyDescent="0.25">
      <c r="A225" s="39"/>
    </row>
    <row r="226" spans="1:1" ht="13.5" x14ac:dyDescent="0.25">
      <c r="A226" s="39" t="s">
        <v>261</v>
      </c>
    </row>
    <row r="227" spans="1:1" ht="13.5" x14ac:dyDescent="0.25">
      <c r="A227" s="39" t="s">
        <v>262</v>
      </c>
    </row>
    <row r="228" spans="1:1" ht="13.5" x14ac:dyDescent="0.25">
      <c r="A228" s="39"/>
    </row>
    <row r="229" spans="1:1" ht="13.5" x14ac:dyDescent="0.25">
      <c r="A229" s="39" t="s">
        <v>263</v>
      </c>
    </row>
    <row r="230" spans="1:1" ht="13.5" x14ac:dyDescent="0.25">
      <c r="A230" s="39" t="s">
        <v>264</v>
      </c>
    </row>
    <row r="231" spans="1:1" ht="13.5" x14ac:dyDescent="0.25">
      <c r="A231" s="39" t="s">
        <v>265</v>
      </c>
    </row>
    <row r="232" spans="1:1" ht="13.5" x14ac:dyDescent="0.25">
      <c r="A232" s="39" t="s">
        <v>266</v>
      </c>
    </row>
    <row r="233" spans="1:1" ht="13.5" x14ac:dyDescent="0.25">
      <c r="A233" s="39" t="s">
        <v>267</v>
      </c>
    </row>
    <row r="234" spans="1:1" ht="13.5" x14ac:dyDescent="0.25">
      <c r="A234" s="39" t="s">
        <v>268</v>
      </c>
    </row>
    <row r="235" spans="1:1" ht="13.5" x14ac:dyDescent="0.25">
      <c r="A235" s="39" t="s">
        <v>269</v>
      </c>
    </row>
    <row r="236" spans="1:1" ht="13.5" x14ac:dyDescent="0.25">
      <c r="A236" s="39"/>
    </row>
    <row r="237" spans="1:1" ht="13.5" x14ac:dyDescent="0.25">
      <c r="A237" s="39" t="s">
        <v>270</v>
      </c>
    </row>
    <row r="238" spans="1:1" ht="13.5" x14ac:dyDescent="0.25">
      <c r="A238" s="39" t="s">
        <v>271</v>
      </c>
    </row>
    <row r="239" spans="1:1" ht="13.5" x14ac:dyDescent="0.25">
      <c r="A239" s="39" t="s">
        <v>272</v>
      </c>
    </row>
    <row r="240" spans="1:1" ht="13.5" x14ac:dyDescent="0.25">
      <c r="A240" s="39" t="s">
        <v>273</v>
      </c>
    </row>
    <row r="241" spans="1:1" ht="13.5" x14ac:dyDescent="0.25">
      <c r="A241" s="39"/>
    </row>
    <row r="242" spans="1:1" ht="13.5" x14ac:dyDescent="0.25">
      <c r="A242" s="39" t="s">
        <v>274</v>
      </c>
    </row>
    <row r="243" spans="1:1" ht="13.5" x14ac:dyDescent="0.25">
      <c r="A243" s="39" t="s">
        <v>275</v>
      </c>
    </row>
    <row r="244" spans="1:1" ht="13.5" x14ac:dyDescent="0.25">
      <c r="A244" s="39" t="s">
        <v>276</v>
      </c>
    </row>
    <row r="245" spans="1:1" ht="13.5" x14ac:dyDescent="0.25">
      <c r="A245" s="39" t="s">
        <v>277</v>
      </c>
    </row>
    <row r="246" spans="1:1" ht="13.5" x14ac:dyDescent="0.25">
      <c r="A246" s="39" t="s">
        <v>278</v>
      </c>
    </row>
    <row r="247" spans="1:1" ht="13.5" x14ac:dyDescent="0.25">
      <c r="A247" s="39" t="s">
        <v>279</v>
      </c>
    </row>
    <row r="248" spans="1:1" ht="13.5" x14ac:dyDescent="0.25">
      <c r="A248" s="39" t="s">
        <v>280</v>
      </c>
    </row>
    <row r="249" spans="1:1" ht="13.5" x14ac:dyDescent="0.25">
      <c r="A249" s="39"/>
    </row>
    <row r="250" spans="1:1" ht="13.5" x14ac:dyDescent="0.25">
      <c r="A250" s="39" t="s">
        <v>281</v>
      </c>
    </row>
    <row r="251" spans="1:1" ht="13.5" x14ac:dyDescent="0.25">
      <c r="A251" s="39" t="s">
        <v>282</v>
      </c>
    </row>
    <row r="252" spans="1:1" ht="13.5" x14ac:dyDescent="0.25">
      <c r="A252" s="39" t="s">
        <v>283</v>
      </c>
    </row>
    <row r="253" spans="1:1" ht="13.5" x14ac:dyDescent="0.25">
      <c r="A253" s="39" t="s">
        <v>284</v>
      </c>
    </row>
    <row r="254" spans="1:1" ht="13.5" x14ac:dyDescent="0.25">
      <c r="A254" s="39" t="s">
        <v>285</v>
      </c>
    </row>
    <row r="255" spans="1:1" ht="13.5" x14ac:dyDescent="0.25">
      <c r="A255" s="39" t="s">
        <v>286</v>
      </c>
    </row>
    <row r="256" spans="1:1" ht="13.5" x14ac:dyDescent="0.25">
      <c r="A256" s="39" t="s">
        <v>287</v>
      </c>
    </row>
    <row r="257" spans="1:1" ht="13.5" x14ac:dyDescent="0.25">
      <c r="A257" s="39"/>
    </row>
    <row r="258" spans="1:1" ht="13.5" x14ac:dyDescent="0.25">
      <c r="A258" s="39" t="s">
        <v>288</v>
      </c>
    </row>
    <row r="259" spans="1:1" ht="13.5" x14ac:dyDescent="0.25">
      <c r="A259" s="39"/>
    </row>
    <row r="260" spans="1:1" ht="13.5" x14ac:dyDescent="0.25">
      <c r="A260" s="39" t="s">
        <v>289</v>
      </c>
    </row>
    <row r="261" spans="1:1" ht="13.5" x14ac:dyDescent="0.25">
      <c r="A261" s="39" t="s">
        <v>290</v>
      </c>
    </row>
    <row r="262" spans="1:1" ht="13.5" x14ac:dyDescent="0.25">
      <c r="A262" s="39" t="s">
        <v>291</v>
      </c>
    </row>
    <row r="263" spans="1:1" ht="13.5" x14ac:dyDescent="0.25">
      <c r="A263" s="39" t="s">
        <v>292</v>
      </c>
    </row>
    <row r="264" spans="1:1" ht="13.5" x14ac:dyDescent="0.25">
      <c r="A264" s="39" t="s">
        <v>293</v>
      </c>
    </row>
    <row r="265" spans="1:1" ht="13.5" x14ac:dyDescent="0.25">
      <c r="A265" s="39" t="s">
        <v>294</v>
      </c>
    </row>
    <row r="266" spans="1:1" ht="13.5" x14ac:dyDescent="0.25">
      <c r="A266" s="39" t="s">
        <v>295</v>
      </c>
    </row>
    <row r="267" spans="1:1" ht="13.5" x14ac:dyDescent="0.25">
      <c r="A267" s="39" t="s">
        <v>296</v>
      </c>
    </row>
    <row r="268" spans="1:1" ht="13.5" x14ac:dyDescent="0.25">
      <c r="A268" s="39" t="s">
        <v>297</v>
      </c>
    </row>
    <row r="269" spans="1:1" ht="13.5" x14ac:dyDescent="0.25">
      <c r="A269" s="39"/>
    </row>
    <row r="270" spans="1:1" ht="13.5" x14ac:dyDescent="0.25">
      <c r="A270" s="39" t="s">
        <v>298</v>
      </c>
    </row>
    <row r="271" spans="1:1" ht="13.5" x14ac:dyDescent="0.25">
      <c r="A271" s="39" t="s">
        <v>299</v>
      </c>
    </row>
    <row r="272" spans="1:1" ht="13.5" x14ac:dyDescent="0.25">
      <c r="A272" s="39" t="s">
        <v>300</v>
      </c>
    </row>
    <row r="273" spans="1:1" ht="13.5" x14ac:dyDescent="0.25">
      <c r="A273" s="39" t="s">
        <v>301</v>
      </c>
    </row>
    <row r="274" spans="1:1" ht="13.5" x14ac:dyDescent="0.25">
      <c r="A274" s="39" t="s">
        <v>302</v>
      </c>
    </row>
    <row r="275" spans="1:1" ht="13.5" x14ac:dyDescent="0.25">
      <c r="A275" s="39" t="s">
        <v>303</v>
      </c>
    </row>
    <row r="276" spans="1:1" ht="13.5" x14ac:dyDescent="0.25">
      <c r="A276" s="39" t="s">
        <v>304</v>
      </c>
    </row>
    <row r="277" spans="1:1" ht="13.5" x14ac:dyDescent="0.25">
      <c r="A277" s="39" t="s">
        <v>305</v>
      </c>
    </row>
    <row r="278" spans="1:1" ht="13.5" x14ac:dyDescent="0.25">
      <c r="A278" s="39" t="s">
        <v>306</v>
      </c>
    </row>
    <row r="279" spans="1:1" ht="13.5" x14ac:dyDescent="0.25">
      <c r="A279" s="39"/>
    </row>
    <row r="280" spans="1:1" ht="13.5" x14ac:dyDescent="0.25">
      <c r="A280" s="39" t="s">
        <v>307</v>
      </c>
    </row>
    <row r="281" spans="1:1" ht="13.5" x14ac:dyDescent="0.25">
      <c r="A281" s="39"/>
    </row>
    <row r="282" spans="1:1" ht="13.5" x14ac:dyDescent="0.25">
      <c r="A282" s="39" t="s">
        <v>308</v>
      </c>
    </row>
    <row r="283" spans="1:1" ht="13.5" x14ac:dyDescent="0.25">
      <c r="A283" s="39"/>
    </row>
    <row r="284" spans="1:1" ht="13.5" x14ac:dyDescent="0.25">
      <c r="A284" s="39" t="s">
        <v>309</v>
      </c>
    </row>
    <row r="285" spans="1:1" ht="13.5" x14ac:dyDescent="0.25">
      <c r="A285" s="39" t="s">
        <v>310</v>
      </c>
    </row>
    <row r="286" spans="1:1" ht="13.5" x14ac:dyDescent="0.25">
      <c r="A286" s="39" t="s">
        <v>311</v>
      </c>
    </row>
    <row r="287" spans="1:1" ht="13.5" x14ac:dyDescent="0.25">
      <c r="A287" s="39"/>
    </row>
    <row r="288" spans="1:1" ht="13.5" x14ac:dyDescent="0.25">
      <c r="A288" s="39" t="s">
        <v>312</v>
      </c>
    </row>
    <row r="289" spans="1:1" ht="13.5" x14ac:dyDescent="0.25">
      <c r="A289" s="39" t="s">
        <v>313</v>
      </c>
    </row>
    <row r="290" spans="1:1" ht="13.5" x14ac:dyDescent="0.25">
      <c r="A290" s="39" t="s">
        <v>314</v>
      </c>
    </row>
    <row r="291" spans="1:1" ht="13.5" x14ac:dyDescent="0.25">
      <c r="A291" s="39" t="s">
        <v>315</v>
      </c>
    </row>
    <row r="292" spans="1:1" ht="13.5" x14ac:dyDescent="0.25">
      <c r="A292" s="39"/>
    </row>
    <row r="293" spans="1:1" ht="13.5" x14ac:dyDescent="0.25">
      <c r="A293" s="39" t="s">
        <v>316</v>
      </c>
    </row>
    <row r="294" spans="1:1" ht="13.5" x14ac:dyDescent="0.25">
      <c r="A294" s="39" t="s">
        <v>317</v>
      </c>
    </row>
    <row r="295" spans="1:1" ht="13.5" x14ac:dyDescent="0.25">
      <c r="A295" s="39"/>
    </row>
    <row r="296" spans="1:1" ht="13.5" x14ac:dyDescent="0.25">
      <c r="A296" s="39" t="s">
        <v>318</v>
      </c>
    </row>
    <row r="297" spans="1:1" ht="13.5" x14ac:dyDescent="0.25">
      <c r="A297" s="39" t="s">
        <v>319</v>
      </c>
    </row>
    <row r="298" spans="1:1" ht="13.5" x14ac:dyDescent="0.25">
      <c r="A298" s="39" t="s">
        <v>320</v>
      </c>
    </row>
    <row r="299" spans="1:1" ht="13.5" x14ac:dyDescent="0.25">
      <c r="A299" s="39" t="s">
        <v>321</v>
      </c>
    </row>
    <row r="300" spans="1:1" ht="13.5" x14ac:dyDescent="0.25">
      <c r="A300" s="39"/>
    </row>
    <row r="301" spans="1:1" ht="13.5" x14ac:dyDescent="0.25">
      <c r="A301" s="39" t="s">
        <v>322</v>
      </c>
    </row>
    <row r="302" spans="1:1" ht="13.5" x14ac:dyDescent="0.25">
      <c r="A302" s="39" t="s">
        <v>323</v>
      </c>
    </row>
    <row r="303" spans="1:1" ht="13.5" x14ac:dyDescent="0.25">
      <c r="A303" s="39" t="s">
        <v>324</v>
      </c>
    </row>
    <row r="304" spans="1:1" ht="13.5" x14ac:dyDescent="0.25">
      <c r="A304" s="39" t="s">
        <v>325</v>
      </c>
    </row>
    <row r="305" spans="1:1" ht="13.5" x14ac:dyDescent="0.25">
      <c r="A305" s="39"/>
    </row>
    <row r="306" spans="1:1" ht="13.5" x14ac:dyDescent="0.25">
      <c r="A306" s="39" t="s">
        <v>326</v>
      </c>
    </row>
    <row r="307" spans="1:1" ht="13.5" x14ac:dyDescent="0.25">
      <c r="A307" s="39" t="s">
        <v>327</v>
      </c>
    </row>
    <row r="308" spans="1:1" ht="13.5" x14ac:dyDescent="0.25">
      <c r="A308" s="39" t="s">
        <v>328</v>
      </c>
    </row>
    <row r="309" spans="1:1" ht="13.5" x14ac:dyDescent="0.25">
      <c r="A309" s="39"/>
    </row>
    <row r="310" spans="1:1" ht="13.5" x14ac:dyDescent="0.25">
      <c r="A310" s="39" t="s">
        <v>329</v>
      </c>
    </row>
    <row r="311" spans="1:1" ht="13.5" x14ac:dyDescent="0.25">
      <c r="A311" s="39"/>
    </row>
    <row r="312" spans="1:1" ht="13.5" x14ac:dyDescent="0.25">
      <c r="A312" s="39" t="s">
        <v>330</v>
      </c>
    </row>
    <row r="313" spans="1:1" ht="13.5" x14ac:dyDescent="0.25">
      <c r="A313" s="39" t="s">
        <v>331</v>
      </c>
    </row>
    <row r="314" spans="1:1" ht="13.5" x14ac:dyDescent="0.25">
      <c r="A314" s="39"/>
    </row>
    <row r="315" spans="1:1" ht="13.5" x14ac:dyDescent="0.25">
      <c r="A315" s="39" t="s">
        <v>332</v>
      </c>
    </row>
    <row r="316" spans="1:1" ht="13.5" x14ac:dyDescent="0.25">
      <c r="A316" s="39" t="s">
        <v>333</v>
      </c>
    </row>
    <row r="317" spans="1:1" ht="13.5" x14ac:dyDescent="0.25">
      <c r="A317" s="39" t="s">
        <v>334</v>
      </c>
    </row>
    <row r="318" spans="1:1" ht="13.5" x14ac:dyDescent="0.25">
      <c r="A318" s="39" t="s">
        <v>335</v>
      </c>
    </row>
    <row r="319" spans="1:1" ht="13.5" x14ac:dyDescent="0.25">
      <c r="A319" s="39"/>
    </row>
    <row r="320" spans="1:1" ht="13.5" x14ac:dyDescent="0.25">
      <c r="A320" s="39" t="s">
        <v>336</v>
      </c>
    </row>
    <row r="321" spans="1:1" ht="13.5" x14ac:dyDescent="0.25">
      <c r="A321" s="39" t="s">
        <v>337</v>
      </c>
    </row>
    <row r="322" spans="1:1" ht="13.5" x14ac:dyDescent="0.25">
      <c r="A322" s="39" t="s">
        <v>338</v>
      </c>
    </row>
    <row r="323" spans="1:1" ht="13.5" x14ac:dyDescent="0.25">
      <c r="A323" s="39" t="s">
        <v>339</v>
      </c>
    </row>
    <row r="324" spans="1:1" ht="13.5" x14ac:dyDescent="0.25">
      <c r="A324" s="39"/>
    </row>
    <row r="325" spans="1:1" ht="13.5" x14ac:dyDescent="0.25">
      <c r="A325" s="39" t="s">
        <v>340</v>
      </c>
    </row>
    <row r="326" spans="1:1" ht="13.5" x14ac:dyDescent="0.25">
      <c r="A326" s="39" t="s">
        <v>341</v>
      </c>
    </row>
    <row r="327" spans="1:1" ht="13.5" x14ac:dyDescent="0.25">
      <c r="A327" s="39" t="s">
        <v>342</v>
      </c>
    </row>
    <row r="328" spans="1:1" ht="13.5" x14ac:dyDescent="0.25">
      <c r="A328" s="39"/>
    </row>
    <row r="329" spans="1:1" ht="13.5" x14ac:dyDescent="0.25">
      <c r="A329" s="39" t="s">
        <v>343</v>
      </c>
    </row>
    <row r="330" spans="1:1" ht="13.5" x14ac:dyDescent="0.25">
      <c r="A330" s="39" t="s">
        <v>344</v>
      </c>
    </row>
    <row r="331" spans="1:1" ht="13.5" x14ac:dyDescent="0.25">
      <c r="A331" s="39"/>
    </row>
    <row r="332" spans="1:1" ht="13.5" x14ac:dyDescent="0.25">
      <c r="A332" s="39" t="s">
        <v>345</v>
      </c>
    </row>
    <row r="333" spans="1:1" ht="13.5" x14ac:dyDescent="0.25">
      <c r="A333" s="39" t="s">
        <v>346</v>
      </c>
    </row>
    <row r="334" spans="1:1" ht="13.5" x14ac:dyDescent="0.25">
      <c r="A334" s="39"/>
    </row>
    <row r="335" spans="1:1" ht="13.5" x14ac:dyDescent="0.25">
      <c r="A335" s="39" t="s">
        <v>347</v>
      </c>
    </row>
    <row r="336" spans="1:1" ht="13.5" x14ac:dyDescent="0.25">
      <c r="A336" s="39" t="s">
        <v>348</v>
      </c>
    </row>
    <row r="337" spans="1:1" ht="13.5" x14ac:dyDescent="0.25">
      <c r="A337" s="39" t="s">
        <v>349</v>
      </c>
    </row>
    <row r="338" spans="1:1" ht="13.5" x14ac:dyDescent="0.25">
      <c r="A338" s="39" t="s">
        <v>350</v>
      </c>
    </row>
    <row r="339" spans="1:1" ht="13.5" x14ac:dyDescent="0.25">
      <c r="A339" s="39" t="s">
        <v>351</v>
      </c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Model</vt:lpstr>
      <vt:lpstr>Model-large</vt:lpstr>
      <vt:lpstr>Read Me</vt:lpstr>
      <vt:lpstr>Licence</vt:lpstr>
      <vt:lpstr>GPL</vt:lpstr>
      <vt:lpstr>Model!Print_Area</vt:lpstr>
      <vt:lpstr>'Model-large'!Print_Area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</dc:creator>
  <cp:lastModifiedBy>owen</cp:lastModifiedBy>
  <cp:lastPrinted>2006-07-18T10:11:39Z</cp:lastPrinted>
  <dcterms:created xsi:type="dcterms:W3CDTF">2006-07-15T04:29:05Z</dcterms:created>
  <dcterms:modified xsi:type="dcterms:W3CDTF">2014-04-06T00:39:32Z</dcterms:modified>
</cp:coreProperties>
</file>