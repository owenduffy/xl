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C34" i="21" l="1"/>
  <c r="C30" i="21" l="1"/>
  <c r="C32" i="21"/>
  <c r="D29" i="21"/>
  <c r="D26" i="2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F26" i="21"/>
  <c r="E31" i="21"/>
  <c r="H19" i="21" l="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<sst xmlns="http://schemas.openxmlformats.org/spreadsheetml/2006/main" count="39" uniqueCount="36">
  <si>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</si>
  <si>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</si>
  <si>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</si>
  <si>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</si>
  <si>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</si>
  <si>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</si>
  <si>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</si>
  <si>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</si>
  <si>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</si>
  <si>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</si>
  <si>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</si>
  <si>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</si>
  <si>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</si>
  <si>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</si>
  <si>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</si>
  <si>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Antenna feed losses</t>
  </si>
  <si>
    <t>Antenna gain (wrt isotropic)</t>
  </si>
  <si>
    <t>Antenna spillover noise</t>
  </si>
  <si>
    <t>Sky noise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</si>
  <si>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</si>
  <si>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</si>
  <si>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</si>
  <si>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</si>
  <si>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</si>
  <si>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</si>
  <si>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</si>
  <si>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</si>
  <si>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</si>
  <si>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G/T (dB/K)</t>
  </si>
  <si>
    <t>Total noise</t>
  </si>
  <si>
    <t>% Total</t>
  </si>
  <si>
    <t>Copyright: Owen Duffy 2006, 2014. All rights reserved.</t>
  </si>
  <si>
    <t>Antenna total noise (Ta)</t>
  </si>
  <si>
    <t>G/Ta  (dB/K)</t>
  </si>
  <si>
    <t>G/T-G/Ta (dB/K)</t>
  </si>
  <si>
    <t>Version: 1.09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</si>
</sst>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3.6083566716911939</c:v>
                </c:pt>
                <c:pt idx="1">
                  <c:v>3.7985975225742673E-2</c:v>
                </c:pt>
                <c:pt idx="2">
                  <c:v>0.1773468655329227</c:v>
                </c:pt>
                <c:pt idx="3">
                  <c:v>0.42448414874172047</c:v>
                </c:pt>
                <c:pt idx="4">
                  <c:v>9.0537223681446843E-2</c:v>
                </c:pt>
                <c:pt idx="5">
                  <c:v>36.209582472677333</c:v>
                </c:pt>
                <c:pt idx="6">
                  <c:v>6.7549677614186887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25.562047179268887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3"/>
  <sheetViews>
    <sheetView tabSelected="1" workbookViewId="0">
      <selection activeCell="K2" sqref="K2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22</v>
      </c>
    </row>
    <row r="3" spans="1:9" x14ac:dyDescent="0.2">
      <c r="A3" s="50" t="s">
        <v>4</v>
      </c>
      <c r="B3" s="49"/>
      <c r="C3" s="3" t="s">
        <v>23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25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24</v>
      </c>
      <c r="I8" s="25" t="s">
        <v>30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H9/$C$30</f>
        <v>4.9520914080568738E-2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5.2131770403366653E-4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2.4338998856224059E-3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5.825600119666075E-3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1.2425285200314763E-3</v>
      </c>
    </row>
    <row r="14" spans="1:9" x14ac:dyDescent="0.2">
      <c r="A14" s="1">
        <v>6</v>
      </c>
      <c r="B14" s="1" t="s">
        <v>21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0.49693857500020988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9.2704853917183513E-2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27</v>
      </c>
      <c r="D22" s="13">
        <f>SUM(H9:H20)</f>
        <v>47.303261118969054</v>
      </c>
      <c r="I22" s="17">
        <f>D22/$C$30</f>
        <v>0.64918768922731585</v>
      </c>
    </row>
    <row r="23" spans="1:9" x14ac:dyDescent="0.2">
      <c r="A23" s="7" t="s">
        <v>19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20</v>
      </c>
      <c r="D25" s="19" t="s">
        <v>26</v>
      </c>
      <c r="I25" s="8"/>
    </row>
    <row r="26" spans="1:9" x14ac:dyDescent="0.2">
      <c r="A26" s="7" t="s">
        <v>15</v>
      </c>
      <c r="C26" s="18">
        <v>0.05</v>
      </c>
      <c r="D26" s="13">
        <f>(1-1/10^(C26/10))*290</f>
        <v>3.3196025494877635</v>
      </c>
      <c r="E26" s="15">
        <f>10^(-C26/10)</f>
        <v>0.98855309465693875</v>
      </c>
      <c r="F26" s="15">
        <f>F27*E27</f>
        <v>0</v>
      </c>
      <c r="I26" s="8"/>
    </row>
    <row r="27" spans="1:9" x14ac:dyDescent="0.2">
      <c r="A27" s="7" t="s">
        <v>17</v>
      </c>
      <c r="D27" s="16">
        <v>2.5</v>
      </c>
      <c r="E27" s="14"/>
      <c r="F27" s="14"/>
      <c r="I27" s="8"/>
    </row>
    <row r="28" spans="1:9" x14ac:dyDescent="0.2">
      <c r="A28" s="7" t="s">
        <v>18</v>
      </c>
      <c r="D28" s="16">
        <v>20</v>
      </c>
      <c r="E28" s="14"/>
      <c r="F28" s="14"/>
      <c r="I28" s="8"/>
    </row>
    <row r="29" spans="1:9" x14ac:dyDescent="0.2">
      <c r="A29" s="7" t="s">
        <v>32</v>
      </c>
      <c r="D29" s="13">
        <f>E26*(D27+D28)+D26</f>
        <v>25.562047179268887</v>
      </c>
      <c r="E29" s="14"/>
      <c r="F29" s="14"/>
      <c r="I29" s="17">
        <f>D29/$C$30</f>
        <v>0.3508123107726841</v>
      </c>
    </row>
    <row r="30" spans="1:9" x14ac:dyDescent="0.2">
      <c r="A30" s="11" t="s">
        <v>29</v>
      </c>
      <c r="C30" s="13">
        <f>(D29+D22)</f>
        <v>72.865308298237949</v>
      </c>
      <c r="E30" s="14"/>
      <c r="F30" s="14"/>
      <c r="I30" s="17">
        <f>C30/$C$30</f>
        <v>1</v>
      </c>
    </row>
    <row r="31" spans="1:9" x14ac:dyDescent="0.2">
      <c r="A31" s="7" t="s">
        <v>16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28</v>
      </c>
      <c r="C32" s="12">
        <f>C31-C26-10*LOG(C30)</f>
        <v>6.3247919322782309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33</v>
      </c>
      <c r="C34" s="12">
        <f>C31-C26-10*LOG(D29)</f>
        <v>10.874043679214106</v>
      </c>
      <c r="E34" s="8"/>
      <c r="H34" s="10"/>
      <c r="I34" s="8"/>
    </row>
    <row r="35" spans="1:9" x14ac:dyDescent="0.2">
      <c r="A35" s="11" t="s">
        <v>34</v>
      </c>
      <c r="C35" s="12">
        <f>C34-C32</f>
        <v>4.5492517469358749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35</v>
      </c>
      <c r="E37" s="8"/>
      <c r="H37" s="10"/>
      <c r="I37" s="8"/>
    </row>
    <row r="38" spans="1:9" x14ac:dyDescent="0.2">
      <c r="A38" s="11" t="s">
        <v>31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E41" s="8"/>
      <c r="H41" s="10"/>
      <c r="I41" s="8"/>
    </row>
    <row r="42" spans="1:9" x14ac:dyDescent="0.2">
      <c r="E42" s="8"/>
      <c r="H42" s="10"/>
      <c r="I42" s="8"/>
    </row>
    <row r="43" spans="1:9" x14ac:dyDescent="0.2">
      <c r="H43" s="9"/>
      <c r="I43" s="8"/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2014-04-16T03:07:58Z</dcterms:modified>
</cp:coreProperties>
</file>