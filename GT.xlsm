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D26" i="21" l="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D29" i="21" s="1"/>
  <c r="F26" i="21"/>
  <c r="E31" i="21"/>
  <c r="C34" i="21" l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30" i="21" s="1"/>
  <c r="C32" i="21" s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<sst xmlns="http://schemas.openxmlformats.org/spreadsheetml/2006/main" count="43" uniqueCount="40">
  <si>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</si>
  <si>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</si>
  <si>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</si>
  <si>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</si>
  <si>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</si>
  <si>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</si>
  <si>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</si>
  <si>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</si>
  <si>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</si>
  <si>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</si>
  <si>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</si>
  <si>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</si>
  <si>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</si>
  <si>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</si>
  <si>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</si>
  <si>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</si>
  <si>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</si>
  <si>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</si>
  <si>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</si>
  <si>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</si>
  <si>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</si>
  <si>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</si>
  <si>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</si>
  <si>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</si>
  <si>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% Total</t>
  </si>
  <si>
    <t>Copyright: Owen Duffy 2006, 2014. All rights reserved.</t>
  </si>
  <si>
    <t>Antenna total noise (Ta)</t>
  </si>
  <si>
    <t>Lossless antenna gain (wrt isotropic)</t>
  </si>
  <si>
    <t>ITU-R. 2000. Recommendation ITU-R S.733-2 (2000) Determination of the G/T ratio for earth stations operating in the fixed-satellite service .</t>
  </si>
  <si>
    <t>G/T (dB/K) [1]</t>
  </si>
  <si>
    <t>G/Ta  (dB/K) [2]</t>
  </si>
  <si>
    <t>Footnotes:</t>
  </si>
  <si>
    <t>Bertelsmeier, R. 1987. Effective noise temperatures of 4-Yagi-arrays for 432MHz. DUBUS.</t>
  </si>
  <si>
    <t>G/T-G/Ta (dB/K) [3]</t>
  </si>
  <si>
    <t>G/T-G/Ta (dB/K) is the shortfall over a system with a noiseless receiver.</t>
  </si>
  <si>
    <t>Antenna and feed losses</t>
  </si>
  <si>
    <t>Sky noise (on-axis)</t>
  </si>
  <si>
    <t>Other antenna noise (off-axis)</t>
  </si>
  <si>
    <t>System noise temperature</t>
  </si>
  <si>
    <t>Version: 1.10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</si>
</sst>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0" fontId="2" fillId="0" borderId="0" xfId="1" applyAlignment="1">
      <alignment vertical="top"/>
    </xf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  <xf numFmtId="0" fontId="2" fillId="0" borderId="0" xfId="1" applyFont="1" applyAlignment="1">
      <alignment horizontal="left" wrapText="1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3.6083566716911939</c:v>
                </c:pt>
                <c:pt idx="1">
                  <c:v>3.7985975225742673E-2</c:v>
                </c:pt>
                <c:pt idx="2">
                  <c:v>0.1773468655329227</c:v>
                </c:pt>
                <c:pt idx="3">
                  <c:v>0.42448414874172047</c:v>
                </c:pt>
                <c:pt idx="4">
                  <c:v>9.0537223681446843E-2</c:v>
                </c:pt>
                <c:pt idx="5">
                  <c:v>36.209582472677333</c:v>
                </c:pt>
                <c:pt idx="6">
                  <c:v>6.7549677614186887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48.273765779284339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4"/>
  <sheetViews>
    <sheetView tabSelected="1" workbookViewId="0">
      <selection activeCell="C31" sqref="C31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18</v>
      </c>
    </row>
    <row r="3" spans="1:9" x14ac:dyDescent="0.2">
      <c r="A3" s="50" t="s">
        <v>4</v>
      </c>
      <c r="B3" s="49"/>
      <c r="C3" s="3" t="s">
        <v>19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3" t="s">
        <v>21</v>
      </c>
      <c r="H7" s="54"/>
      <c r="I7" s="55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20</v>
      </c>
      <c r="I8" s="25" t="s">
        <v>24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H9/$D$30</f>
        <v>3.7753388955407384E-2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3.974383432765771E-4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1.8555386298186223E-3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4.4412780195977998E-3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9.4726972181116622E-4</v>
      </c>
    </row>
    <row r="14" spans="1:9" x14ac:dyDescent="0.2">
      <c r="A14" s="1">
        <v>6</v>
      </c>
      <c r="B14" s="1" t="s">
        <v>17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0.37885236283007917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7.0675642260871904E-2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23</v>
      </c>
      <c r="D22" s="13">
        <f>SUM(H9:H20)</f>
        <v>47.303261118969054</v>
      </c>
      <c r="I22" s="17">
        <f>D22/$D$30</f>
        <v>0.4949229187608627</v>
      </c>
    </row>
    <row r="23" spans="1:9" x14ac:dyDescent="0.2">
      <c r="A23" s="7" t="s">
        <v>15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16</v>
      </c>
      <c r="D25" s="19" t="s">
        <v>22</v>
      </c>
      <c r="I25" s="8"/>
    </row>
    <row r="26" spans="1:9" x14ac:dyDescent="0.2">
      <c r="A26" s="7" t="s">
        <v>35</v>
      </c>
      <c r="C26" s="18">
        <v>0.44</v>
      </c>
      <c r="D26" s="13">
        <f>(1-1/10^(C26/10))*290</f>
        <v>27.941652620532555</v>
      </c>
      <c r="E26" s="15">
        <f>10^(-C26/10)</f>
        <v>0.90364947372230153</v>
      </c>
      <c r="F26" s="15">
        <f>F27*E27</f>
        <v>0</v>
      </c>
      <c r="I26" s="8"/>
    </row>
    <row r="27" spans="1:9" x14ac:dyDescent="0.2">
      <c r="A27" s="7" t="s">
        <v>36</v>
      </c>
      <c r="D27" s="16">
        <v>20</v>
      </c>
      <c r="E27" s="14"/>
      <c r="F27" s="14"/>
      <c r="I27" s="8"/>
    </row>
    <row r="28" spans="1:9" x14ac:dyDescent="0.2">
      <c r="A28" s="7" t="s">
        <v>37</v>
      </c>
      <c r="D28" s="16">
        <v>2.5</v>
      </c>
      <c r="E28" s="14"/>
      <c r="F28" s="14"/>
      <c r="I28" s="8"/>
    </row>
    <row r="29" spans="1:9" x14ac:dyDescent="0.2">
      <c r="A29" s="7" t="s">
        <v>26</v>
      </c>
      <c r="D29" s="13">
        <f>E26*(D28+D27)+D26</f>
        <v>48.273765779284339</v>
      </c>
      <c r="E29" s="14"/>
      <c r="F29" s="14"/>
      <c r="I29" s="17">
        <f>D29/$D$30</f>
        <v>0.5050770812391373</v>
      </c>
    </row>
    <row r="30" spans="1:9" x14ac:dyDescent="0.2">
      <c r="A30" s="11" t="s">
        <v>38</v>
      </c>
      <c r="D30" s="13">
        <f>(D29+D22)</f>
        <v>95.577026898253393</v>
      </c>
      <c r="E30" s="14"/>
      <c r="F30" s="14"/>
      <c r="I30" s="17">
        <f>D30/$D$30</f>
        <v>1</v>
      </c>
    </row>
    <row r="31" spans="1:9" x14ac:dyDescent="0.2">
      <c r="A31" s="7" t="s">
        <v>27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C31-C26-10*LOG(D30)</f>
        <v>4.7564648314526359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30</v>
      </c>
      <c r="C34" s="12">
        <f>C31-C26-10*LOG(D29)</f>
        <v>7.7228882106173984</v>
      </c>
      <c r="E34" s="8"/>
      <c r="H34" s="10"/>
      <c r="I34" s="8"/>
    </row>
    <row r="35" spans="1:9" x14ac:dyDescent="0.2">
      <c r="A35" s="11" t="s">
        <v>33</v>
      </c>
      <c r="C35" s="12">
        <f>C34-C32</f>
        <v>2.9664233791647625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39</v>
      </c>
      <c r="E37" s="8"/>
      <c r="H37" s="10"/>
      <c r="I37" s="8"/>
    </row>
    <row r="38" spans="1:9" x14ac:dyDescent="0.2">
      <c r="A38" s="11" t="s">
        <v>25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A41" s="7" t="s">
        <v>31</v>
      </c>
      <c r="C41" s="10"/>
      <c r="D41" s="10"/>
      <c r="E41" s="10"/>
      <c r="F41" s="10"/>
      <c r="G41" s="10"/>
      <c r="H41" s="10"/>
      <c r="I41" s="8"/>
    </row>
    <row r="42" spans="1:9" x14ac:dyDescent="0.2">
      <c r="A42" s="52">
        <v>1</v>
      </c>
      <c r="B42" s="56" t="s">
        <v>28</v>
      </c>
      <c r="C42" s="56"/>
      <c r="D42" s="56"/>
      <c r="E42" s="56"/>
      <c r="F42" s="56"/>
      <c r="G42" s="56"/>
      <c r="H42" s="56"/>
      <c r="I42" s="56"/>
    </row>
    <row r="43" spans="1:9" x14ac:dyDescent="0.2">
      <c r="A43" s="52">
        <v>2</v>
      </c>
      <c r="B43" s="11" t="s">
        <v>32</v>
      </c>
      <c r="H43" s="9"/>
      <c r="I43" s="8"/>
    </row>
    <row r="44" spans="1:9" x14ac:dyDescent="0.2">
      <c r="A44" s="52">
        <v>3</v>
      </c>
      <c r="B44" s="7" t="s">
        <v>34</v>
      </c>
    </row>
  </sheetData>
  <sortState ref="A10:D20">
    <sortCondition ref="A10"/>
  </sortState>
  <mergeCells count="2">
    <mergeCell ref="G7:I7"/>
    <mergeCell ref="B42:I42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2014-05-02T04:42:17Z</dcterms:modified>
</cp:coreProperties>
</file>