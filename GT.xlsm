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C34" i="21" l="1"/>
  <c r="C30" i="21" l="1"/>
  <c r="C32" i="21"/>
  <c r="D29" i="21"/>
  <c r="D26" i="2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E26" i="21"/>
  <c r="F26" i="21"/>
  <c r="E31" i="21"/>
  <c r="H19" i="21" l="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5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<sst xmlns="http://schemas.openxmlformats.org/spreadsheetml/2006/main" count="39" uniqueCount="36">
  <si>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</si>
  <si>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</si>
  <si>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</si>
  <si>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</si>
  <si>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</si>
  <si>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</si>
  <si>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</si>
  <si>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</si>
  <si>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</si>
  <si>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</si>
  <si>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</si>
  <si>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</si>
  <si>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</si>
  <si>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</si>
  <si>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</si>
  <si>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</si>
  <si>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</si>
  <si>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</si>
  <si>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</si>
  <si>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</si>
  <si>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</si>
  <si>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</si>
  <si>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</si>
  <si>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</si>
  <si>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</si>
  <si>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</si>
  <si>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</si>
  <si>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</si>
  <si>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</si>
  <si>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</si>
  <si>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Ultimate G/T  (dB/K) (T=external noise)</t>
  </si>
  <si>
    <t>Total noise</t>
  </si>
  <si>
    <t>% Total</t>
  </si>
  <si>
    <t>Copyright: Owen Duffy 2006, 2014. All rights reserved.</t>
  </si>
  <si>
    <t>Shortfall (dB/K)</t>
  </si>
  <si>
    <t>Version: 1.08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</si>
</sst>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('IC910'!$A$29,'IC910'!$B$9:$B$20)</c:f>
              <c:strCache>
                <c:ptCount val="8"/>
                <c:pt idx="0">
                  <c:v>Antenna total noise</c:v>
                </c:pt>
                <c:pt idx="1">
                  <c:v>IC910</c:v>
                </c:pt>
                <c:pt idx="2">
                  <c:v>0.5m LDF2-50</c:v>
                </c:pt>
                <c:pt idx="3">
                  <c:v>Linear amplifier</c:v>
                </c:pt>
                <c:pt idx="4">
                  <c:v>30m LDF4-50</c:v>
                </c:pt>
                <c:pt idx="5">
                  <c:v>4m LDF2-50</c:v>
                </c:pt>
                <c:pt idx="6">
                  <c:v>LNA</c:v>
                </c:pt>
                <c:pt idx="7">
                  <c:v>0.2m LDF2-50</c:v>
                </c:pt>
              </c:strCache>
            </c:strRef>
          </c:cat>
          <c:val>
            <c:numRef>
              <c:f>('IC910'!$D$29,'IC910'!$H$9:$H$20)</c:f>
              <c:numCache>
                <c:formatCode>0.0</c:formatCode>
                <c:ptCount val="13"/>
                <c:pt idx="0" formatCode="0.00">
                  <c:v>25.562047179268887</c:v>
                </c:pt>
                <c:pt idx="1">
                  <c:v>3.6083566716911939</c:v>
                </c:pt>
                <c:pt idx="2">
                  <c:v>3.7985975225742673E-2</c:v>
                </c:pt>
                <c:pt idx="3">
                  <c:v>0.1773468655329227</c:v>
                </c:pt>
                <c:pt idx="4">
                  <c:v>0.42448414874172047</c:v>
                </c:pt>
                <c:pt idx="5">
                  <c:v>9.0537223681446843E-2</c:v>
                </c:pt>
                <c:pt idx="6">
                  <c:v>36.209582472677333</c:v>
                </c:pt>
                <c:pt idx="7">
                  <c:v>6.7549677614186887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A37" sqref="A37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32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4.9520914080568738E-2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5.2131770403366653E-4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2.4338998856224059E-3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5.825600119666075E-3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1.2425285200314763E-3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0.49693857500020988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9.2704853917183513E-2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0.64918768922731585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(1-1/10^(C26/10))*290</f>
        <v>3.3196025494877635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2.5</v>
      </c>
      <c r="E27" s="14"/>
      <c r="F27" s="14"/>
      <c r="I27" s="8"/>
    </row>
    <row r="28" spans="1:9" x14ac:dyDescent="0.2">
      <c r="A28" s="7" t="s">
        <v>18</v>
      </c>
      <c r="D28" s="16">
        <v>20</v>
      </c>
      <c r="E28" s="14"/>
      <c r="F28" s="14"/>
      <c r="I28" s="8"/>
    </row>
    <row r="29" spans="1:9" x14ac:dyDescent="0.2">
      <c r="A29" s="7" t="s">
        <v>20</v>
      </c>
      <c r="D29" s="12">
        <f>E26*(D27+D28)+D26</f>
        <v>25.562047179268887</v>
      </c>
      <c r="E29" s="14"/>
      <c r="F29" s="14"/>
      <c r="I29" s="17">
        <f>D29/$C$30</f>
        <v>0.3508123107726841</v>
      </c>
    </row>
    <row r="30" spans="1:9" x14ac:dyDescent="0.2">
      <c r="A30" s="11" t="s">
        <v>31</v>
      </c>
      <c r="C30" s="13">
        <f>(D29+D22)</f>
        <v>72.865308298237949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C31-C26-10*LOG(C30)</f>
        <v>6.3247919322782309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2">
        <f>C31-C26-10*LOG(D29)</f>
        <v>10.874043679214106</v>
      </c>
      <c r="E34" s="8"/>
      <c r="H34" s="10"/>
      <c r="I34" s="8"/>
    </row>
    <row r="35" spans="1:9" x14ac:dyDescent="0.2">
      <c r="A35" s="11" t="s">
        <v>34</v>
      </c>
      <c r="C35" s="12">
        <f>C34-C32</f>
        <v>4.5492517469358749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33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2014-04-15T04:27:00Z</dcterms:modified>
</cp:coreProperties>
</file>