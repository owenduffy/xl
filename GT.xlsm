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git\xl\"/>
    </mc:Choice>
  </mc:AlternateContent>
  <xr:revisionPtr revIDLastSave="0" documentId="13_ncr:1_{4EF3299B-D2AE-4918-9338-406DDD02293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91029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3" i="21" l="1"/>
  <c r="G10" i="21"/>
  <c r="G11" i="21"/>
  <c r="G12" i="21"/>
  <c r="G13" i="21"/>
  <c r="G14" i="21"/>
  <c r="G15" i="21"/>
  <c r="G16" i="21"/>
  <c r="G17" i="21"/>
  <c r="G18" i="21"/>
  <c r="G19" i="21"/>
  <c r="G20" i="21"/>
  <c r="G9" i="21"/>
  <c r="D26" i="21" l="1"/>
  <c r="E10" i="21" l="1"/>
  <c r="E11" i="21"/>
  <c r="E12" i="21"/>
  <c r="E13" i="21"/>
  <c r="E14" i="21"/>
  <c r="E15" i="21"/>
  <c r="E16" i="21"/>
  <c r="E17" i="21"/>
  <c r="E18" i="21"/>
  <c r="E19" i="21"/>
  <c r="E20" i="21"/>
  <c r="F19" i="21" s="1"/>
  <c r="F18" i="21" s="1"/>
  <c r="H20" i="21"/>
  <c r="E26" i="21"/>
  <c r="D29" i="21" s="1"/>
  <c r="F26" i="21"/>
  <c r="E31" i="21"/>
  <c r="C35" i="21" l="1"/>
  <c r="H19" i="2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30" i="21" s="1"/>
  <c r="C32" i="21" s="1"/>
  <c r="D23" i="21" l="1"/>
  <c r="C36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<sst xmlns="http://schemas.openxmlformats.org/spreadsheetml/2006/main" count="45" uniqueCount="42">
  <si>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</si>
  <si>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</si>
  <si>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</si>
  <si>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</si>
  <si>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</si>
  <si>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</si>
  <si>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</si>
  <si>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</si>
  <si>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</si>
  <si>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</si>
  <si>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</si>
  <si>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</si>
  <si>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</si>
  <si>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</si>
  <si>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</si>
  <si>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Rx Noise Figure at antenna connector (dB)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</si>
  <si>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</si>
  <si>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</si>
  <si>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</si>
  <si>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</si>
  <si>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</si>
  <si>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</si>
  <si>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</si>
  <si>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</si>
  <si>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% Total</t>
  </si>
  <si>
    <t>Antenna total noise (Ta)</t>
  </si>
  <si>
    <t>Lossless antenna gain (wrt isotropic)</t>
  </si>
  <si>
    <t>ITU-R. 2000. Recommendation ITU-R S.733-2 (2000) Determination of the G/T ratio for earth stations operating in the fixed-satellite service .</t>
  </si>
  <si>
    <t>G/T (dB/K) [1]</t>
  </si>
  <si>
    <t>G/Ta  (dB/K) [2]</t>
  </si>
  <si>
    <t>Footnotes:</t>
  </si>
  <si>
    <t>Bertelsmeier, R. 1987. Effective noise temperatures of 4-Yagi-arrays for 432MHz. DUBUS.</t>
  </si>
  <si>
    <t>G/T-G/Ta (dB/K) [3]</t>
  </si>
  <si>
    <t>G/T-G/Ta (dB/K) is the shortfall over a system with a noiseless receiver.</t>
  </si>
  <si>
    <t>Antenna and feed losses</t>
  </si>
  <si>
    <t>Sky noise (on-axis)</t>
  </si>
  <si>
    <t>Other antenna noise (off-axis)</t>
  </si>
  <si>
    <t>System noise temperature</t>
  </si>
  <si>
    <t>Version: 1.12</t>
  </si>
  <si>
    <t>System SND (dB) [4]</t>
  </si>
  <si>
    <t>https://owenduffy.net/blog/?p=22789</t>
  </si>
  <si>
    <t>Copyright: Owen Duffy 2006, 2022. All rights reserved.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</si>
</sst>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4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6">
    <xf numFmtId="0" fontId="0" fillId="0" borderId="0" xfId="0"/>
    <xf numFmtId="0" fontId="0" fillId="3" borderId="7" xfId="0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0" fontId="2" fillId="0" borderId="0" xfId="1" applyAlignment="1">
      <alignment vertical="top"/>
    </xf>
    <xf numFmtId="0" fontId="3" fillId="0" borderId="0" xfId="3"/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  <xf numFmtId="0" fontId="2" fillId="0" borderId="0" xfId="1" applyFont="1" applyAlignment="1">
      <alignment horizontal="left" wrapText="1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8D5B-48B5-ABC4-4C4581CCE54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8D5B-48B5-ABC4-4C4581CCE54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8D5B-48B5-ABC4-4C4581CCE54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8D5B-48B5-ABC4-4C4581CCE54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8D5B-48B5-ABC4-4C4581CCE54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8D5B-48B5-ABC4-4C4581CCE54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8D5B-48B5-ABC4-4C4581CCE54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8D5B-48B5-ABC4-4C4581CCE54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1-8D5B-48B5-ABC4-4C4581CCE54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3-8D5B-48B5-ABC4-4C4581CCE54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5-8D5B-48B5-ABC4-4C4581CCE54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7-8D5B-48B5-ABC4-4C4581CCE54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9-8D5B-48B5-ABC4-4C4581CCE54F}"/>
              </c:ext>
            </c:extLst>
          </c:dPt>
          <c:cat>
            <c:strRef>
              <c:f>('IC910'!$B$9:$B$20,'IC910'!$A$29)</c:f>
              <c:strCache>
                <c:ptCount val="13"/>
                <c:pt idx="0">
                  <c:v>IC910</c:v>
                </c:pt>
                <c:pt idx="1">
                  <c:v>0.5m LDF2-50</c:v>
                </c:pt>
                <c:pt idx="2">
                  <c:v>Linear amplifier</c:v>
                </c:pt>
                <c:pt idx="3">
                  <c:v>30m LDF4-50</c:v>
                </c:pt>
                <c:pt idx="4">
                  <c:v>4m LDF2-50</c:v>
                </c:pt>
                <c:pt idx="5">
                  <c:v>LNA</c:v>
                </c:pt>
                <c:pt idx="6">
                  <c:v>0.2m LDF2-50</c:v>
                </c:pt>
                <c:pt idx="12">
                  <c:v>Antenna total noise (Ta)</c:v>
                </c:pt>
              </c:strCache>
            </c:strRef>
          </c:cat>
          <c:val>
            <c:numRef>
              <c:f>('IC910'!$H$9:$H$20,'IC910'!$D$29)</c:f>
              <c:numCache>
                <c:formatCode>0.0</c:formatCode>
                <c:ptCount val="13"/>
                <c:pt idx="0">
                  <c:v>10.883546080987811</c:v>
                </c:pt>
                <c:pt idx="1">
                  <c:v>0.75088369420308509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169.61902581372294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D5B-48B5-ABC4-4C4581CCE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wenduffy.net/blog/?p=22789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I46"/>
  <sheetViews>
    <sheetView tabSelected="1" topLeftCell="A10" workbookViewId="0">
      <selection activeCell="A39" sqref="A39"/>
    </sheetView>
  </sheetViews>
  <sheetFormatPr defaultRowHeight="12.75" x14ac:dyDescent="0.2"/>
  <cols>
    <col min="1" max="1" width="5" style="5" customWidth="1"/>
    <col min="2" max="2" width="37.140625" style="5" customWidth="1"/>
    <col min="3" max="3" width="9.42578125" style="5" bestFit="1" customWidth="1"/>
    <col min="4" max="4" width="9.140625" style="5"/>
    <col min="5" max="5" width="9.140625" style="5" hidden="1" customWidth="1"/>
    <col min="6" max="6" width="4.85546875" style="5" hidden="1" customWidth="1"/>
    <col min="7" max="8" width="10.28515625" style="5" customWidth="1"/>
    <col min="9" max="16384" width="9.140625" style="5"/>
  </cols>
  <sheetData>
    <row r="1" spans="1:9" ht="23.25" x14ac:dyDescent="0.35">
      <c r="A1" s="49" t="s">
        <v>18</v>
      </c>
    </row>
    <row r="3" spans="1:9" x14ac:dyDescent="0.2">
      <c r="A3" s="48" t="s">
        <v>4</v>
      </c>
      <c r="B3" s="47"/>
      <c r="C3" s="2" t="s">
        <v>19</v>
      </c>
      <c r="D3" s="46"/>
      <c r="E3" s="46"/>
      <c r="F3" s="46"/>
      <c r="G3" s="46"/>
      <c r="H3" s="45"/>
      <c r="I3" s="44"/>
    </row>
    <row r="4" spans="1:9" x14ac:dyDescent="0.2">
      <c r="A4" s="43" t="s">
        <v>6</v>
      </c>
      <c r="B4" s="42"/>
      <c r="C4" s="3" t="s">
        <v>11</v>
      </c>
      <c r="D4" s="41"/>
      <c r="E4" s="41"/>
      <c r="F4" s="41"/>
      <c r="G4" s="41"/>
      <c r="H4" s="40"/>
      <c r="I4" s="39"/>
    </row>
    <row r="5" spans="1:9" x14ac:dyDescent="0.2">
      <c r="A5" s="38" t="s">
        <v>5</v>
      </c>
      <c r="B5" s="37"/>
      <c r="C5" s="4">
        <v>39711</v>
      </c>
      <c r="D5" s="36"/>
      <c r="E5" s="36"/>
      <c r="F5" s="36"/>
      <c r="G5" s="36"/>
      <c r="H5" s="35"/>
      <c r="I5" s="34"/>
    </row>
    <row r="7" spans="1:9" ht="25.5" x14ac:dyDescent="0.2">
      <c r="A7" s="33" t="s">
        <v>14</v>
      </c>
      <c r="B7" s="33" t="s">
        <v>1</v>
      </c>
      <c r="C7" s="32" t="s">
        <v>0</v>
      </c>
      <c r="D7" s="31" t="s">
        <v>3</v>
      </c>
      <c r="E7" s="26" t="s">
        <v>0</v>
      </c>
      <c r="F7" s="26"/>
      <c r="G7" s="52" t="s">
        <v>21</v>
      </c>
      <c r="H7" s="53"/>
      <c r="I7" s="54"/>
    </row>
    <row r="8" spans="1:9" x14ac:dyDescent="0.2">
      <c r="A8" s="30"/>
      <c r="B8" s="29"/>
      <c r="C8" s="28" t="s">
        <v>2</v>
      </c>
      <c r="D8" s="27" t="s">
        <v>2</v>
      </c>
      <c r="E8" s="26"/>
      <c r="F8" s="26"/>
      <c r="G8" s="25" t="s">
        <v>1</v>
      </c>
      <c r="H8" s="24" t="s">
        <v>20</v>
      </c>
      <c r="I8" s="23" t="s">
        <v>24</v>
      </c>
    </row>
    <row r="9" spans="1:9" x14ac:dyDescent="0.2">
      <c r="A9" s="22"/>
      <c r="B9" s="1" t="s">
        <v>7</v>
      </c>
      <c r="C9" s="22"/>
      <c r="D9" s="1">
        <v>6</v>
      </c>
      <c r="E9" s="22"/>
      <c r="F9" s="13">
        <f t="shared" ref="F9:F19" si="0">F10*E10</f>
        <v>79.432823472428154</v>
      </c>
      <c r="G9" s="21">
        <f>(10^(IF(AND(C9&lt;0,D9=""),-C9,D9)/10)-1)*290</f>
        <v>864.51079460514211</v>
      </c>
      <c r="H9" s="21">
        <f t="shared" ref="H9:H20" si="1">G9/F9</f>
        <v>10.883546080987811</v>
      </c>
      <c r="I9" s="20">
        <f t="shared" ref="I9:I20" si="2">H9/$D$30</f>
        <v>4.7063279782226797E-2</v>
      </c>
    </row>
    <row r="10" spans="1:9" x14ac:dyDescent="0.2">
      <c r="A10" s="1">
        <v>2</v>
      </c>
      <c r="B10" s="1" t="s">
        <v>10</v>
      </c>
      <c r="C10" s="19">
        <v>-1</v>
      </c>
      <c r="D10" s="19"/>
      <c r="E10" s="13">
        <f t="shared" ref="E10:E20" si="3">10^(C10/10)</f>
        <v>0.79432823472428149</v>
      </c>
      <c r="F10" s="13">
        <f t="shared" si="0"/>
        <v>100</v>
      </c>
      <c r="G10" s="21">
        <f t="shared" ref="G10:G20" si="4">(10^(IF(AND(C10&lt;0,D10=""),-C10,D10)/10)-1)*290</f>
        <v>75.08836942030851</v>
      </c>
      <c r="H10" s="11">
        <f t="shared" si="1"/>
        <v>0.75088369420308509</v>
      </c>
      <c r="I10" s="18">
        <f t="shared" si="2"/>
        <v>3.247016103136156E-3</v>
      </c>
    </row>
    <row r="11" spans="1:9" x14ac:dyDescent="0.2">
      <c r="A11" s="1">
        <v>3</v>
      </c>
      <c r="B11" s="1" t="s">
        <v>13</v>
      </c>
      <c r="C11" s="19"/>
      <c r="D11" s="19"/>
      <c r="E11" s="13">
        <f t="shared" si="3"/>
        <v>1</v>
      </c>
      <c r="F11" s="13">
        <f t="shared" si="0"/>
        <v>100</v>
      </c>
      <c r="G11" s="21">
        <f t="shared" si="4"/>
        <v>0</v>
      </c>
      <c r="H11" s="11">
        <f t="shared" si="1"/>
        <v>0</v>
      </c>
      <c r="I11" s="18">
        <f t="shared" si="2"/>
        <v>0</v>
      </c>
    </row>
    <row r="12" spans="1:9" x14ac:dyDescent="0.2">
      <c r="A12" s="1">
        <v>4</v>
      </c>
      <c r="B12" s="1" t="s">
        <v>9</v>
      </c>
      <c r="C12" s="19"/>
      <c r="D12" s="19"/>
      <c r="E12" s="13">
        <f t="shared" si="3"/>
        <v>1</v>
      </c>
      <c r="F12" s="13">
        <f t="shared" si="0"/>
        <v>100</v>
      </c>
      <c r="G12" s="21">
        <f t="shared" si="4"/>
        <v>0</v>
      </c>
      <c r="H12" s="11">
        <f t="shared" si="1"/>
        <v>0</v>
      </c>
      <c r="I12" s="18">
        <f t="shared" si="2"/>
        <v>0</v>
      </c>
    </row>
    <row r="13" spans="1:9" x14ac:dyDescent="0.2">
      <c r="A13" s="1">
        <v>5</v>
      </c>
      <c r="B13" s="1" t="s">
        <v>8</v>
      </c>
      <c r="C13" s="19"/>
      <c r="D13" s="19"/>
      <c r="E13" s="13">
        <f t="shared" si="3"/>
        <v>1</v>
      </c>
      <c r="F13" s="13">
        <f t="shared" si="0"/>
        <v>100</v>
      </c>
      <c r="G13" s="21">
        <f t="shared" si="4"/>
        <v>0</v>
      </c>
      <c r="H13" s="11">
        <f t="shared" si="1"/>
        <v>0</v>
      </c>
      <c r="I13" s="18">
        <f t="shared" si="2"/>
        <v>0</v>
      </c>
    </row>
    <row r="14" spans="1:9" x14ac:dyDescent="0.2">
      <c r="A14" s="1">
        <v>6</v>
      </c>
      <c r="B14" s="1" t="s">
        <v>17</v>
      </c>
      <c r="C14" s="19">
        <v>20</v>
      </c>
      <c r="D14" s="19">
        <v>2</v>
      </c>
      <c r="E14" s="13">
        <f t="shared" si="3"/>
        <v>100</v>
      </c>
      <c r="F14" s="13">
        <f t="shared" si="0"/>
        <v>1</v>
      </c>
      <c r="G14" s="21">
        <f t="shared" si="4"/>
        <v>169.61902581372294</v>
      </c>
      <c r="H14" s="11">
        <f t="shared" si="1"/>
        <v>169.61902581372294</v>
      </c>
      <c r="I14" s="18">
        <f t="shared" si="2"/>
        <v>0.73347671878791332</v>
      </c>
    </row>
    <row r="15" spans="1:9" x14ac:dyDescent="0.2">
      <c r="A15" s="1">
        <v>7</v>
      </c>
      <c r="B15" s="1" t="s">
        <v>12</v>
      </c>
      <c r="C15" s="19"/>
      <c r="D15" s="19"/>
      <c r="E15" s="13">
        <f t="shared" si="3"/>
        <v>1</v>
      </c>
      <c r="F15" s="13">
        <f t="shared" si="0"/>
        <v>1</v>
      </c>
      <c r="G15" s="21">
        <f t="shared" si="4"/>
        <v>0</v>
      </c>
      <c r="H15" s="11">
        <f t="shared" si="1"/>
        <v>0</v>
      </c>
      <c r="I15" s="18">
        <f t="shared" si="2"/>
        <v>0</v>
      </c>
    </row>
    <row r="16" spans="1:9" x14ac:dyDescent="0.2">
      <c r="A16" s="16"/>
      <c r="B16" s="16"/>
      <c r="C16" s="19"/>
      <c r="D16" s="19"/>
      <c r="E16" s="13">
        <f t="shared" si="3"/>
        <v>1</v>
      </c>
      <c r="F16" s="13">
        <f t="shared" si="0"/>
        <v>1</v>
      </c>
      <c r="G16" s="21">
        <f t="shared" si="4"/>
        <v>0</v>
      </c>
      <c r="H16" s="11">
        <f t="shared" si="1"/>
        <v>0</v>
      </c>
      <c r="I16" s="18">
        <f t="shared" si="2"/>
        <v>0</v>
      </c>
    </row>
    <row r="17" spans="1:9" x14ac:dyDescent="0.2">
      <c r="A17" s="16"/>
      <c r="B17" s="16"/>
      <c r="C17" s="14"/>
      <c r="D17" s="14"/>
      <c r="E17" s="13">
        <f t="shared" si="3"/>
        <v>1</v>
      </c>
      <c r="F17" s="13">
        <f t="shared" si="0"/>
        <v>1</v>
      </c>
      <c r="G17" s="21">
        <f t="shared" si="4"/>
        <v>0</v>
      </c>
      <c r="H17" s="11">
        <f t="shared" si="1"/>
        <v>0</v>
      </c>
      <c r="I17" s="18">
        <f t="shared" si="2"/>
        <v>0</v>
      </c>
    </row>
    <row r="18" spans="1:9" x14ac:dyDescent="0.2">
      <c r="A18" s="16"/>
      <c r="B18" s="16"/>
      <c r="C18" s="14"/>
      <c r="D18" s="14"/>
      <c r="E18" s="13">
        <f t="shared" si="3"/>
        <v>1</v>
      </c>
      <c r="F18" s="13">
        <f t="shared" si="0"/>
        <v>1</v>
      </c>
      <c r="G18" s="21">
        <f t="shared" si="4"/>
        <v>0</v>
      </c>
      <c r="H18" s="11">
        <f t="shared" si="1"/>
        <v>0</v>
      </c>
      <c r="I18" s="18">
        <f t="shared" si="2"/>
        <v>0</v>
      </c>
    </row>
    <row r="19" spans="1:9" x14ac:dyDescent="0.2">
      <c r="A19" s="16"/>
      <c r="B19" s="16"/>
      <c r="C19" s="14"/>
      <c r="D19" s="14"/>
      <c r="E19" s="13">
        <f t="shared" si="3"/>
        <v>1</v>
      </c>
      <c r="F19" s="13">
        <f t="shared" si="0"/>
        <v>1</v>
      </c>
      <c r="G19" s="21">
        <f t="shared" si="4"/>
        <v>0</v>
      </c>
      <c r="H19" s="11">
        <f t="shared" si="1"/>
        <v>0</v>
      </c>
      <c r="I19" s="18">
        <f t="shared" si="2"/>
        <v>0</v>
      </c>
    </row>
    <row r="20" spans="1:9" x14ac:dyDescent="0.2">
      <c r="A20" s="16"/>
      <c r="B20" s="16"/>
      <c r="C20" s="14"/>
      <c r="D20" s="14"/>
      <c r="E20" s="13">
        <f t="shared" si="3"/>
        <v>1</v>
      </c>
      <c r="F20" s="13">
        <v>1</v>
      </c>
      <c r="G20" s="21">
        <f t="shared" si="4"/>
        <v>0</v>
      </c>
      <c r="H20" s="11">
        <f t="shared" si="1"/>
        <v>0</v>
      </c>
      <c r="I20" s="18">
        <f t="shared" si="2"/>
        <v>0</v>
      </c>
    </row>
    <row r="21" spans="1:9" x14ac:dyDescent="0.2">
      <c r="I21" s="6"/>
    </row>
    <row r="22" spans="1:9" x14ac:dyDescent="0.2">
      <c r="A22" s="5" t="s">
        <v>23</v>
      </c>
      <c r="D22" s="11">
        <f>SUM(H9:H20)</f>
        <v>181.25345558891382</v>
      </c>
      <c r="I22" s="15">
        <f>D22/$D$30</f>
        <v>0.78378701467327616</v>
      </c>
    </row>
    <row r="23" spans="1:9" x14ac:dyDescent="0.2">
      <c r="A23" s="5" t="s">
        <v>15</v>
      </c>
      <c r="D23" s="11">
        <f>10*LOG(D22/290+1)</f>
        <v>2.1085654990416574</v>
      </c>
      <c r="I23" s="6"/>
    </row>
    <row r="24" spans="1:9" x14ac:dyDescent="0.2">
      <c r="I24" s="6"/>
    </row>
    <row r="25" spans="1:9" x14ac:dyDescent="0.2">
      <c r="C25" s="17" t="s">
        <v>16</v>
      </c>
      <c r="D25" s="17" t="s">
        <v>22</v>
      </c>
      <c r="I25" s="6"/>
    </row>
    <row r="26" spans="1:9" x14ac:dyDescent="0.2">
      <c r="A26" s="5" t="s">
        <v>34</v>
      </c>
      <c r="C26" s="16">
        <v>0</v>
      </c>
      <c r="D26" s="11">
        <f>(1-1/10^(C26/10))*290</f>
        <v>0</v>
      </c>
      <c r="E26" s="13">
        <f>10^(-C26/10)</f>
        <v>1</v>
      </c>
      <c r="F26" s="13">
        <f>F27*E27</f>
        <v>0</v>
      </c>
      <c r="I26" s="6"/>
    </row>
    <row r="27" spans="1:9" x14ac:dyDescent="0.2">
      <c r="A27" s="5" t="s">
        <v>35</v>
      </c>
      <c r="D27" s="14">
        <v>50</v>
      </c>
      <c r="E27" s="12"/>
      <c r="F27" s="12"/>
      <c r="I27" s="6"/>
    </row>
    <row r="28" spans="1:9" x14ac:dyDescent="0.2">
      <c r="A28" s="5" t="s">
        <v>36</v>
      </c>
      <c r="D28" s="14">
        <v>0</v>
      </c>
      <c r="E28" s="12"/>
      <c r="F28" s="12"/>
      <c r="I28" s="6"/>
    </row>
    <row r="29" spans="1:9" x14ac:dyDescent="0.2">
      <c r="A29" s="5" t="s">
        <v>25</v>
      </c>
      <c r="D29" s="11">
        <f>E26*(D28+D27)+D26</f>
        <v>50</v>
      </c>
      <c r="E29" s="12"/>
      <c r="F29" s="12"/>
      <c r="I29" s="15">
        <f>D29/$D$30</f>
        <v>0.21621298532672381</v>
      </c>
    </row>
    <row r="30" spans="1:9" x14ac:dyDescent="0.2">
      <c r="A30" s="9" t="s">
        <v>37</v>
      </c>
      <c r="D30" s="11">
        <f>(D29+D22)</f>
        <v>231.25345558891382</v>
      </c>
      <c r="E30" s="12"/>
      <c r="F30" s="12"/>
      <c r="I30" s="15">
        <f>D30/$D$30</f>
        <v>1</v>
      </c>
    </row>
    <row r="31" spans="1:9" x14ac:dyDescent="0.2">
      <c r="A31" s="5" t="s">
        <v>26</v>
      </c>
      <c r="C31" s="14">
        <v>0</v>
      </c>
      <c r="E31" s="13">
        <f>10^(C31/10)</f>
        <v>1</v>
      </c>
      <c r="F31" s="12"/>
      <c r="G31" s="7"/>
      <c r="H31" s="8"/>
      <c r="I31" s="6"/>
    </row>
    <row r="32" spans="1:9" x14ac:dyDescent="0.2">
      <c r="A32" s="5" t="s">
        <v>28</v>
      </c>
      <c r="C32" s="10">
        <f>C31-C26-10*LOG(D30)</f>
        <v>-23.640882310628939</v>
      </c>
      <c r="H32" s="8"/>
      <c r="I32" s="6"/>
    </row>
    <row r="33" spans="1:9" x14ac:dyDescent="0.2">
      <c r="A33" s="5" t="s">
        <v>39</v>
      </c>
      <c r="C33" s="10">
        <f>10*LOG(D30/D27)</f>
        <v>6.6511822672687515</v>
      </c>
      <c r="H33" s="8"/>
      <c r="I33" s="6"/>
    </row>
    <row r="34" spans="1:9" x14ac:dyDescent="0.2">
      <c r="E34" s="6"/>
      <c r="H34" s="8"/>
      <c r="I34" s="6"/>
    </row>
    <row r="35" spans="1:9" x14ac:dyDescent="0.2">
      <c r="A35" s="9" t="s">
        <v>29</v>
      </c>
      <c r="C35" s="10">
        <f>C31-C26-10*LOG(D29)</f>
        <v>-16.989700043360187</v>
      </c>
      <c r="E35" s="6"/>
      <c r="H35" s="8"/>
      <c r="I35" s="6"/>
    </row>
    <row r="36" spans="1:9" x14ac:dyDescent="0.2">
      <c r="A36" s="9" t="s">
        <v>32</v>
      </c>
      <c r="C36" s="10">
        <f>C35-C32</f>
        <v>6.6511822672687515</v>
      </c>
      <c r="E36" s="6"/>
      <c r="H36" s="8"/>
      <c r="I36" s="6"/>
    </row>
    <row r="37" spans="1:9" x14ac:dyDescent="0.2">
      <c r="E37" s="6"/>
      <c r="H37" s="8"/>
      <c r="I37" s="6"/>
    </row>
    <row r="38" spans="1:9" x14ac:dyDescent="0.2">
      <c r="A38" s="9" t="s">
        <v>38</v>
      </c>
      <c r="E38" s="6"/>
      <c r="H38" s="8"/>
      <c r="I38" s="6"/>
    </row>
    <row r="39" spans="1:9" x14ac:dyDescent="0.2">
      <c r="A39" s="5" t="s">
        <v>41</v>
      </c>
      <c r="E39" s="6"/>
      <c r="H39" s="8"/>
      <c r="I39" s="6"/>
    </row>
    <row r="40" spans="1:9" x14ac:dyDescent="0.2">
      <c r="E40" s="6"/>
      <c r="H40" s="8"/>
      <c r="I40" s="6"/>
    </row>
    <row r="41" spans="1:9" x14ac:dyDescent="0.2">
      <c r="E41" s="6"/>
      <c r="H41" s="8"/>
      <c r="I41" s="6"/>
    </row>
    <row r="42" spans="1:9" x14ac:dyDescent="0.2">
      <c r="A42" s="5" t="s">
        <v>30</v>
      </c>
      <c r="C42" s="8"/>
      <c r="D42" s="8"/>
      <c r="E42" s="8"/>
      <c r="F42" s="8"/>
      <c r="G42" s="8"/>
      <c r="H42" s="8"/>
      <c r="I42" s="6"/>
    </row>
    <row r="43" spans="1:9" x14ac:dyDescent="0.2">
      <c r="A43" s="50">
        <v>1</v>
      </c>
      <c r="B43" s="55" t="s">
        <v>27</v>
      </c>
      <c r="C43" s="55"/>
      <c r="D43" s="55"/>
      <c r="E43" s="55"/>
      <c r="F43" s="55"/>
      <c r="G43" s="55"/>
      <c r="H43" s="55"/>
      <c r="I43" s="55"/>
    </row>
    <row r="44" spans="1:9" x14ac:dyDescent="0.2">
      <c r="A44" s="50">
        <v>2</v>
      </c>
      <c r="B44" s="9" t="s">
        <v>31</v>
      </c>
      <c r="H44" s="7"/>
      <c r="I44" s="6"/>
    </row>
    <row r="45" spans="1:9" x14ac:dyDescent="0.2">
      <c r="A45" s="50">
        <v>3</v>
      </c>
      <c r="B45" s="5" t="s">
        <v>33</v>
      </c>
    </row>
    <row r="46" spans="1:9" x14ac:dyDescent="0.2">
      <c r="A46" s="5">
        <v>4</v>
      </c>
      <c r="B46" s="51" t="s">
        <v>40</v>
      </c>
    </row>
  </sheetData>
  <sortState xmlns:xlrd2="http://schemas.microsoft.com/office/spreadsheetml/2017/richdata2" ref="A10:D20">
    <sortCondition ref="A10"/>
  </sortState>
  <mergeCells count="2">
    <mergeCell ref="G7:I7"/>
    <mergeCell ref="B43:I43"/>
  </mergeCells>
  <hyperlinks>
    <hyperlink ref="B46" r:id="rId1" xr:uid="{E8F3EF7C-A5E7-4354-9FC4-17B89BF13DA9}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4097" r:id="rId5" name="SortElements">
          <controlPr defaultSize="0" autoLine="0" r:id="rId6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5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2022-02-11T09:18:57Z</dcterms:modified>
</cp:coreProperties>
</file>