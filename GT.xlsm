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D26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D29" i="21" s="1"/>
  <c r="F26" i="21"/>
  <c r="E31" i="21"/>
  <c r="C34" i="21" l="1"/>
  <c r="D30" i="21"/>
  <c r="C32" i="21" s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<sst xmlns="http://schemas.openxmlformats.org/spreadsheetml/2006/main" count="39" uniqueCount="36">
  <si>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</si>
  <si>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</si>
  <si>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</si>
  <si>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</si>
  <si>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</si>
  <si>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</si>
  <si>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</si>
  <si>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</si>
  <si>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</si>
  <si>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</si>
  <si>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</si>
  <si>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</si>
  <si>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</si>
  <si>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</si>
  <si>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</si>
  <si>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</si>
  <si>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</si>
  <si>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</si>
  <si>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</si>
  <si>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</si>
  <si>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</si>
  <si>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</si>
  <si>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</si>
  <si>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</si>
  <si>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</si>
  <si>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</si>
  <si>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</si>
  <si>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</si>
  <si>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</si>
  <si>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Total noise</t>
  </si>
  <si>
    <t>% Total</t>
  </si>
  <si>
    <t>Copyright: Owen Duffy 2006, 2014. All rights reserved.</t>
  </si>
  <si>
    <t>Antenna total noise (Ta)</t>
  </si>
  <si>
    <t>G/Ta  (dB/K)</t>
  </si>
  <si>
    <t>G/T-G/Ta (dB/K)</t>
  </si>
  <si>
    <t>Version: 1.09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</si>
</sst>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48.273765779284339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C26" sqref="C26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22</v>
      </c>
    </row>
    <row r="3" spans="1:9" x14ac:dyDescent="0.2">
      <c r="A3" s="50" t="s">
        <v>4</v>
      </c>
      <c r="B3" s="49"/>
      <c r="C3" s="3" t="s">
        <v>23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25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24</v>
      </c>
      <c r="I8" s="25" t="s">
        <v>30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H9/$D$30</f>
        <v>3.7753388955407384E-2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3.974383432765771E-4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1.8555386298186223E-3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4.4412780195977998E-3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9.4726972181116622E-4</v>
      </c>
    </row>
    <row r="14" spans="1:9" x14ac:dyDescent="0.2">
      <c r="A14" s="1">
        <v>6</v>
      </c>
      <c r="B14" s="1" t="s">
        <v>21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0.37885236283007917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7.0675642260871904E-2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27</v>
      </c>
      <c r="D22" s="13">
        <f>SUM(H9:H20)</f>
        <v>47.303261118969054</v>
      </c>
      <c r="I22" s="17">
        <f>D22/$D$30</f>
        <v>0.4949229187608627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20</v>
      </c>
      <c r="D25" s="19" t="s">
        <v>26</v>
      </c>
      <c r="I25" s="8"/>
    </row>
    <row r="26" spans="1:9" x14ac:dyDescent="0.2">
      <c r="A26" s="7" t="s">
        <v>15</v>
      </c>
      <c r="C26" s="18">
        <v>0.44</v>
      </c>
      <c r="D26" s="13">
        <f>(1-1/10^(C26/10))*290</f>
        <v>27.941652620532555</v>
      </c>
      <c r="E26" s="15">
        <f>10^(-C26/10)</f>
        <v>0.90364947372230153</v>
      </c>
      <c r="F26" s="15">
        <f>F27*E27</f>
        <v>0</v>
      </c>
      <c r="I26" s="8"/>
    </row>
    <row r="27" spans="1:9" x14ac:dyDescent="0.2">
      <c r="A27" s="7" t="s">
        <v>17</v>
      </c>
      <c r="D27" s="16">
        <v>2.5</v>
      </c>
      <c r="E27" s="14"/>
      <c r="F27" s="14"/>
      <c r="I27" s="8"/>
    </row>
    <row r="28" spans="1:9" x14ac:dyDescent="0.2">
      <c r="A28" s="7" t="s">
        <v>18</v>
      </c>
      <c r="D28" s="16">
        <v>20</v>
      </c>
      <c r="E28" s="14"/>
      <c r="F28" s="14"/>
      <c r="I28" s="8"/>
    </row>
    <row r="29" spans="1:9" x14ac:dyDescent="0.2">
      <c r="A29" s="7" t="s">
        <v>32</v>
      </c>
      <c r="D29" s="13">
        <f>E26*(D27+D28)+D26</f>
        <v>48.273765779284339</v>
      </c>
      <c r="E29" s="14"/>
      <c r="F29" s="14"/>
      <c r="I29" s="17">
        <f>D29/$D$30</f>
        <v>0.5050770812391373</v>
      </c>
    </row>
    <row r="30" spans="1:9" x14ac:dyDescent="0.2">
      <c r="A30" s="11" t="s">
        <v>29</v>
      </c>
      <c r="D30" s="13">
        <f>(D29+D22)</f>
        <v>95.577026898253393</v>
      </c>
      <c r="E30" s="14"/>
      <c r="F30" s="14"/>
      <c r="I30" s="17">
        <f>D30/$D$30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28</v>
      </c>
      <c r="C32" s="12">
        <f>C31-C26-10*LOG(D30)</f>
        <v>4.7564648314526359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33</v>
      </c>
      <c r="C34" s="12">
        <f>C31-C26-10*LOG(D29)</f>
        <v>7.7228882106173984</v>
      </c>
      <c r="E34" s="8"/>
      <c r="H34" s="10"/>
      <c r="I34" s="8"/>
    </row>
    <row r="35" spans="1:9" x14ac:dyDescent="0.2">
      <c r="A35" s="11" t="s">
        <v>34</v>
      </c>
      <c r="C35" s="12">
        <f>C34-C32</f>
        <v>2.9664233791647625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31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2014-04-16T07:41:21Z</dcterms:modified>
</cp:coreProperties>
</file>