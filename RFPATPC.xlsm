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360" yWindow="15" windowWidth="20940" windowHeight="10620"/>
  </bookViews>
  <sheets>
    <sheet name="Characteristic" sheetId="13" r:id="rId1"/>
    <sheet name="Anode" sheetId="9" r:id="rId2"/>
    <sheet name="Licence" sheetId="15" r:id="rId3"/>
  </sheets>
  <functionGroups builtInGroupCount="18"/>
  <definedNames>
    <definedName name="CSIT">Characteristic!$A$38:$C$43</definedName>
    <definedName name="cutoff">Characteristic!$A$12</definedName>
    <definedName name="_xlnm.Print_Area" localSheetId="1">Anode!$A$1:$I$37</definedName>
    <definedName name="_xlnm.Print_Area" localSheetId="0">Characteristic!$A$1:$K$32</definedName>
  </definedNames>
  <calcPr calcId="152511"/>
</workbook>
</file>

<file path=xl/calcChain.xml><?xml version="1.0" encoding="utf-8"?>
<calcChain xmlns="http://schemas.openxmlformats.org/spreadsheetml/2006/main">
  <c r="A1" i="9" l="1"/>
  <c r="B15" i="9"/>
  <c r="B44" i="9"/>
  <c r="C44" i="9" s="1"/>
  <c r="A45" i="9"/>
  <c r="B45" i="9"/>
  <c r="C45" i="9" s="1"/>
  <c r="A46" i="9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B46" i="9"/>
  <c r="C46" i="9" s="1"/>
  <c r="B47" i="9"/>
  <c r="C47" i="9" s="1"/>
  <c r="B48" i="9"/>
  <c r="C48" i="9" s="1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C72" i="9" s="1"/>
  <c r="B73" i="9"/>
  <c r="C73" i="9" s="1"/>
  <c r="B74" i="9"/>
  <c r="C74" i="9" s="1"/>
  <c r="B75" i="9"/>
  <c r="C75" i="9" s="1"/>
  <c r="B76" i="9"/>
  <c r="C76" i="9" s="1"/>
  <c r="B77" i="9"/>
  <c r="C77" i="9" s="1"/>
  <c r="B78" i="9"/>
  <c r="C78" i="9" s="1"/>
  <c r="B79" i="9"/>
  <c r="C79" i="9" s="1"/>
  <c r="B80" i="9"/>
  <c r="C80" i="9" s="1"/>
  <c r="B81" i="9"/>
  <c r="C81" i="9" s="1"/>
  <c r="B82" i="9"/>
  <c r="C82" i="9" s="1"/>
  <c r="B83" i="9"/>
  <c r="C83" i="9" s="1"/>
  <c r="B84" i="9"/>
  <c r="C84" i="9" s="1"/>
  <c r="B85" i="9"/>
  <c r="C85" i="9" s="1"/>
  <c r="B86" i="9"/>
  <c r="C86" i="9" s="1"/>
  <c r="B87" i="9"/>
  <c r="C87" i="9" s="1"/>
  <c r="B88" i="9"/>
  <c r="C88" i="9" s="1"/>
  <c r="B89" i="9"/>
  <c r="C89" i="9" s="1"/>
  <c r="B90" i="9"/>
  <c r="C90" i="9" s="1"/>
  <c r="B91" i="9"/>
  <c r="C91" i="9" s="1"/>
  <c r="B92" i="9"/>
  <c r="C92" i="9" s="1"/>
  <c r="B93" i="9"/>
  <c r="C93" i="9" s="1"/>
  <c r="B94" i="9"/>
  <c r="C94" i="9" s="1"/>
  <c r="B95" i="9"/>
  <c r="C95" i="9" s="1"/>
  <c r="B96" i="9"/>
  <c r="C96" i="9" s="1"/>
  <c r="B97" i="9"/>
  <c r="C97" i="9" s="1"/>
  <c r="B98" i="9"/>
  <c r="C98" i="9" s="1"/>
  <c r="B99" i="9"/>
  <c r="C99" i="9" s="1"/>
  <c r="B100" i="9"/>
  <c r="C100" i="9" s="1"/>
  <c r="B101" i="9"/>
  <c r="C101" i="9" s="1"/>
  <c r="B102" i="9"/>
  <c r="C102" i="9" s="1"/>
  <c r="B103" i="9"/>
  <c r="C103" i="9" s="1"/>
  <c r="B104" i="9"/>
  <c r="C104" i="9" s="1"/>
  <c r="B105" i="9"/>
  <c r="C105" i="9" s="1"/>
  <c r="B106" i="9"/>
  <c r="C106" i="9" s="1"/>
  <c r="B107" i="9"/>
  <c r="C107" i="9" s="1"/>
  <c r="F38" i="13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A38" i="13" a="1"/>
  <c r="C21" i="15"/>
  <c r="C20" i="15"/>
  <c r="B20" i="15"/>
  <c r="B21" i="15"/>
  <c r="B42" i="13" l="1"/>
  <c r="C40" i="13"/>
  <c r="B40" i="13"/>
  <c r="C42" i="13"/>
  <c r="B38" i="13"/>
  <c r="C43" i="13"/>
  <c r="A42" i="13"/>
  <c r="C41" i="13"/>
  <c r="C38" i="13"/>
  <c r="C39" i="13"/>
  <c r="A38" i="13"/>
  <c r="B41" i="13"/>
  <c r="B43" i="13"/>
  <c r="B39" i="13"/>
  <c r="A40" i="13"/>
  <c r="A43" i="13"/>
  <c r="A41" i="13"/>
  <c r="A39" i="13"/>
  <c r="C62" i="9"/>
  <c r="C59" i="9"/>
  <c r="C61" i="9"/>
  <c r="C58" i="9"/>
  <c r="C63" i="9"/>
  <c r="C65" i="9"/>
  <c r="C56" i="9"/>
  <c r="G47" i="13"/>
  <c r="G39" i="13"/>
  <c r="G54" i="13"/>
  <c r="C51" i="9"/>
  <c r="C49" i="9"/>
  <c r="G52" i="13"/>
  <c r="G46" i="13"/>
  <c r="C71" i="9"/>
  <c r="C69" i="9"/>
  <c r="C55" i="9"/>
  <c r="C52" i="9"/>
  <c r="G51" i="13"/>
  <c r="G48" i="13"/>
  <c r="G45" i="13"/>
  <c r="G41" i="13"/>
  <c r="G38" i="13"/>
  <c r="C60" i="9"/>
  <c r="B16" i="9"/>
  <c r="G57" i="13"/>
  <c r="C57" i="9"/>
  <c r="G58" i="13"/>
  <c r="C67" i="9"/>
  <c r="C50" i="9"/>
  <c r="G44" i="13"/>
  <c r="G40" i="13"/>
  <c r="C68" i="9"/>
  <c r="C64" i="9"/>
  <c r="G55" i="13"/>
  <c r="G49" i="13"/>
  <c r="C70" i="9"/>
  <c r="C53" i="9"/>
  <c r="C54" i="9"/>
  <c r="C66" i="9"/>
  <c r="G43" i="13"/>
  <c r="G42" i="13"/>
  <c r="G56" i="13"/>
  <c r="G53" i="13"/>
  <c r="G50" i="13"/>
  <c r="G44" i="9" a="1"/>
  <c r="G65" i="9" l="1"/>
  <c r="H65" i="9" s="1"/>
  <c r="G72" i="9"/>
  <c r="H72" i="9" s="1"/>
  <c r="G67" i="9"/>
  <c r="H67" i="9" s="1"/>
  <c r="G86" i="9"/>
  <c r="G57" i="9"/>
  <c r="H57" i="9" s="1"/>
  <c r="G55" i="9"/>
  <c r="H55" i="9" s="1"/>
  <c r="G71" i="9"/>
  <c r="H71" i="9" s="1"/>
  <c r="G52" i="9"/>
  <c r="H52" i="9" s="1"/>
  <c r="G49" i="9"/>
  <c r="H49" i="9" s="1"/>
  <c r="G63" i="9"/>
  <c r="H63" i="9" s="1"/>
  <c r="G98" i="9"/>
  <c r="G59" i="9"/>
  <c r="H59" i="9" s="1"/>
  <c r="G106" i="9"/>
  <c r="G60" i="9"/>
  <c r="H60" i="9" s="1"/>
  <c r="G68" i="9"/>
  <c r="H68" i="9" s="1"/>
  <c r="G88" i="9"/>
  <c r="G80" i="9"/>
  <c r="G53" i="9"/>
  <c r="H53" i="9" s="1"/>
  <c r="G83" i="9"/>
  <c r="G74" i="9"/>
  <c r="H74" i="9" s="1"/>
  <c r="G76" i="9"/>
  <c r="H76" i="9" s="1"/>
  <c r="G44" i="9"/>
  <c r="H44" i="9" s="1"/>
  <c r="G94" i="9"/>
  <c r="G75" i="9"/>
  <c r="H75" i="9" s="1"/>
  <c r="G77" i="9"/>
  <c r="G46" i="9"/>
  <c r="H46" i="9" s="1"/>
  <c r="G102" i="9"/>
  <c r="G99" i="9"/>
  <c r="G50" i="9"/>
  <c r="H50" i="9" s="1"/>
  <c r="G107" i="9"/>
  <c r="G96" i="9"/>
  <c r="G84" i="9"/>
  <c r="G93" i="9"/>
  <c r="G47" i="9"/>
  <c r="H47" i="9" s="1"/>
  <c r="G85" i="9"/>
  <c r="G48" i="9"/>
  <c r="H48" i="9" s="1"/>
  <c r="G105" i="9"/>
  <c r="G90" i="9"/>
  <c r="G101" i="9"/>
  <c r="G81" i="9"/>
  <c r="G73" i="9"/>
  <c r="H73" i="9" s="1"/>
  <c r="G66" i="9"/>
  <c r="H66" i="9" s="1"/>
  <c r="G78" i="9"/>
  <c r="G89" i="9"/>
  <c r="G62" i="9"/>
  <c r="H62" i="9" s="1"/>
  <c r="G82" i="9"/>
  <c r="G97" i="9"/>
  <c r="G45" i="9"/>
  <c r="H45" i="9" s="1"/>
  <c r="G70" i="9"/>
  <c r="H70" i="9" s="1"/>
  <c r="G79" i="9"/>
  <c r="G51" i="9"/>
  <c r="H51" i="9" s="1"/>
  <c r="G61" i="9"/>
  <c r="H61" i="9" s="1"/>
  <c r="G92" i="9"/>
  <c r="G87" i="9"/>
  <c r="G103" i="9"/>
  <c r="G69" i="9"/>
  <c r="H69" i="9" s="1"/>
  <c r="G95" i="9"/>
  <c r="G54" i="9"/>
  <c r="H54" i="9" s="1"/>
  <c r="G58" i="9"/>
  <c r="H58" i="9" s="1"/>
  <c r="G100" i="9"/>
  <c r="G64" i="9"/>
  <c r="H64" i="9" s="1"/>
  <c r="G104" i="9"/>
  <c r="G91" i="9"/>
  <c r="G56" i="9"/>
  <c r="H56" i="9" s="1"/>
  <c r="D87" i="9" l="1"/>
  <c r="D54" i="9"/>
  <c r="D106" i="9"/>
  <c r="D91" i="9"/>
  <c r="D98" i="9"/>
  <c r="D104" i="9"/>
  <c r="D84" i="9"/>
  <c r="D86" i="9"/>
  <c r="D90" i="9"/>
  <c r="D95" i="9"/>
  <c r="D75" i="9"/>
  <c r="D77" i="9"/>
  <c r="D81" i="9"/>
  <c r="D45" i="9"/>
  <c r="D101" i="9"/>
  <c r="B22" i="9"/>
  <c r="D92" i="9"/>
  <c r="D97" i="9"/>
  <c r="D60" i="9"/>
  <c r="D44" i="9"/>
  <c r="D80" i="9"/>
  <c r="D93" i="9"/>
  <c r="D71" i="9"/>
  <c r="D61" i="9"/>
  <c r="D63" i="9"/>
  <c r="D67" i="9"/>
  <c r="D68" i="9"/>
  <c r="D48" i="9"/>
  <c r="B18" i="9"/>
  <c r="D50" i="9"/>
  <c r="D65" i="9"/>
  <c r="D100" i="9"/>
  <c r="D73" i="9"/>
  <c r="D46" i="9"/>
  <c r="D94" i="9"/>
  <c r="D76" i="9"/>
  <c r="D69" i="9"/>
  <c r="D105" i="9"/>
  <c r="D47" i="9"/>
  <c r="D88" i="9"/>
  <c r="D59" i="9"/>
  <c r="D55" i="9"/>
  <c r="D53" i="9"/>
  <c r="D74" i="9"/>
  <c r="D89" i="9"/>
  <c r="D85" i="9"/>
  <c r="D83" i="9"/>
  <c r="D103" i="9"/>
  <c r="D70" i="9"/>
  <c r="D64" i="9"/>
  <c r="D51" i="9"/>
  <c r="D72" i="9"/>
  <c r="D79" i="9"/>
  <c r="D102" i="9"/>
  <c r="D99" i="9"/>
  <c r="D82" i="9"/>
  <c r="D78" i="9"/>
  <c r="D107" i="9"/>
  <c r="D96" i="9"/>
  <c r="D52" i="9"/>
  <c r="D62" i="9"/>
  <c r="D58" i="9"/>
  <c r="D56" i="9"/>
  <c r="D49" i="9"/>
  <c r="D66" i="9"/>
  <c r="D57" i="9"/>
  <c r="B19" i="9"/>
  <c r="E92" i="9"/>
  <c r="E68" i="9"/>
  <c r="E61" i="9"/>
  <c r="E105" i="9"/>
  <c r="E57" i="9"/>
  <c r="E70" i="9"/>
  <c r="E76" i="9"/>
  <c r="E99" i="9"/>
  <c r="E84" i="9"/>
  <c r="E81" i="9"/>
  <c r="E54" i="9"/>
  <c r="E64" i="9"/>
  <c r="E80" i="9"/>
  <c r="E77" i="9"/>
  <c r="E46" i="9"/>
  <c r="E56" i="9"/>
  <c r="E78" i="9"/>
  <c r="E73" i="9"/>
  <c r="E106" i="9"/>
  <c r="E52" i="9"/>
  <c r="E65" i="9"/>
  <c r="E107" i="9"/>
  <c r="E59" i="9"/>
  <c r="E95" i="9"/>
  <c r="E69" i="9"/>
  <c r="E48" i="9"/>
  <c r="E88" i="9"/>
  <c r="E62" i="9"/>
  <c r="E86" i="9"/>
  <c r="E58" i="9"/>
  <c r="E90" i="9"/>
  <c r="E60" i="9"/>
  <c r="E75" i="9"/>
  <c r="E89" i="9"/>
  <c r="E44" i="9"/>
  <c r="E100" i="9"/>
  <c r="E67" i="9"/>
  <c r="E98" i="9"/>
  <c r="E87" i="9"/>
  <c r="E82" i="9"/>
  <c r="E55" i="9"/>
  <c r="E53" i="9"/>
  <c r="E97" i="9"/>
  <c r="E101" i="9"/>
  <c r="E47" i="9"/>
  <c r="E45" i="9"/>
  <c r="E93" i="9"/>
  <c r="E96" i="9"/>
  <c r="E51" i="9"/>
  <c r="E94" i="9"/>
  <c r="E91" i="9"/>
  <c r="E74" i="9"/>
  <c r="E71" i="9"/>
  <c r="E102" i="9"/>
  <c r="E50" i="9"/>
  <c r="E49" i="9"/>
  <c r="B17" i="9"/>
  <c r="E104" i="9"/>
  <c r="E63" i="9"/>
  <c r="E85" i="9"/>
  <c r="E72" i="9"/>
  <c r="E83" i="9"/>
  <c r="E103" i="9"/>
  <c r="E66" i="9"/>
  <c r="E79" i="9"/>
  <c r="B20" i="9" l="1"/>
  <c r="B24" i="9"/>
  <c r="B21" i="9"/>
  <c r="B23" i="9"/>
</calcChain>
</file>

<file path=xl/sharedStrings.xml><?xml version="1.0" encoding="utf-8"?>
<sst xmlns="http://schemas.openxmlformats.org/spreadsheetml/2006/main" count="46" uniqueCount="41">
  <si>
    <t>Time °</t>
  </si>
  <si>
    <t>Vgk</t>
  </si>
  <si>
    <t>Ia</t>
  </si>
  <si>
    <t>CSTable</t>
  </si>
  <si>
    <t>Samples</t>
  </si>
  <si>
    <t>Tubes</t>
  </si>
  <si>
    <t>FFT</t>
  </si>
  <si>
    <t>Index</t>
  </si>
  <si>
    <t>Amplitude</t>
  </si>
  <si>
    <t>If</t>
  </si>
  <si>
    <t>Idc</t>
  </si>
  <si>
    <t>CLASS C</t>
  </si>
  <si>
    <t>Output cct efficiency (%)</t>
  </si>
  <si>
    <t>Resonant load (ohms)</t>
  </si>
  <si>
    <t>Output power (W)</t>
  </si>
  <si>
    <t>Anode RFpower (W)</t>
  </si>
  <si>
    <t>Anode current peak (A)</t>
  </si>
  <si>
    <t>Anode current DC (A)</t>
  </si>
  <si>
    <t>Anode current idle (A)</t>
  </si>
  <si>
    <t>Anode current fundamental (A)</t>
  </si>
  <si>
    <t>Inputs:</t>
  </si>
  <si>
    <t>Calculated results:</t>
  </si>
  <si>
    <t>4CX20000 / 8990</t>
  </si>
  <si>
    <t>Anode peak RF voltage (V)</t>
  </si>
  <si>
    <t>DC anode supply voltage (V)</t>
  </si>
  <si>
    <t>Grid bias voltage (V)</t>
  </si>
  <si>
    <t>Interpolation:</t>
  </si>
  <si>
    <t>Anode efficiency (%)</t>
  </si>
  <si>
    <t>Output efficiency (%)</t>
  </si>
  <si>
    <t>This spreadsheet, its macros and functions, and associated documentation are Copyright 2008 Owen Duffy.</t>
  </si>
  <si>
    <t>Licence is hereby granted to use this spreadsheet for its intended purpose.</t>
  </si>
  <si>
    <t>This licence does not permit distibution with any other software product, inclusion in any compilation of products,</t>
  </si>
  <si>
    <t>or copying to any WWW distribution sites or web servers.</t>
  </si>
  <si>
    <t>Users should not depend on the content without independent verification. No reponsiblity is accepted for the accuracy of the spreadsheet or for any errors.</t>
  </si>
  <si>
    <t>Licence / Copyright</t>
  </si>
  <si>
    <t>Drive voltage peak (V)</t>
  </si>
  <si>
    <t>Module</t>
  </si>
  <si>
    <t>Version</t>
  </si>
  <si>
    <t>Date</t>
  </si>
  <si>
    <t>CubicSpline</t>
  </si>
  <si>
    <t>Anode dissipation (W)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</si>
</sst>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000"/>
    <numFmt numFmtId="167" formatCode="0.0%"/>
  </numFmts>
  <fonts count="6" x14ac:knownFonts="1">
    <font>
      <sz val="10"/>
      <name val="Arial"/>
    </font>
    <font>
      <sz val="10"/>
      <name val="Arial"/>
    </font>
    <font>
      <b/>
      <sz val="36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Fill="1"/>
    <xf numFmtId="2" fontId="0" fillId="0" borderId="0" xfId="0" applyNumberFormat="1" applyFill="1"/>
    <xf numFmtId="1" fontId="0" fillId="0" borderId="0" xfId="0" applyNumberFormat="1" applyFill="1"/>
    <xf numFmtId="0" fontId="2" fillId="0" borderId="0" xfId="0" applyFont="1"/>
    <xf numFmtId="165" fontId="0" fillId="2" borderId="1" xfId="0" applyNumberFormat="1" applyFill="1" applyBorder="1"/>
    <xf numFmtId="164" fontId="0" fillId="2" borderId="1" xfId="0" applyNumberFormat="1" applyFill="1" applyBorder="1"/>
    <xf numFmtId="0" fontId="0" fillId="3" borderId="1" xfId="0" applyFill="1" applyBorder="1"/>
    <xf numFmtId="0" fontId="0" fillId="0" borderId="0" xfId="0" applyAlignment="1">
      <alignment horizontal="right"/>
    </xf>
    <xf numFmtId="0" fontId="3" fillId="0" borderId="0" xfId="0" applyFont="1"/>
    <xf numFmtId="164" fontId="0" fillId="0" borderId="1" xfId="0" applyNumberFormat="1" applyFill="1" applyBorder="1"/>
    <xf numFmtId="0" fontId="0" fillId="0" borderId="1" xfId="0" applyBorder="1"/>
    <xf numFmtId="9" fontId="0" fillId="2" borderId="1" xfId="1" applyFont="1" applyFill="1" applyBorder="1"/>
    <xf numFmtId="1" fontId="0" fillId="2" borderId="1" xfId="0" applyNumberFormat="1" applyFill="1" applyBorder="1"/>
    <xf numFmtId="0" fontId="0" fillId="2" borderId="1" xfId="0" applyFill="1" applyBorder="1"/>
    <xf numFmtId="1" fontId="0" fillId="3" borderId="1" xfId="0" applyNumberFormat="1" applyFill="1" applyBorder="1"/>
    <xf numFmtId="164" fontId="0" fillId="3" borderId="1" xfId="0" applyNumberFormat="1" applyFill="1" applyBorder="1"/>
    <xf numFmtId="167" fontId="1" fillId="3" borderId="1" xfId="1" applyNumberFormat="1" applyFill="1" applyBorder="1"/>
    <xf numFmtId="0" fontId="4" fillId="0" borderId="0" xfId="0" applyFont="1"/>
    <xf numFmtId="0" fontId="0" fillId="0" borderId="1" xfId="0" applyBorder="1" applyAlignment="1">
      <alignment horizontal="right"/>
    </xf>
    <xf numFmtId="165" fontId="0" fillId="3" borderId="1" xfId="0" applyNumberFormat="1" applyFill="1" applyBorder="1"/>
    <xf numFmtId="0" fontId="5" fillId="0" borderId="0" xfId="0" applyFont="1"/>
    <xf numFmtId="0" fontId="4" fillId="0" borderId="0" xfId="0" applyFont="1" applyAlignment="1">
      <alignment horizontal="right"/>
    </xf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current waveform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Fundamental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Characteristic!#REF!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585880"/>
        <c:axId val="526586272"/>
      </c:scatterChart>
      <c:valAx>
        <c:axId val="526585880"/>
        <c:scaling>
          <c:orientation val="minMax"/>
          <c:max val="36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586272"/>
        <c:crosses val="autoZero"/>
        <c:crossBetween val="midCat"/>
        <c:majorUnit val="90"/>
        <c:minorUnit val="30"/>
      </c:valAx>
      <c:valAx>
        <c:axId val="526586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585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/ grid characteristic</a:t>
            </a:r>
          </a:p>
        </c:rich>
      </c:tx>
      <c:layout>
        <c:manualLayout>
          <c:xMode val="edge"/>
          <c:yMode val="edge"/>
          <c:x val="0.34280971567517271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713127999196"/>
          <c:y val="0.14732158913921808"/>
          <c:w val="0.67725807808097149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v>Input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Characteristic!$A$12:$A$17</c:f>
              <c:numCache>
                <c:formatCode>0.0</c:formatCode>
                <c:ptCount val="6"/>
                <c:pt idx="0">
                  <c:v>-220</c:v>
                </c:pt>
                <c:pt idx="1">
                  <c:v>-190</c:v>
                </c:pt>
                <c:pt idx="2">
                  <c:v>-100</c:v>
                </c:pt>
                <c:pt idx="3">
                  <c:v>-35</c:v>
                </c:pt>
                <c:pt idx="4">
                  <c:v>10</c:v>
                </c:pt>
                <c:pt idx="5">
                  <c:v>20</c:v>
                </c:pt>
              </c:numCache>
            </c:numRef>
          </c:xVal>
          <c:yVal>
            <c:numRef>
              <c:f>Characteristic!$B$12:$B$17</c:f>
              <c:numCache>
                <c:formatCode>0.000</c:formatCode>
                <c:ptCount val="6"/>
                <c:pt idx="0">
                  <c:v>0</c:v>
                </c:pt>
                <c:pt idx="1">
                  <c:v>0.25</c:v>
                </c:pt>
                <c:pt idx="2">
                  <c:v>3</c:v>
                </c:pt>
                <c:pt idx="3">
                  <c:v>9</c:v>
                </c:pt>
                <c:pt idx="4">
                  <c:v>15</c:v>
                </c:pt>
                <c:pt idx="5">
                  <c:v>16</c:v>
                </c:pt>
              </c:numCache>
            </c:numRef>
          </c:yVal>
          <c:smooth val="0"/>
        </c:ser>
        <c:ser>
          <c:idx val="1"/>
          <c:order val="1"/>
          <c:tx>
            <c:v>Interpolated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Characteristic!$F$38:$F$58</c:f>
              <c:numCache>
                <c:formatCode>0.0</c:formatCode>
                <c:ptCount val="21"/>
                <c:pt idx="0">
                  <c:v>-220</c:v>
                </c:pt>
                <c:pt idx="1">
                  <c:v>-208</c:v>
                </c:pt>
                <c:pt idx="2">
                  <c:v>-196</c:v>
                </c:pt>
                <c:pt idx="3">
                  <c:v>-184</c:v>
                </c:pt>
                <c:pt idx="4">
                  <c:v>-172</c:v>
                </c:pt>
                <c:pt idx="5">
                  <c:v>-160</c:v>
                </c:pt>
                <c:pt idx="6">
                  <c:v>-148</c:v>
                </c:pt>
                <c:pt idx="7">
                  <c:v>-136</c:v>
                </c:pt>
                <c:pt idx="8">
                  <c:v>-124</c:v>
                </c:pt>
                <c:pt idx="9">
                  <c:v>-112</c:v>
                </c:pt>
                <c:pt idx="10">
                  <c:v>-100</c:v>
                </c:pt>
                <c:pt idx="11">
                  <c:v>-88</c:v>
                </c:pt>
                <c:pt idx="12">
                  <c:v>-76</c:v>
                </c:pt>
                <c:pt idx="13">
                  <c:v>-64</c:v>
                </c:pt>
                <c:pt idx="14">
                  <c:v>-52</c:v>
                </c:pt>
                <c:pt idx="15">
                  <c:v>-40</c:v>
                </c:pt>
                <c:pt idx="16">
                  <c:v>-28</c:v>
                </c:pt>
                <c:pt idx="17">
                  <c:v>-16</c:v>
                </c:pt>
                <c:pt idx="18">
                  <c:v>-4</c:v>
                </c:pt>
                <c:pt idx="19">
                  <c:v>8</c:v>
                </c:pt>
                <c:pt idx="20">
                  <c:v>20</c:v>
                </c:pt>
              </c:numCache>
            </c:numRef>
          </c:xVal>
          <c:yVal>
            <c:numRef>
              <c:f>Characteristic!$G$38:$G$58</c:f>
              <c:numCache>
                <c:formatCode>0.000</c:formatCode>
                <c:ptCount val="21"/>
                <c:pt idx="0">
                  <c:v>0</c:v>
                </c:pt>
                <c:pt idx="1">
                  <c:v>8.7899547136642456E-2</c:v>
                </c:pt>
                <c:pt idx="2">
                  <c:v>0.18962818325997927</c:v>
                </c:pt>
                <c:pt idx="3">
                  <c:v>0.31896735741933957</c:v>
                </c:pt>
                <c:pt idx="4">
                  <c:v>0.48860272371507635</c:v>
                </c:pt>
                <c:pt idx="5">
                  <c:v>0.7101241464503032</c:v>
                </c:pt>
                <c:pt idx="6">
                  <c:v>0.99507385102111601</c:v>
                </c:pt>
                <c:pt idx="7">
                  <c:v>1.3549940603959736</c:v>
                </c:pt>
                <c:pt idx="8">
                  <c:v>1.8014270074021148</c:v>
                </c:pt>
                <c:pt idx="9">
                  <c:v>2.3459149122486598</c:v>
                </c:pt>
                <c:pt idx="10">
                  <c:v>3</c:v>
                </c:pt>
                <c:pt idx="11">
                  <c:v>3.775580130622751</c:v>
                </c:pt>
                <c:pt idx="12">
                  <c:v>4.6859754642294718</c:v>
                </c:pt>
                <c:pt idx="13">
                  <c:v>5.7448617291945654</c:v>
                </c:pt>
                <c:pt idx="14">
                  <c:v>6.965914907697468</c:v>
                </c:pt>
                <c:pt idx="15">
                  <c:v>8.3628106635331267</c:v>
                </c:pt>
                <c:pt idx="16">
                  <c:v>9.9440360315802199</c:v>
                </c:pt>
                <c:pt idx="17">
                  <c:v>11.635069942612818</c:v>
                </c:pt>
                <c:pt idx="18">
                  <c:v>13.294630752070736</c:v>
                </c:pt>
                <c:pt idx="19">
                  <c:v>14.779546434312749</c:v>
                </c:pt>
                <c:pt idx="20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587056"/>
        <c:axId val="536992424"/>
      </c:scatterChart>
      <c:valAx>
        <c:axId val="52658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Vgk</a:t>
                </a:r>
              </a:p>
            </c:rich>
          </c:tx>
          <c:layout>
            <c:manualLayout>
              <c:xMode val="edge"/>
              <c:yMode val="edge"/>
              <c:x val="0.44816088624373457"/>
              <c:y val="0.921875937382827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992424"/>
        <c:crosses val="autoZero"/>
        <c:crossBetween val="midCat"/>
      </c:valAx>
      <c:valAx>
        <c:axId val="536992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</a:t>
                </a:r>
              </a:p>
            </c:rich>
          </c:tx>
          <c:layout>
            <c:manualLayout>
              <c:xMode val="edge"/>
              <c:yMode val="edge"/>
              <c:x val="2.508361204013378E-2"/>
              <c:y val="0.49107189726284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587056"/>
        <c:crossesAt val="-1000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943214038044577"/>
          <c:y val="0.43526832583427072"/>
          <c:w val="0.15719081101484389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39370078740157483" l="0.39370078740157483" r="0.39370078740157483" t="0.78740157480314965" header="0.51181102362204722" footer="0.51181102362204722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characteristics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Interpolated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Anode!#REF!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993208"/>
        <c:axId val="536993600"/>
      </c:scatterChart>
      <c:valAx>
        <c:axId val="536993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Vgk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993600"/>
        <c:crosses val="autoZero"/>
        <c:crossBetween val="midCat"/>
      </c:valAx>
      <c:valAx>
        <c:axId val="536993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993208"/>
        <c:crossesAt val="-10000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Anode current waveform (per tube)</a:t>
            </a:r>
          </a:p>
        </c:rich>
      </c:tx>
      <c:layout>
        <c:manualLayout>
          <c:xMode val="edge"/>
          <c:yMode val="edge"/>
          <c:x val="0.3110369648609977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4348891118908"/>
          <c:y val="0.14732158913921808"/>
          <c:w val="0.73076982746020869"/>
          <c:h val="0.75000081743601932"/>
        </c:manualLayout>
      </c:layout>
      <c:scatterChart>
        <c:scatterStyle val="lineMarker"/>
        <c:varyColors val="0"/>
        <c:ser>
          <c:idx val="0"/>
          <c:order val="0"/>
          <c:tx>
            <c:v>Ia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Anode!$A$44:$A$107</c:f>
              <c:numCache>
                <c:formatCode>0.0</c:formatCode>
                <c:ptCount val="64"/>
                <c:pt idx="0">
                  <c:v>0</c:v>
                </c:pt>
                <c:pt idx="1">
                  <c:v>5.625</c:v>
                </c:pt>
                <c:pt idx="2">
                  <c:v>11.25</c:v>
                </c:pt>
                <c:pt idx="3">
                  <c:v>16.875</c:v>
                </c:pt>
                <c:pt idx="4">
                  <c:v>22.5</c:v>
                </c:pt>
                <c:pt idx="5">
                  <c:v>28.125</c:v>
                </c:pt>
                <c:pt idx="6">
                  <c:v>33.75</c:v>
                </c:pt>
                <c:pt idx="7">
                  <c:v>39.375</c:v>
                </c:pt>
                <c:pt idx="8">
                  <c:v>45</c:v>
                </c:pt>
                <c:pt idx="9">
                  <c:v>50.625</c:v>
                </c:pt>
                <c:pt idx="10">
                  <c:v>56.25</c:v>
                </c:pt>
                <c:pt idx="11">
                  <c:v>61.875</c:v>
                </c:pt>
                <c:pt idx="12">
                  <c:v>67.5</c:v>
                </c:pt>
                <c:pt idx="13">
                  <c:v>73.125</c:v>
                </c:pt>
                <c:pt idx="14">
                  <c:v>78.75</c:v>
                </c:pt>
                <c:pt idx="15">
                  <c:v>84.375</c:v>
                </c:pt>
                <c:pt idx="16">
                  <c:v>90</c:v>
                </c:pt>
                <c:pt idx="17">
                  <c:v>95.625</c:v>
                </c:pt>
                <c:pt idx="18">
                  <c:v>101.25</c:v>
                </c:pt>
                <c:pt idx="19">
                  <c:v>106.875</c:v>
                </c:pt>
                <c:pt idx="20">
                  <c:v>112.5</c:v>
                </c:pt>
                <c:pt idx="21">
                  <c:v>118.125</c:v>
                </c:pt>
                <c:pt idx="22">
                  <c:v>123.75</c:v>
                </c:pt>
                <c:pt idx="23">
                  <c:v>129.375</c:v>
                </c:pt>
                <c:pt idx="24">
                  <c:v>135</c:v>
                </c:pt>
                <c:pt idx="25">
                  <c:v>140.625</c:v>
                </c:pt>
                <c:pt idx="26">
                  <c:v>146.25</c:v>
                </c:pt>
                <c:pt idx="27">
                  <c:v>151.875</c:v>
                </c:pt>
                <c:pt idx="28">
                  <c:v>157.5</c:v>
                </c:pt>
                <c:pt idx="29">
                  <c:v>163.125</c:v>
                </c:pt>
                <c:pt idx="30">
                  <c:v>168.75</c:v>
                </c:pt>
                <c:pt idx="31">
                  <c:v>174.375</c:v>
                </c:pt>
                <c:pt idx="32">
                  <c:v>180</c:v>
                </c:pt>
                <c:pt idx="33">
                  <c:v>185.625</c:v>
                </c:pt>
                <c:pt idx="34">
                  <c:v>191.25</c:v>
                </c:pt>
                <c:pt idx="35">
                  <c:v>196.875</c:v>
                </c:pt>
                <c:pt idx="36">
                  <c:v>202.5</c:v>
                </c:pt>
                <c:pt idx="37">
                  <c:v>208.125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230.625</c:v>
                </c:pt>
                <c:pt idx="42">
                  <c:v>236.25</c:v>
                </c:pt>
                <c:pt idx="43">
                  <c:v>241.875</c:v>
                </c:pt>
                <c:pt idx="44">
                  <c:v>247.5</c:v>
                </c:pt>
                <c:pt idx="45">
                  <c:v>253.125</c:v>
                </c:pt>
                <c:pt idx="46">
                  <c:v>258.75</c:v>
                </c:pt>
                <c:pt idx="47">
                  <c:v>264.375</c:v>
                </c:pt>
                <c:pt idx="48">
                  <c:v>270</c:v>
                </c:pt>
                <c:pt idx="49">
                  <c:v>275.625</c:v>
                </c:pt>
                <c:pt idx="50">
                  <c:v>281.25</c:v>
                </c:pt>
                <c:pt idx="51">
                  <c:v>286.875</c:v>
                </c:pt>
                <c:pt idx="52">
                  <c:v>292.5</c:v>
                </c:pt>
                <c:pt idx="53">
                  <c:v>298.125</c:v>
                </c:pt>
                <c:pt idx="54">
                  <c:v>303.75</c:v>
                </c:pt>
                <c:pt idx="55">
                  <c:v>309.375</c:v>
                </c:pt>
                <c:pt idx="56">
                  <c:v>315</c:v>
                </c:pt>
                <c:pt idx="57">
                  <c:v>320.625</c:v>
                </c:pt>
                <c:pt idx="58">
                  <c:v>326.25</c:v>
                </c:pt>
                <c:pt idx="59">
                  <c:v>331.875</c:v>
                </c:pt>
                <c:pt idx="60">
                  <c:v>337.5</c:v>
                </c:pt>
                <c:pt idx="61">
                  <c:v>343.125</c:v>
                </c:pt>
                <c:pt idx="62">
                  <c:v>348.75</c:v>
                </c:pt>
                <c:pt idx="63">
                  <c:v>354.375</c:v>
                </c:pt>
              </c:numCache>
            </c:numRef>
          </c:xVal>
          <c:yVal>
            <c:numRef>
              <c:f>Anode!$C$44:$C$107</c:f>
              <c:numCache>
                <c:formatCode>0.00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0.13605821873367774</c:v>
                </c:pt>
                <c:pt idx="6">
                  <c:v>0.5800768166854593</c:v>
                </c:pt>
                <c:pt idx="7">
                  <c:v>1.4385676170246726</c:v>
                </c:pt>
                <c:pt idx="8">
                  <c:v>2.8247107191906693</c:v>
                </c:pt>
                <c:pt idx="9">
                  <c:v>4.7405926436948906</c:v>
                </c:pt>
                <c:pt idx="10">
                  <c:v>7.0993684063802167</c:v>
                </c:pt>
                <c:pt idx="11">
                  <c:v>9.724828167898389</c:v>
                </c:pt>
                <c:pt idx="12">
                  <c:v>12.202941933726827</c:v>
                </c:pt>
                <c:pt idx="13">
                  <c:v>14.057293556999037</c:v>
                </c:pt>
                <c:pt idx="14">
                  <c:v>15.204111026606274</c:v>
                </c:pt>
                <c:pt idx="15">
                  <c:v>15.805429293416008</c:v>
                </c:pt>
                <c:pt idx="16">
                  <c:v>16</c:v>
                </c:pt>
                <c:pt idx="17">
                  <c:v>15.805429293416099</c:v>
                </c:pt>
                <c:pt idx="18">
                  <c:v>15.204111026606274</c:v>
                </c:pt>
                <c:pt idx="19">
                  <c:v>14.057293556999037</c:v>
                </c:pt>
                <c:pt idx="20">
                  <c:v>12.202941933726827</c:v>
                </c:pt>
                <c:pt idx="21">
                  <c:v>9.7248281678984085</c:v>
                </c:pt>
                <c:pt idx="22">
                  <c:v>7.0993684063802247</c:v>
                </c:pt>
                <c:pt idx="23">
                  <c:v>4.7405926436948977</c:v>
                </c:pt>
                <c:pt idx="24">
                  <c:v>2.8247107191906728</c:v>
                </c:pt>
                <c:pt idx="25">
                  <c:v>1.4385676170246726</c:v>
                </c:pt>
                <c:pt idx="26">
                  <c:v>0.5800768166854593</c:v>
                </c:pt>
                <c:pt idx="27">
                  <c:v>0.13605821873367871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v>Idc</c:v>
          </c:tx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Anode!$A$44:$A$107</c:f>
              <c:numCache>
                <c:formatCode>0.0</c:formatCode>
                <c:ptCount val="64"/>
                <c:pt idx="0">
                  <c:v>0</c:v>
                </c:pt>
                <c:pt idx="1">
                  <c:v>5.625</c:v>
                </c:pt>
                <c:pt idx="2">
                  <c:v>11.25</c:v>
                </c:pt>
                <c:pt idx="3">
                  <c:v>16.875</c:v>
                </c:pt>
                <c:pt idx="4">
                  <c:v>22.5</c:v>
                </c:pt>
                <c:pt idx="5">
                  <c:v>28.125</c:v>
                </c:pt>
                <c:pt idx="6">
                  <c:v>33.75</c:v>
                </c:pt>
                <c:pt idx="7">
                  <c:v>39.375</c:v>
                </c:pt>
                <c:pt idx="8">
                  <c:v>45</c:v>
                </c:pt>
                <c:pt idx="9">
                  <c:v>50.625</c:v>
                </c:pt>
                <c:pt idx="10">
                  <c:v>56.25</c:v>
                </c:pt>
                <c:pt idx="11">
                  <c:v>61.875</c:v>
                </c:pt>
                <c:pt idx="12">
                  <c:v>67.5</c:v>
                </c:pt>
                <c:pt idx="13">
                  <c:v>73.125</c:v>
                </c:pt>
                <c:pt idx="14">
                  <c:v>78.75</c:v>
                </c:pt>
                <c:pt idx="15">
                  <c:v>84.375</c:v>
                </c:pt>
                <c:pt idx="16">
                  <c:v>90</c:v>
                </c:pt>
                <c:pt idx="17">
                  <c:v>95.625</c:v>
                </c:pt>
                <c:pt idx="18">
                  <c:v>101.25</c:v>
                </c:pt>
                <c:pt idx="19">
                  <c:v>106.875</c:v>
                </c:pt>
                <c:pt idx="20">
                  <c:v>112.5</c:v>
                </c:pt>
                <c:pt idx="21">
                  <c:v>118.125</c:v>
                </c:pt>
                <c:pt idx="22">
                  <c:v>123.75</c:v>
                </c:pt>
                <c:pt idx="23">
                  <c:v>129.375</c:v>
                </c:pt>
                <c:pt idx="24">
                  <c:v>135</c:v>
                </c:pt>
                <c:pt idx="25">
                  <c:v>140.625</c:v>
                </c:pt>
                <c:pt idx="26">
                  <c:v>146.25</c:v>
                </c:pt>
                <c:pt idx="27">
                  <c:v>151.875</c:v>
                </c:pt>
                <c:pt idx="28">
                  <c:v>157.5</c:v>
                </c:pt>
                <c:pt idx="29">
                  <c:v>163.125</c:v>
                </c:pt>
                <c:pt idx="30">
                  <c:v>168.75</c:v>
                </c:pt>
                <c:pt idx="31">
                  <c:v>174.375</c:v>
                </c:pt>
                <c:pt idx="32">
                  <c:v>180</c:v>
                </c:pt>
                <c:pt idx="33">
                  <c:v>185.625</c:v>
                </c:pt>
                <c:pt idx="34">
                  <c:v>191.25</c:v>
                </c:pt>
                <c:pt idx="35">
                  <c:v>196.875</c:v>
                </c:pt>
                <c:pt idx="36">
                  <c:v>202.5</c:v>
                </c:pt>
                <c:pt idx="37">
                  <c:v>208.125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230.625</c:v>
                </c:pt>
                <c:pt idx="42">
                  <c:v>236.25</c:v>
                </c:pt>
                <c:pt idx="43">
                  <c:v>241.875</c:v>
                </c:pt>
                <c:pt idx="44">
                  <c:v>247.5</c:v>
                </c:pt>
                <c:pt idx="45">
                  <c:v>253.125</c:v>
                </c:pt>
                <c:pt idx="46">
                  <c:v>258.75</c:v>
                </c:pt>
                <c:pt idx="47">
                  <c:v>264.375</c:v>
                </c:pt>
                <c:pt idx="48">
                  <c:v>270</c:v>
                </c:pt>
                <c:pt idx="49">
                  <c:v>275.625</c:v>
                </c:pt>
                <c:pt idx="50">
                  <c:v>281.25</c:v>
                </c:pt>
                <c:pt idx="51">
                  <c:v>286.875</c:v>
                </c:pt>
                <c:pt idx="52">
                  <c:v>292.5</c:v>
                </c:pt>
                <c:pt idx="53">
                  <c:v>298.125</c:v>
                </c:pt>
                <c:pt idx="54">
                  <c:v>303.75</c:v>
                </c:pt>
                <c:pt idx="55">
                  <c:v>309.375</c:v>
                </c:pt>
                <c:pt idx="56">
                  <c:v>315</c:v>
                </c:pt>
                <c:pt idx="57">
                  <c:v>320.625</c:v>
                </c:pt>
                <c:pt idx="58">
                  <c:v>326.25</c:v>
                </c:pt>
                <c:pt idx="59">
                  <c:v>331.875</c:v>
                </c:pt>
                <c:pt idx="60">
                  <c:v>337.5</c:v>
                </c:pt>
                <c:pt idx="61">
                  <c:v>343.125</c:v>
                </c:pt>
                <c:pt idx="62">
                  <c:v>348.75</c:v>
                </c:pt>
                <c:pt idx="63">
                  <c:v>354.375</c:v>
                </c:pt>
              </c:numCache>
            </c:numRef>
          </c:xVal>
          <c:yVal>
            <c:numRef>
              <c:f>Anode!$E$44:$E$107</c:f>
              <c:numCache>
                <c:formatCode>0.0000000</c:formatCode>
                <c:ptCount val="64"/>
                <c:pt idx="0">
                  <c:v>2.8691868250111252</c:v>
                </c:pt>
                <c:pt idx="1">
                  <c:v>2.8691868250111252</c:v>
                </c:pt>
                <c:pt idx="2">
                  <c:v>2.8691868250111252</c:v>
                </c:pt>
                <c:pt idx="3">
                  <c:v>2.8691868250111252</c:v>
                </c:pt>
                <c:pt idx="4">
                  <c:v>2.8691868250111252</c:v>
                </c:pt>
                <c:pt idx="5">
                  <c:v>2.8691868250111252</c:v>
                </c:pt>
                <c:pt idx="6">
                  <c:v>2.8691868250111252</c:v>
                </c:pt>
                <c:pt idx="7">
                  <c:v>2.8691868250111252</c:v>
                </c:pt>
                <c:pt idx="8">
                  <c:v>2.8691868250111252</c:v>
                </c:pt>
                <c:pt idx="9">
                  <c:v>2.8691868250111252</c:v>
                </c:pt>
                <c:pt idx="10">
                  <c:v>2.8691868250111252</c:v>
                </c:pt>
                <c:pt idx="11">
                  <c:v>2.8691868250111252</c:v>
                </c:pt>
                <c:pt idx="12">
                  <c:v>2.8691868250111252</c:v>
                </c:pt>
                <c:pt idx="13">
                  <c:v>2.8691868250111252</c:v>
                </c:pt>
                <c:pt idx="14">
                  <c:v>2.8691868250111252</c:v>
                </c:pt>
                <c:pt idx="15">
                  <c:v>2.8691868250111252</c:v>
                </c:pt>
                <c:pt idx="16">
                  <c:v>2.8691868250111252</c:v>
                </c:pt>
                <c:pt idx="17">
                  <c:v>2.8691868250111252</c:v>
                </c:pt>
                <c:pt idx="18">
                  <c:v>2.8691868250111252</c:v>
                </c:pt>
                <c:pt idx="19">
                  <c:v>2.8691868250111252</c:v>
                </c:pt>
                <c:pt idx="20">
                  <c:v>2.8691868250111252</c:v>
                </c:pt>
                <c:pt idx="21">
                  <c:v>2.8691868250111252</c:v>
                </c:pt>
                <c:pt idx="22">
                  <c:v>2.8691868250111252</c:v>
                </c:pt>
                <c:pt idx="23">
                  <c:v>2.8691868250111252</c:v>
                </c:pt>
                <c:pt idx="24">
                  <c:v>2.8691868250111252</c:v>
                </c:pt>
                <c:pt idx="25">
                  <c:v>2.8691868250111252</c:v>
                </c:pt>
                <c:pt idx="26">
                  <c:v>2.8691868250111252</c:v>
                </c:pt>
                <c:pt idx="27">
                  <c:v>2.8691868250111252</c:v>
                </c:pt>
                <c:pt idx="28">
                  <c:v>2.8691868250111252</c:v>
                </c:pt>
                <c:pt idx="29">
                  <c:v>2.8691868250111252</c:v>
                </c:pt>
                <c:pt idx="30">
                  <c:v>2.8691868250111252</c:v>
                </c:pt>
                <c:pt idx="31">
                  <c:v>2.8691868250111252</c:v>
                </c:pt>
                <c:pt idx="32">
                  <c:v>2.8691868250111252</c:v>
                </c:pt>
                <c:pt idx="33">
                  <c:v>2.8691868250111252</c:v>
                </c:pt>
                <c:pt idx="34">
                  <c:v>2.8691868250111252</c:v>
                </c:pt>
                <c:pt idx="35">
                  <c:v>2.8691868250111252</c:v>
                </c:pt>
                <c:pt idx="36">
                  <c:v>2.8691868250111252</c:v>
                </c:pt>
                <c:pt idx="37">
                  <c:v>2.8691868250111252</c:v>
                </c:pt>
                <c:pt idx="38">
                  <c:v>2.8691868250111252</c:v>
                </c:pt>
                <c:pt idx="39">
                  <c:v>2.8691868250111252</c:v>
                </c:pt>
                <c:pt idx="40">
                  <c:v>2.8691868250111252</c:v>
                </c:pt>
                <c:pt idx="41">
                  <c:v>2.8691868250111252</c:v>
                </c:pt>
                <c:pt idx="42">
                  <c:v>2.8691868250111252</c:v>
                </c:pt>
                <c:pt idx="43">
                  <c:v>2.8691868250111252</c:v>
                </c:pt>
                <c:pt idx="44">
                  <c:v>2.8691868250111252</c:v>
                </c:pt>
                <c:pt idx="45">
                  <c:v>2.8691868250111252</c:v>
                </c:pt>
                <c:pt idx="46">
                  <c:v>2.8691868250111252</c:v>
                </c:pt>
                <c:pt idx="47">
                  <c:v>2.8691868250111252</c:v>
                </c:pt>
                <c:pt idx="48">
                  <c:v>2.8691868250111252</c:v>
                </c:pt>
                <c:pt idx="49">
                  <c:v>2.8691868250111252</c:v>
                </c:pt>
                <c:pt idx="50">
                  <c:v>2.8691868250111252</c:v>
                </c:pt>
                <c:pt idx="51">
                  <c:v>2.8691868250111252</c:v>
                </c:pt>
                <c:pt idx="52">
                  <c:v>2.8691868250111252</c:v>
                </c:pt>
                <c:pt idx="53">
                  <c:v>2.8691868250111252</c:v>
                </c:pt>
                <c:pt idx="54">
                  <c:v>2.8691868250111252</c:v>
                </c:pt>
                <c:pt idx="55">
                  <c:v>2.8691868250111252</c:v>
                </c:pt>
                <c:pt idx="56">
                  <c:v>2.8691868250111252</c:v>
                </c:pt>
                <c:pt idx="57">
                  <c:v>2.8691868250111252</c:v>
                </c:pt>
                <c:pt idx="58">
                  <c:v>2.8691868250111252</c:v>
                </c:pt>
                <c:pt idx="59">
                  <c:v>2.8691868250111252</c:v>
                </c:pt>
                <c:pt idx="60">
                  <c:v>2.8691868250111252</c:v>
                </c:pt>
                <c:pt idx="61">
                  <c:v>2.8691868250111252</c:v>
                </c:pt>
                <c:pt idx="62">
                  <c:v>2.8691868250111252</c:v>
                </c:pt>
                <c:pt idx="63">
                  <c:v>2.8691868250111252</c:v>
                </c:pt>
              </c:numCache>
            </c:numRef>
          </c:yVal>
          <c:smooth val="0"/>
        </c:ser>
        <c:ser>
          <c:idx val="1"/>
          <c:order val="2"/>
          <c:tx>
            <c:v>If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Anode!$A$44:$A$107</c:f>
              <c:numCache>
                <c:formatCode>0.0</c:formatCode>
                <c:ptCount val="64"/>
                <c:pt idx="0">
                  <c:v>0</c:v>
                </c:pt>
                <c:pt idx="1">
                  <c:v>5.625</c:v>
                </c:pt>
                <c:pt idx="2">
                  <c:v>11.25</c:v>
                </c:pt>
                <c:pt idx="3">
                  <c:v>16.875</c:v>
                </c:pt>
                <c:pt idx="4">
                  <c:v>22.5</c:v>
                </c:pt>
                <c:pt idx="5">
                  <c:v>28.125</c:v>
                </c:pt>
                <c:pt idx="6">
                  <c:v>33.75</c:v>
                </c:pt>
                <c:pt idx="7">
                  <c:v>39.375</c:v>
                </c:pt>
                <c:pt idx="8">
                  <c:v>45</c:v>
                </c:pt>
                <c:pt idx="9">
                  <c:v>50.625</c:v>
                </c:pt>
                <c:pt idx="10">
                  <c:v>56.25</c:v>
                </c:pt>
                <c:pt idx="11">
                  <c:v>61.875</c:v>
                </c:pt>
                <c:pt idx="12">
                  <c:v>67.5</c:v>
                </c:pt>
                <c:pt idx="13">
                  <c:v>73.125</c:v>
                </c:pt>
                <c:pt idx="14">
                  <c:v>78.75</c:v>
                </c:pt>
                <c:pt idx="15">
                  <c:v>84.375</c:v>
                </c:pt>
                <c:pt idx="16">
                  <c:v>90</c:v>
                </c:pt>
                <c:pt idx="17">
                  <c:v>95.625</c:v>
                </c:pt>
                <c:pt idx="18">
                  <c:v>101.25</c:v>
                </c:pt>
                <c:pt idx="19">
                  <c:v>106.875</c:v>
                </c:pt>
                <c:pt idx="20">
                  <c:v>112.5</c:v>
                </c:pt>
                <c:pt idx="21">
                  <c:v>118.125</c:v>
                </c:pt>
                <c:pt idx="22">
                  <c:v>123.75</c:v>
                </c:pt>
                <c:pt idx="23">
                  <c:v>129.375</c:v>
                </c:pt>
                <c:pt idx="24">
                  <c:v>135</c:v>
                </c:pt>
                <c:pt idx="25">
                  <c:v>140.625</c:v>
                </c:pt>
                <c:pt idx="26">
                  <c:v>146.25</c:v>
                </c:pt>
                <c:pt idx="27">
                  <c:v>151.875</c:v>
                </c:pt>
                <c:pt idx="28">
                  <c:v>157.5</c:v>
                </c:pt>
                <c:pt idx="29">
                  <c:v>163.125</c:v>
                </c:pt>
                <c:pt idx="30">
                  <c:v>168.75</c:v>
                </c:pt>
                <c:pt idx="31">
                  <c:v>174.375</c:v>
                </c:pt>
                <c:pt idx="32">
                  <c:v>180</c:v>
                </c:pt>
                <c:pt idx="33">
                  <c:v>185.625</c:v>
                </c:pt>
                <c:pt idx="34">
                  <c:v>191.25</c:v>
                </c:pt>
                <c:pt idx="35">
                  <c:v>196.875</c:v>
                </c:pt>
                <c:pt idx="36">
                  <c:v>202.5</c:v>
                </c:pt>
                <c:pt idx="37">
                  <c:v>208.125</c:v>
                </c:pt>
                <c:pt idx="38">
                  <c:v>213.75</c:v>
                </c:pt>
                <c:pt idx="39">
                  <c:v>219.375</c:v>
                </c:pt>
                <c:pt idx="40">
                  <c:v>225</c:v>
                </c:pt>
                <c:pt idx="41">
                  <c:v>230.625</c:v>
                </c:pt>
                <c:pt idx="42">
                  <c:v>236.25</c:v>
                </c:pt>
                <c:pt idx="43">
                  <c:v>241.875</c:v>
                </c:pt>
                <c:pt idx="44">
                  <c:v>247.5</c:v>
                </c:pt>
                <c:pt idx="45">
                  <c:v>253.125</c:v>
                </c:pt>
                <c:pt idx="46">
                  <c:v>258.75</c:v>
                </c:pt>
                <c:pt idx="47">
                  <c:v>264.375</c:v>
                </c:pt>
                <c:pt idx="48">
                  <c:v>270</c:v>
                </c:pt>
                <c:pt idx="49">
                  <c:v>275.625</c:v>
                </c:pt>
                <c:pt idx="50">
                  <c:v>281.25</c:v>
                </c:pt>
                <c:pt idx="51">
                  <c:v>286.875</c:v>
                </c:pt>
                <c:pt idx="52">
                  <c:v>292.5</c:v>
                </c:pt>
                <c:pt idx="53">
                  <c:v>298.125</c:v>
                </c:pt>
                <c:pt idx="54">
                  <c:v>303.75</c:v>
                </c:pt>
                <c:pt idx="55">
                  <c:v>309.375</c:v>
                </c:pt>
                <c:pt idx="56">
                  <c:v>315</c:v>
                </c:pt>
                <c:pt idx="57">
                  <c:v>320.625</c:v>
                </c:pt>
                <c:pt idx="58">
                  <c:v>326.25</c:v>
                </c:pt>
                <c:pt idx="59">
                  <c:v>331.875</c:v>
                </c:pt>
                <c:pt idx="60">
                  <c:v>337.5</c:v>
                </c:pt>
                <c:pt idx="61">
                  <c:v>343.125</c:v>
                </c:pt>
                <c:pt idx="62">
                  <c:v>348.75</c:v>
                </c:pt>
                <c:pt idx="63">
                  <c:v>354.375</c:v>
                </c:pt>
              </c:numCache>
            </c:numRef>
          </c:xVal>
          <c:yVal>
            <c:numRef>
              <c:f>Anode!$D$44:$D$107</c:f>
              <c:numCache>
                <c:formatCode>0.000</c:formatCode>
                <c:ptCount val="64"/>
                <c:pt idx="0">
                  <c:v>0</c:v>
                </c:pt>
                <c:pt idx="1">
                  <c:v>0.51953801267798427</c:v>
                </c:pt>
                <c:pt idx="2">
                  <c:v>1.0340725902855121</c:v>
                </c:pt>
                <c:pt idx="3">
                  <c:v>1.5386484835670118</c:v>
                </c:pt>
                <c:pt idx="4">
                  <c:v>2.028406350840942</c:v>
                </c:pt>
                <c:pt idx="5">
                  <c:v>2.4986295561165699</c:v>
                </c:pt>
                <c:pt idx="6">
                  <c:v>2.9447895928769405</c:v>
                </c:pt>
                <c:pt idx="7">
                  <c:v>3.3625896960721668</c:v>
                </c:pt>
                <c:pt idx="8">
                  <c:v>3.7480062223157087</c:v>
                </c:pt>
                <c:pt idx="9">
                  <c:v>4.0973273997697373</c:v>
                </c:pt>
                <c:pt idx="10">
                  <c:v>4.4071890745369888</c:v>
                </c:pt>
                <c:pt idx="11">
                  <c:v>4.6746071093018342</c:v>
                </c:pt>
                <c:pt idx="12">
                  <c:v>4.8970061222039201</c:v>
                </c:pt>
                <c:pt idx="13">
                  <c:v>5.0722442891733319</c:v>
                </c:pt>
                <c:pt idx="14">
                  <c:v>5.1986339708672267</c:v>
                </c:pt>
                <c:pt idx="15">
                  <c:v>5.274957965559266</c:v>
                </c:pt>
                <c:pt idx="16">
                  <c:v>5.3004812314576251</c:v>
                </c:pt>
                <c:pt idx="17">
                  <c:v>5.274957965559266</c:v>
                </c:pt>
                <c:pt idx="18">
                  <c:v>5.1986339708672267</c:v>
                </c:pt>
                <c:pt idx="19">
                  <c:v>5.0722442891733319</c:v>
                </c:pt>
                <c:pt idx="20">
                  <c:v>4.8970061222039201</c:v>
                </c:pt>
                <c:pt idx="21">
                  <c:v>4.6746071093018351</c:v>
                </c:pt>
                <c:pt idx="22">
                  <c:v>4.4071890745369906</c:v>
                </c:pt>
                <c:pt idx="23">
                  <c:v>4.0973273997697381</c:v>
                </c:pt>
                <c:pt idx="24">
                  <c:v>3.7480062223157091</c:v>
                </c:pt>
                <c:pt idx="25">
                  <c:v>3.3625896960721668</c:v>
                </c:pt>
                <c:pt idx="26">
                  <c:v>2.9447895928769405</c:v>
                </c:pt>
                <c:pt idx="27">
                  <c:v>2.4986295561165712</c:v>
                </c:pt>
                <c:pt idx="28">
                  <c:v>2.0284063508409425</c:v>
                </c:pt>
                <c:pt idx="29">
                  <c:v>1.538648483567012</c:v>
                </c:pt>
                <c:pt idx="30">
                  <c:v>1.0340725902855139</c:v>
                </c:pt>
                <c:pt idx="31">
                  <c:v>0.51953801267798538</c:v>
                </c:pt>
                <c:pt idx="32">
                  <c:v>6.4938763909924491E-16</c:v>
                </c:pt>
                <c:pt idx="33">
                  <c:v>-0.51953801267798416</c:v>
                </c:pt>
                <c:pt idx="34">
                  <c:v>-1.0340725902855126</c:v>
                </c:pt>
                <c:pt idx="35">
                  <c:v>-1.5386484835670107</c:v>
                </c:pt>
                <c:pt idx="36">
                  <c:v>-2.0284063508409411</c:v>
                </c:pt>
                <c:pt idx="37">
                  <c:v>-2.4986295561165699</c:v>
                </c:pt>
                <c:pt idx="38">
                  <c:v>-2.9447895928769396</c:v>
                </c:pt>
                <c:pt idx="39">
                  <c:v>-3.3625896960721655</c:v>
                </c:pt>
                <c:pt idx="40">
                  <c:v>-3.7480062223157087</c:v>
                </c:pt>
                <c:pt idx="41">
                  <c:v>-4.0973273997697355</c:v>
                </c:pt>
                <c:pt idx="42">
                  <c:v>-4.4071890745369888</c:v>
                </c:pt>
                <c:pt idx="43">
                  <c:v>-4.6746071093018342</c:v>
                </c:pt>
                <c:pt idx="44">
                  <c:v>-4.8970061222039192</c:v>
                </c:pt>
                <c:pt idx="45">
                  <c:v>-5.072244289173331</c:v>
                </c:pt>
                <c:pt idx="46">
                  <c:v>-5.1986339708672267</c:v>
                </c:pt>
                <c:pt idx="47">
                  <c:v>-5.274957965559266</c:v>
                </c:pt>
                <c:pt idx="48">
                  <c:v>-5.3004812314576251</c:v>
                </c:pt>
                <c:pt idx="49">
                  <c:v>-5.274957965559266</c:v>
                </c:pt>
                <c:pt idx="50">
                  <c:v>-5.1986339708672267</c:v>
                </c:pt>
                <c:pt idx="51">
                  <c:v>-5.0722442891733319</c:v>
                </c:pt>
                <c:pt idx="52">
                  <c:v>-4.8970061222039192</c:v>
                </c:pt>
                <c:pt idx="53">
                  <c:v>-4.6746071093018351</c:v>
                </c:pt>
                <c:pt idx="54">
                  <c:v>-4.4071890745369906</c:v>
                </c:pt>
                <c:pt idx="55">
                  <c:v>-4.0973273997697364</c:v>
                </c:pt>
                <c:pt idx="56">
                  <c:v>-3.7480062223157096</c:v>
                </c:pt>
                <c:pt idx="57">
                  <c:v>-3.3625896960721691</c:v>
                </c:pt>
                <c:pt idx="58">
                  <c:v>-2.9447895928769405</c:v>
                </c:pt>
                <c:pt idx="59">
                  <c:v>-2.4986295561165712</c:v>
                </c:pt>
                <c:pt idx="60">
                  <c:v>-2.0284063508409451</c:v>
                </c:pt>
                <c:pt idx="61">
                  <c:v>-1.5386484835670127</c:v>
                </c:pt>
                <c:pt idx="62">
                  <c:v>-1.0340725902855146</c:v>
                </c:pt>
                <c:pt idx="63">
                  <c:v>-0.51953801267798372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739288"/>
        <c:axId val="537739680"/>
      </c:scatterChart>
      <c:valAx>
        <c:axId val="537739288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Time (°)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5652209025711249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9680"/>
        <c:crosses val="autoZero"/>
        <c:crossBetween val="midCat"/>
        <c:majorUnit val="90"/>
        <c:minorUnit val="30"/>
      </c:valAx>
      <c:valAx>
        <c:axId val="537739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Ia (A)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866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739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468297650084706"/>
          <c:y val="0.45758975440569927"/>
          <c:w val="8.1939799331103624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33</xdr:row>
      <xdr:rowOff>0</xdr:rowOff>
    </xdr:from>
    <xdr:to>
      <xdr:col>3</xdr:col>
      <xdr:colOff>0</xdr:colOff>
      <xdr:row>33</xdr:row>
      <xdr:rowOff>0</xdr:rowOff>
    </xdr:to>
    <xdr:graphicFrame macro="">
      <xdr:nvGraphicFramePr>
        <xdr:cNvPr id="2051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381000</xdr:colOff>
      <xdr:row>1</xdr:row>
      <xdr:rowOff>133350</xdr:rowOff>
    </xdr:from>
    <xdr:to>
      <xdr:col>10</xdr:col>
      <xdr:colOff>142875</xdr:colOff>
      <xdr:row>28</xdr:row>
      <xdr:rowOff>28575</xdr:rowOff>
    </xdr:to>
    <xdr:graphicFrame macro="">
      <xdr:nvGraphicFramePr>
        <xdr:cNvPr id="2051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3</xdr:row>
      <xdr:rowOff>57150</xdr:rowOff>
    </xdr:from>
    <xdr:to>
      <xdr:col>1</xdr:col>
      <xdr:colOff>714375</xdr:colOff>
      <xdr:row>8</xdr:row>
      <xdr:rowOff>95250</xdr:rowOff>
    </xdr:to>
    <xdr:sp macro="" textlink="">
      <xdr:nvSpPr>
        <xdr:cNvPr id="20485" name="Rectangle 5"/>
        <xdr:cNvSpPr>
          <a:spLocks noChangeArrowheads="1"/>
        </xdr:cNvSpPr>
      </xdr:nvSpPr>
      <xdr:spPr bwMode="auto">
        <a:xfrm>
          <a:off x="47625" y="952500"/>
          <a:ext cx="1428750" cy="847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Input values in yellow cells ONLY! Well spaced ascending values from cutoff to saturation.</a:t>
          </a:r>
        </a:p>
      </xdr:txBody>
    </xdr:sp>
    <xdr:clientData/>
  </xdr:twoCellAnchor>
  <xdr:twoCellAnchor>
    <xdr:from>
      <xdr:col>0</xdr:col>
      <xdr:colOff>57150</xdr:colOff>
      <xdr:row>18</xdr:row>
      <xdr:rowOff>19050</xdr:rowOff>
    </xdr:from>
    <xdr:to>
      <xdr:col>1</xdr:col>
      <xdr:colOff>723900</xdr:colOff>
      <xdr:row>21</xdr:row>
      <xdr:rowOff>57150</xdr:rowOff>
    </xdr:to>
    <xdr:sp macro="" textlink="">
      <xdr:nvSpPr>
        <xdr:cNvPr id="20486" name="Rectangle 6"/>
        <xdr:cNvSpPr>
          <a:spLocks noChangeArrowheads="1"/>
        </xdr:cNvSpPr>
      </xdr:nvSpPr>
      <xdr:spPr bwMode="auto">
        <a:xfrm>
          <a:off x="57150" y="3343275"/>
          <a:ext cx="1428750" cy="523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Changing the number of rows above will break the spreadsheet.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8</xdr:col>
      <xdr:colOff>400050</xdr:colOff>
      <xdr:row>0</xdr:row>
      <xdr:rowOff>0</xdr:rowOff>
    </xdr:to>
    <xdr:graphicFrame macro="">
      <xdr:nvGraphicFramePr>
        <xdr:cNvPr id="225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352425</xdr:colOff>
      <xdr:row>1</xdr:row>
      <xdr:rowOff>133350</xdr:rowOff>
    </xdr:from>
    <xdr:to>
      <xdr:col>8</xdr:col>
      <xdr:colOff>523875</xdr:colOff>
      <xdr:row>27</xdr:row>
      <xdr:rowOff>95250</xdr:rowOff>
    </xdr:to>
    <xdr:graphicFrame macro="">
      <xdr:nvGraphicFramePr>
        <xdr:cNvPr id="225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0.5032</cdr:x>
      <cdr:y>0.50147</cdr:y>
    </cdr:from>
    <cdr:to>
      <cdr:x>0.51475</cdr:x>
      <cdr:y>0.54278</cdr:y>
    </cdr:to>
    <cdr:sp macro="" textlink="">
      <cdr:nvSpPr>
        <cdr:cNvPr id="296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4146" y="2147810"/>
          <a:ext cx="65920" cy="176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AU" sz="85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58"/>
  <sheetViews>
    <sheetView tabSelected="1" workbookViewId="0">
      <selection activeCell="A26" sqref="A26"/>
    </sheetView>
  </sheetViews>
  <sheetFormatPr defaultRowHeight="12.75" x14ac:dyDescent="0.2"/>
  <cols>
    <col min="1" max="3" width="11.42578125" customWidth="1"/>
    <col min="4" max="5" width="9.28515625" bestFit="1" customWidth="1"/>
    <col min="6" max="6" width="13.140625" bestFit="1" customWidth="1"/>
    <col min="7" max="7" width="12.85546875" customWidth="1"/>
    <col min="8" max="8" width="11.5703125" customWidth="1"/>
    <col min="9" max="10" width="10.7109375" customWidth="1"/>
  </cols>
  <sheetData>
    <row r="1" spans="1:2" ht="45" x14ac:dyDescent="0.6">
      <c r="A1" s="8" t="s">
        <v>22</v>
      </c>
    </row>
    <row r="11" spans="1:2" x14ac:dyDescent="0.2">
      <c r="A11" s="23" t="s">
        <v>1</v>
      </c>
      <c r="B11" s="23" t="s">
        <v>2</v>
      </c>
    </row>
    <row r="12" spans="1:2" x14ac:dyDescent="0.2">
      <c r="A12" s="9">
        <v>-220</v>
      </c>
      <c r="B12" s="14">
        <v>0</v>
      </c>
    </row>
    <row r="13" spans="1:2" x14ac:dyDescent="0.2">
      <c r="A13" s="9">
        <v>-190</v>
      </c>
      <c r="B13" s="10">
        <v>0.25</v>
      </c>
    </row>
    <row r="14" spans="1:2" x14ac:dyDescent="0.2">
      <c r="A14" s="9">
        <v>-100</v>
      </c>
      <c r="B14" s="10">
        <v>3</v>
      </c>
    </row>
    <row r="15" spans="1:2" x14ac:dyDescent="0.2">
      <c r="A15" s="9">
        <v>-35</v>
      </c>
      <c r="B15" s="10">
        <v>9</v>
      </c>
    </row>
    <row r="16" spans="1:2" x14ac:dyDescent="0.2">
      <c r="A16" s="9">
        <v>10</v>
      </c>
      <c r="B16" s="10">
        <v>15</v>
      </c>
    </row>
    <row r="17" spans="1:2" x14ac:dyDescent="0.2">
      <c r="A17" s="9">
        <v>20</v>
      </c>
      <c r="B17" s="10">
        <v>16</v>
      </c>
    </row>
    <row r="36" spans="1:7" x14ac:dyDescent="0.2">
      <c r="F36" t="s">
        <v>26</v>
      </c>
    </row>
    <row r="37" spans="1:7" x14ac:dyDescent="0.2">
      <c r="A37" s="28" t="s">
        <v>3</v>
      </c>
      <c r="B37" s="28"/>
      <c r="C37" s="28"/>
      <c r="F37" s="15" t="s">
        <v>1</v>
      </c>
      <c r="G37" s="15" t="s">
        <v>2</v>
      </c>
    </row>
    <row r="38" spans="1:7" x14ac:dyDescent="0.2">
      <c r="A38" s="11">
        <f t="array" ref="A38:C43">CSTable(A12:A17,B12:B17)</f>
        <v>-220</v>
      </c>
      <c r="B38" s="11">
        <v>0</v>
      </c>
      <c r="C38" s="11">
        <v>0</v>
      </c>
      <c r="F38" s="24">
        <f>A12</f>
        <v>-220</v>
      </c>
      <c r="G38" s="20">
        <f t="shared" ref="G38:G58" si="0">csinterpolate($A$38:$C$43,F38)</f>
        <v>0</v>
      </c>
    </row>
    <row r="39" spans="1:7" x14ac:dyDescent="0.2">
      <c r="A39" s="11">
        <v>-190</v>
      </c>
      <c r="B39" s="11">
        <v>0.25</v>
      </c>
      <c r="C39" s="11">
        <v>2.4008835046344338E-4</v>
      </c>
      <c r="F39" s="24">
        <f t="shared" ref="F39:F58" si="1">F38+($A$17-$A$12)/20</f>
        <v>-208</v>
      </c>
      <c r="G39" s="20">
        <f t="shared" si="0"/>
        <v>8.7899547136642456E-2</v>
      </c>
    </row>
    <row r="40" spans="1:7" x14ac:dyDescent="0.2">
      <c r="A40" s="11">
        <v>-100</v>
      </c>
      <c r="B40" s="11">
        <v>3</v>
      </c>
      <c r="C40" s="11">
        <v>8.4124588024563226E-4</v>
      </c>
      <c r="F40" s="24">
        <f t="shared" si="1"/>
        <v>-196</v>
      </c>
      <c r="G40" s="20">
        <f t="shared" si="0"/>
        <v>0.18962818325997927</v>
      </c>
    </row>
    <row r="41" spans="1:7" x14ac:dyDescent="0.2">
      <c r="A41" s="11">
        <v>-35</v>
      </c>
      <c r="B41" s="11">
        <v>9</v>
      </c>
      <c r="C41" s="11">
        <v>1.3556714783840721E-3</v>
      </c>
      <c r="F41" s="24">
        <f t="shared" si="1"/>
        <v>-184</v>
      </c>
      <c r="G41" s="20">
        <f t="shared" si="0"/>
        <v>0.31896735741933957</v>
      </c>
    </row>
    <row r="42" spans="1:7" x14ac:dyDescent="0.2">
      <c r="A42" s="11">
        <v>10</v>
      </c>
      <c r="B42" s="11">
        <v>15</v>
      </c>
      <c r="C42" s="11">
        <v>-2.3727746957025743E-3</v>
      </c>
      <c r="F42" s="24">
        <f t="shared" si="1"/>
        <v>-172</v>
      </c>
      <c r="G42" s="20">
        <f t="shared" si="0"/>
        <v>0.48860272371507635</v>
      </c>
    </row>
    <row r="43" spans="1:7" x14ac:dyDescent="0.2">
      <c r="A43" s="11">
        <v>20</v>
      </c>
      <c r="B43" s="11">
        <v>16</v>
      </c>
      <c r="C43" s="11">
        <v>0</v>
      </c>
      <c r="F43" s="24">
        <f t="shared" si="1"/>
        <v>-160</v>
      </c>
      <c r="G43" s="20">
        <f t="shared" si="0"/>
        <v>0.7101241464503032</v>
      </c>
    </row>
    <row r="44" spans="1:7" x14ac:dyDescent="0.2">
      <c r="F44" s="24">
        <f t="shared" si="1"/>
        <v>-148</v>
      </c>
      <c r="G44" s="20">
        <f t="shared" si="0"/>
        <v>0.99507385102111601</v>
      </c>
    </row>
    <row r="45" spans="1:7" x14ac:dyDescent="0.2">
      <c r="F45" s="24">
        <f t="shared" si="1"/>
        <v>-136</v>
      </c>
      <c r="G45" s="20">
        <f t="shared" si="0"/>
        <v>1.3549940603959736</v>
      </c>
    </row>
    <row r="46" spans="1:7" x14ac:dyDescent="0.2">
      <c r="F46" s="24">
        <f t="shared" si="1"/>
        <v>-124</v>
      </c>
      <c r="G46" s="20">
        <f t="shared" si="0"/>
        <v>1.8014270074021148</v>
      </c>
    </row>
    <row r="47" spans="1:7" x14ac:dyDescent="0.2">
      <c r="F47" s="24">
        <f t="shared" si="1"/>
        <v>-112</v>
      </c>
      <c r="G47" s="20">
        <f t="shared" si="0"/>
        <v>2.3459149122486598</v>
      </c>
    </row>
    <row r="48" spans="1:7" x14ac:dyDescent="0.2">
      <c r="F48" s="24">
        <f t="shared" si="1"/>
        <v>-100</v>
      </c>
      <c r="G48" s="20">
        <f t="shared" si="0"/>
        <v>3</v>
      </c>
    </row>
    <row r="49" spans="6:7" x14ac:dyDescent="0.2">
      <c r="F49" s="24">
        <f t="shared" si="1"/>
        <v>-88</v>
      </c>
      <c r="G49" s="20">
        <f t="shared" si="0"/>
        <v>3.775580130622751</v>
      </c>
    </row>
    <row r="50" spans="6:7" x14ac:dyDescent="0.2">
      <c r="F50" s="24">
        <f t="shared" si="1"/>
        <v>-76</v>
      </c>
      <c r="G50" s="20">
        <f t="shared" si="0"/>
        <v>4.6859754642294718</v>
      </c>
    </row>
    <row r="51" spans="6:7" x14ac:dyDescent="0.2">
      <c r="F51" s="24">
        <f t="shared" si="1"/>
        <v>-64</v>
      </c>
      <c r="G51" s="20">
        <f t="shared" si="0"/>
        <v>5.7448617291945654</v>
      </c>
    </row>
    <row r="52" spans="6:7" x14ac:dyDescent="0.2">
      <c r="F52" s="24">
        <f t="shared" si="1"/>
        <v>-52</v>
      </c>
      <c r="G52" s="20">
        <f t="shared" si="0"/>
        <v>6.965914907697468</v>
      </c>
    </row>
    <row r="53" spans="6:7" x14ac:dyDescent="0.2">
      <c r="F53" s="24">
        <f t="shared" si="1"/>
        <v>-40</v>
      </c>
      <c r="G53" s="20">
        <f t="shared" si="0"/>
        <v>8.3628106635331267</v>
      </c>
    </row>
    <row r="54" spans="6:7" x14ac:dyDescent="0.2">
      <c r="F54" s="24">
        <f t="shared" si="1"/>
        <v>-28</v>
      </c>
      <c r="G54" s="20">
        <f t="shared" si="0"/>
        <v>9.9440360315802199</v>
      </c>
    </row>
    <row r="55" spans="6:7" x14ac:dyDescent="0.2">
      <c r="F55" s="24">
        <f t="shared" si="1"/>
        <v>-16</v>
      </c>
      <c r="G55" s="20">
        <f t="shared" si="0"/>
        <v>11.635069942612818</v>
      </c>
    </row>
    <row r="56" spans="6:7" x14ac:dyDescent="0.2">
      <c r="F56" s="24">
        <f t="shared" si="1"/>
        <v>-4</v>
      </c>
      <c r="G56" s="20">
        <f t="shared" si="0"/>
        <v>13.294630752070736</v>
      </c>
    </row>
    <row r="57" spans="6:7" x14ac:dyDescent="0.2">
      <c r="F57" s="24">
        <f t="shared" si="1"/>
        <v>8</v>
      </c>
      <c r="G57" s="20">
        <f t="shared" si="0"/>
        <v>14.779546434312749</v>
      </c>
    </row>
    <row r="58" spans="6:7" x14ac:dyDescent="0.2">
      <c r="F58" s="24">
        <f t="shared" si="1"/>
        <v>20</v>
      </c>
      <c r="G58" s="20">
        <f t="shared" si="0"/>
        <v>16</v>
      </c>
    </row>
  </sheetData>
  <mergeCells count="1">
    <mergeCell ref="A37:C37"/>
  </mergeCells>
  <phoneticPr fontId="0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07"/>
  <sheetViews>
    <sheetView workbookViewId="0">
      <selection activeCell="G44" sqref="G44"/>
    </sheetView>
  </sheetViews>
  <sheetFormatPr defaultRowHeight="12.75" x14ac:dyDescent="0.2"/>
  <cols>
    <col min="1" max="1" width="29.5703125" customWidth="1"/>
    <col min="4" max="4" width="9.28515625" bestFit="1" customWidth="1"/>
    <col min="5" max="5" width="9.5703125" bestFit="1" customWidth="1"/>
    <col min="6" max="6" width="5.42578125" bestFit="1" customWidth="1"/>
    <col min="7" max="7" width="39.85546875" customWidth="1"/>
    <col min="8" max="8" width="9.5703125" bestFit="1" customWidth="1"/>
  </cols>
  <sheetData>
    <row r="1" spans="1:3" ht="45" x14ac:dyDescent="0.6">
      <c r="A1" s="8" t="str">
        <f>Characteristic!A1</f>
        <v>4CX20000 / 8990</v>
      </c>
    </row>
    <row r="3" spans="1:3" ht="20.25" x14ac:dyDescent="0.3">
      <c r="A3" s="13" t="s">
        <v>11</v>
      </c>
    </row>
    <row r="5" spans="1:3" x14ac:dyDescent="0.2">
      <c r="A5" s="22" t="s">
        <v>20</v>
      </c>
    </row>
    <row r="6" spans="1:3" x14ac:dyDescent="0.2">
      <c r="A6" s="15" t="s">
        <v>12</v>
      </c>
      <c r="B6" s="16">
        <v>0.9</v>
      </c>
    </row>
    <row r="7" spans="1:3" x14ac:dyDescent="0.2">
      <c r="A7" s="15" t="s">
        <v>23</v>
      </c>
      <c r="B7" s="17">
        <v>9000</v>
      </c>
    </row>
    <row r="8" spans="1:3" x14ac:dyDescent="0.2">
      <c r="A8" s="15" t="s">
        <v>24</v>
      </c>
      <c r="B8" s="17">
        <v>10000</v>
      </c>
    </row>
    <row r="9" spans="1:3" x14ac:dyDescent="0.2">
      <c r="A9" s="15" t="s">
        <v>25</v>
      </c>
      <c r="B9" s="18">
        <v>-400</v>
      </c>
    </row>
    <row r="10" spans="1:3" x14ac:dyDescent="0.2">
      <c r="A10" s="15" t="s">
        <v>35</v>
      </c>
      <c r="B10" s="18">
        <v>420</v>
      </c>
    </row>
    <row r="11" spans="1:3" x14ac:dyDescent="0.2">
      <c r="C11" s="5"/>
    </row>
    <row r="12" spans="1:3" x14ac:dyDescent="0.2">
      <c r="C12" s="5"/>
    </row>
    <row r="13" spans="1:3" x14ac:dyDescent="0.2">
      <c r="A13" s="22" t="s">
        <v>21</v>
      </c>
      <c r="C13" s="6"/>
    </row>
    <row r="14" spans="1:3" x14ac:dyDescent="0.2">
      <c r="A14" s="15" t="s">
        <v>5</v>
      </c>
      <c r="B14" s="17">
        <v>1</v>
      </c>
      <c r="C14" s="7"/>
    </row>
    <row r="15" spans="1:3" x14ac:dyDescent="0.2">
      <c r="A15" s="15" t="s">
        <v>18</v>
      </c>
      <c r="B15" s="20">
        <f>IF(B9&lt;cutoff,0,$B$14*csinterpolate(CSIT,B9))</f>
        <v>0</v>
      </c>
      <c r="C15" s="7"/>
    </row>
    <row r="16" spans="1:3" x14ac:dyDescent="0.2">
      <c r="A16" s="15" t="s">
        <v>16</v>
      </c>
      <c r="B16" s="20">
        <f>$B$14*csinterpolate(CSIT,B10+B9)</f>
        <v>16</v>
      </c>
      <c r="C16" s="5"/>
    </row>
    <row r="17" spans="1:6" x14ac:dyDescent="0.2">
      <c r="A17" s="15" t="s">
        <v>17</v>
      </c>
      <c r="B17" s="20">
        <f ca="1">$B$14*H44</f>
        <v>2.8691868250111252</v>
      </c>
      <c r="C17" s="7"/>
    </row>
    <row r="18" spans="1:6" x14ac:dyDescent="0.2">
      <c r="A18" s="15" t="s">
        <v>19</v>
      </c>
      <c r="B18" s="20">
        <f ca="1">$B$14*H45</f>
        <v>5.3004812314576251</v>
      </c>
    </row>
    <row r="19" spans="1:6" x14ac:dyDescent="0.2">
      <c r="A19" s="15" t="s">
        <v>15</v>
      </c>
      <c r="B19" s="19">
        <f ca="1">$B$14*B7*H45/2</f>
        <v>23852.165541559312</v>
      </c>
    </row>
    <row r="20" spans="1:6" x14ac:dyDescent="0.2">
      <c r="A20" s="15" t="s">
        <v>40</v>
      </c>
      <c r="B20" s="19">
        <f ca="1">B8*B17-B19</f>
        <v>4839.7027085519403</v>
      </c>
    </row>
    <row r="21" spans="1:6" x14ac:dyDescent="0.2">
      <c r="A21" s="15" t="s">
        <v>27</v>
      </c>
      <c r="B21" s="21">
        <f ca="1">B19/(B8*B17)</f>
        <v>0.83132145085975107</v>
      </c>
      <c r="F21" s="3"/>
    </row>
    <row r="22" spans="1:6" x14ac:dyDescent="0.2">
      <c r="A22" s="15" t="s">
        <v>13</v>
      </c>
      <c r="B22" s="19">
        <f ca="1">B7/H45/B14</f>
        <v>1697.9590356034546</v>
      </c>
    </row>
    <row r="23" spans="1:6" x14ac:dyDescent="0.2">
      <c r="A23" s="15" t="s">
        <v>14</v>
      </c>
      <c r="B23" s="19">
        <f ca="1">B6*B19</f>
        <v>21466.948987403382</v>
      </c>
    </row>
    <row r="24" spans="1:6" x14ac:dyDescent="0.2">
      <c r="A24" s="15" t="s">
        <v>28</v>
      </c>
      <c r="B24" s="21">
        <f ca="1">B19/(B8*B17)*B6</f>
        <v>0.74818930577377596</v>
      </c>
    </row>
    <row r="32" spans="1:6" x14ac:dyDescent="0.2">
      <c r="B32" s="2"/>
    </row>
    <row r="41" spans="1:10" x14ac:dyDescent="0.2">
      <c r="A41" t="s">
        <v>4</v>
      </c>
      <c r="B41">
        <v>64</v>
      </c>
    </row>
    <row r="43" spans="1:10" x14ac:dyDescent="0.2">
      <c r="A43" s="12" t="s">
        <v>0</v>
      </c>
      <c r="B43" s="12" t="s">
        <v>1</v>
      </c>
      <c r="C43" s="12" t="s">
        <v>2</v>
      </c>
      <c r="D43" s="12" t="s">
        <v>9</v>
      </c>
      <c r="E43" s="12" t="s">
        <v>10</v>
      </c>
      <c r="F43" t="s">
        <v>7</v>
      </c>
      <c r="G43" t="s">
        <v>6</v>
      </c>
      <c r="H43" t="s">
        <v>8</v>
      </c>
    </row>
    <row r="44" spans="1:10" x14ac:dyDescent="0.2">
      <c r="A44" s="3">
        <v>0</v>
      </c>
      <c r="B44" s="2">
        <f t="shared" ref="B44:B75" ca="1" si="0">$B$9+$B$10*SIN((CELL("row",B44)-CELL("row",$B$44))*2*PI()/$B$41)</f>
        <v>-400</v>
      </c>
      <c r="C44" s="2">
        <f ca="1">IF(B44&lt;cutoff,0,csinterpolate(CSIT,B44))</f>
        <v>0</v>
      </c>
      <c r="D44" s="1">
        <f ca="1">$H$45*SIN((CELL("row",B44)-CELL("row",$B$44))*2*PI()/$B$41)</f>
        <v>0</v>
      </c>
      <c r="E44" s="4">
        <f ca="1">$H$44</f>
        <v>2.8691868250111252</v>
      </c>
      <c r="F44">
        <v>0</v>
      </c>
      <c r="G44" t="str">
        <f t="array" aca="1" ref="G44:G107" ca="1">fft(C44:C107)</f>
        <v>183.627956800712</v>
      </c>
      <c r="H44" s="4">
        <f ca="1">IMABS(G44)/$B$41</f>
        <v>2.8691868250111252</v>
      </c>
      <c r="J44" s="3"/>
    </row>
    <row r="45" spans="1:10" x14ac:dyDescent="0.2">
      <c r="A45" s="3">
        <f t="shared" ref="A45:A76" si="1">A44+1/$B$41*360</f>
        <v>5.625</v>
      </c>
      <c r="B45" s="2">
        <f t="shared" ca="1" si="0"/>
        <v>-358.83280106158452</v>
      </c>
      <c r="C45" s="2">
        <f t="shared" ref="C45:C107" ca="1" si="2">IF(B45&lt;cutoff,0,csinterpolate(CSIT,B45))</f>
        <v>0</v>
      </c>
      <c r="D45" s="1">
        <f t="shared" ref="D45:D75" ca="1" si="3">$H$45*SIN((CELL("row",B45)-CELL("row",$B$44))*2*PI()/$B$41)</f>
        <v>0.51953801267798427</v>
      </c>
      <c r="E45" s="4">
        <f t="shared" ref="E45:E107" ca="1" si="4">$H$44</f>
        <v>2.8691868250111252</v>
      </c>
      <c r="F45">
        <v>1</v>
      </c>
      <c r="G45" t="str">
        <f ca="1"/>
        <v>-2.42091503094288E-14-169.615399406644i</v>
      </c>
      <c r="H45" s="4">
        <f t="shared" ref="H45:H75" ca="1" si="5">IMABS(G45)/$B$41*2</f>
        <v>5.3004812314576251</v>
      </c>
      <c r="J45" s="3"/>
    </row>
    <row r="46" spans="1:10" x14ac:dyDescent="0.2">
      <c r="A46" s="3">
        <f t="shared" si="1"/>
        <v>11.25</v>
      </c>
      <c r="B46" s="2">
        <f t="shared" ca="1" si="0"/>
        <v>-318.06206475322614</v>
      </c>
      <c r="C46" s="2">
        <f t="shared" ca="1" si="2"/>
        <v>0</v>
      </c>
      <c r="D46" s="1">
        <f t="shared" ca="1" si="3"/>
        <v>1.0340725902855121</v>
      </c>
      <c r="E46" s="4">
        <f t="shared" ca="1" si="4"/>
        <v>2.8691868250111252</v>
      </c>
      <c r="F46">
        <v>2</v>
      </c>
      <c r="G46" t="str">
        <f ca="1"/>
        <v>-132.663495934985+4.27912913436579E-14i</v>
      </c>
      <c r="H46" s="4">
        <f t="shared" ca="1" si="5"/>
        <v>4.1457342479682815</v>
      </c>
      <c r="J46" s="3"/>
    </row>
    <row r="47" spans="1:10" x14ac:dyDescent="0.2">
      <c r="A47" s="3">
        <f t="shared" si="1"/>
        <v>16.875</v>
      </c>
      <c r="B47" s="2">
        <f t="shared" ca="1" si="0"/>
        <v>-278.08043555312582</v>
      </c>
      <c r="C47" s="2">
        <f t="shared" ca="1" si="2"/>
        <v>0</v>
      </c>
      <c r="D47" s="1">
        <f t="shared" ca="1" si="3"/>
        <v>1.5386484835670118</v>
      </c>
      <c r="E47" s="4">
        <f t="shared" ca="1" si="4"/>
        <v>2.8691868250111252</v>
      </c>
      <c r="F47">
        <v>3</v>
      </c>
      <c r="G47" t="str">
        <f ca="1"/>
        <v>5.2318175833288E-14+85.4347959611669i</v>
      </c>
      <c r="H47" s="4">
        <f t="shared" ca="1" si="5"/>
        <v>2.6698373737864656</v>
      </c>
      <c r="J47" s="3"/>
    </row>
    <row r="48" spans="1:10" x14ac:dyDescent="0.2">
      <c r="A48" s="3">
        <f t="shared" si="1"/>
        <v>22.5</v>
      </c>
      <c r="B48" s="2">
        <f t="shared" ca="1" si="0"/>
        <v>-239.2729584066623</v>
      </c>
      <c r="C48" s="2">
        <f t="shared" ca="1" si="2"/>
        <v>0</v>
      </c>
      <c r="D48" s="1">
        <f t="shared" ca="1" si="3"/>
        <v>2.028406350840942</v>
      </c>
      <c r="E48" s="4">
        <f t="shared" ca="1" si="4"/>
        <v>2.8691868250111252</v>
      </c>
      <c r="F48">
        <v>4</v>
      </c>
      <c r="G48" t="str">
        <f ca="1"/>
        <v>41.9908798599368-6.34223576434501E-14i</v>
      </c>
      <c r="H48" s="4">
        <f t="shared" ca="1" si="5"/>
        <v>1.3122149956230249</v>
      </c>
      <c r="J48" s="3"/>
    </row>
    <row r="49" spans="1:10" x14ac:dyDescent="0.2">
      <c r="A49" s="3">
        <f t="shared" si="1"/>
        <v>28.125</v>
      </c>
      <c r="B49" s="2">
        <f t="shared" ca="1" si="0"/>
        <v>-202.013370533081</v>
      </c>
      <c r="C49" s="2">
        <f t="shared" ca="1" si="2"/>
        <v>0.13605821873367774</v>
      </c>
      <c r="D49" s="1">
        <f t="shared" ca="1" si="3"/>
        <v>2.4986295561165699</v>
      </c>
      <c r="E49" s="4">
        <f t="shared" ca="1" si="4"/>
        <v>2.8691868250111252</v>
      </c>
      <c r="F49">
        <v>5</v>
      </c>
      <c r="G49" t="str">
        <f ca="1"/>
        <v>-5.00279071641296E-14-11.7235781504667i</v>
      </c>
      <c r="H49" s="4">
        <f t="shared" ca="1" si="5"/>
        <v>0.36636181720208438</v>
      </c>
      <c r="J49" s="3"/>
    </row>
    <row r="50" spans="1:10" x14ac:dyDescent="0.2">
      <c r="A50" s="3">
        <f t="shared" si="1"/>
        <v>33.75</v>
      </c>
      <c r="B50" s="2">
        <f t="shared" ca="1" si="0"/>
        <v>-166.66050213176709</v>
      </c>
      <c r="C50" s="2">
        <f t="shared" ca="1" si="2"/>
        <v>0.5800768166854593</v>
      </c>
      <c r="D50" s="1">
        <f t="shared" ca="1" si="3"/>
        <v>2.9447895928769405</v>
      </c>
      <c r="E50" s="4">
        <f t="shared" ca="1" si="4"/>
        <v>2.8691868250111252</v>
      </c>
      <c r="F50">
        <v>6</v>
      </c>
      <c r="G50" t="str">
        <f ca="1"/>
        <v>3.34640132177971+4.53303437538202E-14i</v>
      </c>
      <c r="H50" s="4">
        <f t="shared" ca="1" si="5"/>
        <v>0.10457504130561594</v>
      </c>
      <c r="J50" s="3"/>
    </row>
    <row r="51" spans="1:10" x14ac:dyDescent="0.2">
      <c r="A51" s="3">
        <f t="shared" si="1"/>
        <v>39.375</v>
      </c>
      <c r="B51" s="2">
        <f t="shared" ca="1" si="0"/>
        <v>-133.55482065126887</v>
      </c>
      <c r="C51" s="2">
        <f t="shared" ca="1" si="2"/>
        <v>1.4385676170246726</v>
      </c>
      <c r="D51" s="1">
        <f t="shared" ca="1" si="3"/>
        <v>3.3625896960721668</v>
      </c>
      <c r="E51" s="4">
        <f t="shared" ca="1" si="4"/>
        <v>2.8691868250111252</v>
      </c>
      <c r="F51">
        <v>7</v>
      </c>
      <c r="G51" t="str">
        <f ca="1"/>
        <v>3.87729941469378E-14-7.10293578141068i</v>
      </c>
      <c r="H51" s="4">
        <f t="shared" ca="1" si="5"/>
        <v>0.22196674316908374</v>
      </c>
      <c r="J51" s="3"/>
    </row>
    <row r="52" spans="1:10" x14ac:dyDescent="0.2">
      <c r="A52" s="3">
        <f t="shared" si="1"/>
        <v>45</v>
      </c>
      <c r="B52" s="2">
        <f t="shared" ca="1" si="0"/>
        <v>-103.01515190165009</v>
      </c>
      <c r="C52" s="2">
        <f t="shared" ca="1" si="2"/>
        <v>2.8247107191906693</v>
      </c>
      <c r="D52" s="1">
        <f t="shared" ca="1" si="3"/>
        <v>3.7480062223157087</v>
      </c>
      <c r="E52" s="4">
        <f t="shared" ca="1" si="4"/>
        <v>2.8691868250111252</v>
      </c>
      <c r="F52">
        <v>8</v>
      </c>
      <c r="G52" t="str">
        <f ca="1"/>
        <v>-5.49097218197111-3.2048365697368E-14i</v>
      </c>
      <c r="H52" s="4">
        <f t="shared" ca="1" si="5"/>
        <v>0.1715928806865972</v>
      </c>
      <c r="J52" s="3"/>
    </row>
    <row r="53" spans="1:10" x14ac:dyDescent="0.2">
      <c r="A53" s="3">
        <f t="shared" si="1"/>
        <v>50.625</v>
      </c>
      <c r="B53" s="2">
        <f t="shared" ca="1" si="0"/>
        <v>-75.335609587650481</v>
      </c>
      <c r="C53" s="2">
        <f t="shared" ca="1" si="2"/>
        <v>4.7405926436948906</v>
      </c>
      <c r="D53" s="1">
        <f t="shared" ca="1" si="3"/>
        <v>4.0973273997697373</v>
      </c>
      <c r="E53" s="4">
        <f t="shared" ca="1" si="4"/>
        <v>2.8691868250111252</v>
      </c>
      <c r="F53">
        <v>9</v>
      </c>
      <c r="G53" t="str">
        <f ca="1"/>
        <v>-4.7871862723925E-14+3.05588918000276i</v>
      </c>
      <c r="H53" s="4">
        <f t="shared" ca="1" si="5"/>
        <v>9.5496536875086246E-2</v>
      </c>
      <c r="J53" s="3"/>
    </row>
    <row r="54" spans="1:10" x14ac:dyDescent="0.2">
      <c r="A54" s="3">
        <f t="shared" si="1"/>
        <v>56.25</v>
      </c>
      <c r="B54" s="2">
        <f t="shared" ca="1" si="0"/>
        <v>-50.782762832930985</v>
      </c>
      <c r="C54" s="2">
        <f t="shared" ca="1" si="2"/>
        <v>7.0993684063802167</v>
      </c>
      <c r="D54" s="1">
        <f t="shared" ca="1" si="3"/>
        <v>4.4071890745369888</v>
      </c>
      <c r="E54" s="4">
        <f t="shared" ca="1" si="4"/>
        <v>2.8691868250111252</v>
      </c>
      <c r="F54">
        <v>10</v>
      </c>
      <c r="G54" t="str">
        <f ca="1"/>
        <v>1.62811040185494+5.81467789499343E-14i</v>
      </c>
      <c r="H54" s="4">
        <f t="shared" ca="1" si="5"/>
        <v>5.0878450057966873E-2</v>
      </c>
      <c r="J54" s="3"/>
    </row>
    <row r="55" spans="1:10" x14ac:dyDescent="0.2">
      <c r="A55" s="3">
        <f t="shared" si="1"/>
        <v>61.875</v>
      </c>
      <c r="B55" s="2">
        <f t="shared" ca="1" si="0"/>
        <v>-29.593068973690947</v>
      </c>
      <c r="C55" s="2">
        <f t="shared" ca="1" si="2"/>
        <v>9.724828167898389</v>
      </c>
      <c r="D55" s="1">
        <f t="shared" ca="1" si="3"/>
        <v>4.6746071093018342</v>
      </c>
      <c r="E55" s="4">
        <f t="shared" ca="1" si="4"/>
        <v>2.8691868250111252</v>
      </c>
      <c r="F55">
        <v>11</v>
      </c>
      <c r="G55" t="str">
        <f ca="1"/>
        <v>7.75995749862507E-14-1.05867315133282i</v>
      </c>
      <c r="H55" s="4">
        <f t="shared" ca="1" si="5"/>
        <v>3.3083535979150626E-2</v>
      </c>
      <c r="J55" s="3"/>
    </row>
    <row r="56" spans="1:10" x14ac:dyDescent="0.2">
      <c r="A56" s="3">
        <f t="shared" si="1"/>
        <v>67.5</v>
      </c>
      <c r="B56" s="2">
        <f t="shared" ca="1" si="0"/>
        <v>-11.970596345259594</v>
      </c>
      <c r="C56" s="2">
        <f t="shared" ca="1" si="2"/>
        <v>12.202941933726827</v>
      </c>
      <c r="D56" s="1">
        <f t="shared" ca="1" si="3"/>
        <v>4.8970061222039201</v>
      </c>
      <c r="E56" s="4">
        <f t="shared" ca="1" si="4"/>
        <v>2.8691868250111252</v>
      </c>
      <c r="F56">
        <v>12</v>
      </c>
      <c r="G56" t="str">
        <f ca="1"/>
        <v>-0.677227911040638-9.54565745024671E-14i</v>
      </c>
      <c r="H56" s="4">
        <f t="shared" ca="1" si="5"/>
        <v>2.1163372220019936E-2</v>
      </c>
      <c r="J56" s="3"/>
    </row>
    <row r="57" spans="1:10" x14ac:dyDescent="0.2">
      <c r="A57" s="3">
        <f t="shared" si="1"/>
        <v>73.125</v>
      </c>
      <c r="B57" s="2">
        <f t="shared" ca="1" si="0"/>
        <v>1.9149410075277729</v>
      </c>
      <c r="C57" s="2">
        <f t="shared" ca="1" si="2"/>
        <v>14.057293556999037</v>
      </c>
      <c r="D57" s="1">
        <f t="shared" ca="1" si="3"/>
        <v>5.0722442891733319</v>
      </c>
      <c r="E57" s="4">
        <f t="shared" ca="1" si="4"/>
        <v>2.8691868250111252</v>
      </c>
      <c r="F57">
        <v>13</v>
      </c>
      <c r="G57" t="str">
        <f ca="1"/>
        <v>-1.10218918817099E-13+0.210067262788652i</v>
      </c>
      <c r="H57" s="4">
        <f t="shared" ca="1" si="5"/>
        <v>6.5646019621453753E-3</v>
      </c>
      <c r="J57" s="3"/>
    </row>
    <row r="58" spans="1:10" x14ac:dyDescent="0.2">
      <c r="A58" s="3">
        <f t="shared" si="1"/>
        <v>78.75</v>
      </c>
      <c r="B58" s="2">
        <f t="shared" ca="1" si="0"/>
        <v>11.92981776935676</v>
      </c>
      <c r="C58" s="2">
        <f t="shared" ca="1" si="2"/>
        <v>15.204111026606274</v>
      </c>
      <c r="D58" s="1">
        <f t="shared" ca="1" si="3"/>
        <v>5.1986339708672267</v>
      </c>
      <c r="E58" s="4">
        <f t="shared" ca="1" si="4"/>
        <v>2.8691868250111252</v>
      </c>
      <c r="F58">
        <v>14</v>
      </c>
      <c r="G58" t="str">
        <f ca="1"/>
        <v>-0.190113691795581+1.19616825599851E-13i</v>
      </c>
      <c r="H58" s="4">
        <f t="shared" ca="1" si="5"/>
        <v>5.941052868611906E-3</v>
      </c>
      <c r="J58" s="3"/>
    </row>
    <row r="59" spans="1:10" x14ac:dyDescent="0.2">
      <c r="A59" s="3">
        <f t="shared" si="1"/>
        <v>84.375</v>
      </c>
      <c r="B59" s="2">
        <f t="shared" ca="1" si="0"/>
        <v>17.977585202322643</v>
      </c>
      <c r="C59" s="2">
        <f t="shared" ca="1" si="2"/>
        <v>15.805429293416008</v>
      </c>
      <c r="D59" s="1">
        <f t="shared" ca="1" si="3"/>
        <v>5.274957965559266</v>
      </c>
      <c r="E59" s="4">
        <f t="shared" ca="1" si="4"/>
        <v>2.8691868250111252</v>
      </c>
      <c r="F59">
        <v>15</v>
      </c>
      <c r="G59" t="str">
        <f ca="1"/>
        <v>1.32334304477836E-13+0.343485887943644i</v>
      </c>
      <c r="H59" s="4">
        <f t="shared" ca="1" si="5"/>
        <v>1.0733933998238875E-2</v>
      </c>
      <c r="J59" s="3"/>
    </row>
    <row r="60" spans="1:10" x14ac:dyDescent="0.2">
      <c r="A60" s="3">
        <f t="shared" si="1"/>
        <v>90</v>
      </c>
      <c r="B60" s="2">
        <f t="shared" ca="1" si="0"/>
        <v>20</v>
      </c>
      <c r="C60" s="2">
        <f t="shared" ca="1" si="2"/>
        <v>16</v>
      </c>
      <c r="D60" s="1">
        <f t="shared" ca="1" si="3"/>
        <v>5.3004812314576251</v>
      </c>
      <c r="E60" s="4">
        <f t="shared" ca="1" si="4"/>
        <v>2.8691868250111252</v>
      </c>
      <c r="F60">
        <v>16</v>
      </c>
      <c r="G60" t="str">
        <f ca="1"/>
        <v>0.288192806491082-9.94759830064141E-14i</v>
      </c>
      <c r="H60" s="4">
        <f t="shared" ca="1" si="5"/>
        <v>9.0060252028463118E-3</v>
      </c>
      <c r="J60" s="3"/>
    </row>
    <row r="61" spans="1:10" x14ac:dyDescent="0.2">
      <c r="A61" s="3">
        <f t="shared" si="1"/>
        <v>95.625</v>
      </c>
      <c r="B61" s="2">
        <f t="shared" ca="1" si="0"/>
        <v>17.9775852023227</v>
      </c>
      <c r="C61" s="2">
        <f t="shared" ca="1" si="2"/>
        <v>15.805429293416099</v>
      </c>
      <c r="D61" s="1">
        <f t="shared" ca="1" si="3"/>
        <v>5.274957965559266</v>
      </c>
      <c r="E61" s="4">
        <f t="shared" ca="1" si="4"/>
        <v>2.8691868250111252</v>
      </c>
      <c r="F61">
        <v>17</v>
      </c>
      <c r="G61" t="str">
        <f ca="1"/>
        <v>-1.02908987636361E-13-0.193592465060267i</v>
      </c>
      <c r="H61" s="4">
        <f t="shared" ca="1" si="5"/>
        <v>6.0497645331333439E-3</v>
      </c>
      <c r="J61" s="3"/>
    </row>
    <row r="62" spans="1:10" x14ac:dyDescent="0.2">
      <c r="A62" s="3">
        <f t="shared" si="1"/>
        <v>101.25</v>
      </c>
      <c r="B62" s="2">
        <f t="shared" ca="1" si="0"/>
        <v>11.92981776935676</v>
      </c>
      <c r="C62" s="2">
        <f t="shared" ca="1" si="2"/>
        <v>15.204111026606274</v>
      </c>
      <c r="D62" s="1">
        <f t="shared" ca="1" si="3"/>
        <v>5.1986339708672267</v>
      </c>
      <c r="E62" s="4">
        <f t="shared" ca="1" si="4"/>
        <v>2.8691868250111252</v>
      </c>
      <c r="F62">
        <v>18</v>
      </c>
      <c r="G62" t="str">
        <f ca="1"/>
        <v>-0.158650796684273+1.00069706727385E-13i</v>
      </c>
      <c r="H62" s="4">
        <f t="shared" ca="1" si="5"/>
        <v>4.9578373963835316E-3</v>
      </c>
      <c r="J62" s="3"/>
    </row>
    <row r="63" spans="1:10" x14ac:dyDescent="0.2">
      <c r="A63" s="3">
        <f t="shared" si="1"/>
        <v>106.875</v>
      </c>
      <c r="B63" s="2">
        <f t="shared" ca="1" si="0"/>
        <v>1.9149410075277729</v>
      </c>
      <c r="C63" s="2">
        <f t="shared" ca="1" si="2"/>
        <v>14.057293556999037</v>
      </c>
      <c r="D63" s="1">
        <f t="shared" ca="1" si="3"/>
        <v>5.0722442891733319</v>
      </c>
      <c r="E63" s="4">
        <f t="shared" ca="1" si="4"/>
        <v>2.8691868250111252</v>
      </c>
      <c r="F63">
        <v>19</v>
      </c>
      <c r="G63" t="str">
        <f ca="1"/>
        <v>9.75103922303336E-14+0.148803946162042i</v>
      </c>
      <c r="H63" s="4">
        <f t="shared" ca="1" si="5"/>
        <v>4.6501233175638128E-3</v>
      </c>
      <c r="J63" s="3"/>
    </row>
    <row r="64" spans="1:10" x14ac:dyDescent="0.2">
      <c r="A64" s="3">
        <f t="shared" si="1"/>
        <v>112.5</v>
      </c>
      <c r="B64" s="2">
        <f t="shared" ca="1" si="0"/>
        <v>-11.970596345259594</v>
      </c>
      <c r="C64" s="2">
        <f t="shared" ca="1" si="2"/>
        <v>12.202941933726827</v>
      </c>
      <c r="D64" s="1">
        <f t="shared" ca="1" si="3"/>
        <v>4.8970061222039201</v>
      </c>
      <c r="E64" s="4">
        <f t="shared" ca="1" si="4"/>
        <v>2.8691868250111252</v>
      </c>
      <c r="F64">
        <v>20</v>
      </c>
      <c r="G64" t="str">
        <f ca="1"/>
        <v>0.0954161708936554-7.68295881558786E-14i</v>
      </c>
      <c r="H64" s="4">
        <f t="shared" ca="1" si="5"/>
        <v>2.9817553404267311E-3</v>
      </c>
      <c r="J64" s="3"/>
    </row>
    <row r="65" spans="1:10" x14ac:dyDescent="0.2">
      <c r="A65" s="3">
        <f t="shared" si="1"/>
        <v>118.125</v>
      </c>
      <c r="B65" s="2">
        <f t="shared" ca="1" si="0"/>
        <v>-29.59306897369089</v>
      </c>
      <c r="C65" s="2">
        <f t="shared" ca="1" si="2"/>
        <v>9.7248281678984085</v>
      </c>
      <c r="D65" s="1">
        <f t="shared" ca="1" si="3"/>
        <v>4.6746071093018351</v>
      </c>
      <c r="E65" s="4">
        <f t="shared" ca="1" si="4"/>
        <v>2.8691868250111252</v>
      </c>
      <c r="F65">
        <v>21</v>
      </c>
      <c r="G65" t="str">
        <f ca="1"/>
        <v>-6.81355606700976E-14-0.00107853408534853i</v>
      </c>
      <c r="H65" s="4">
        <f t="shared" ca="1" si="5"/>
        <v>3.3704190167141563E-5</v>
      </c>
      <c r="J65" s="3"/>
    </row>
    <row r="66" spans="1:10" x14ac:dyDescent="0.2">
      <c r="A66" s="3">
        <f t="shared" si="1"/>
        <v>123.75</v>
      </c>
      <c r="B66" s="2">
        <f t="shared" ca="1" si="0"/>
        <v>-50.782762832930928</v>
      </c>
      <c r="C66" s="2">
        <f t="shared" ca="1" si="2"/>
        <v>7.0993684063802247</v>
      </c>
      <c r="D66" s="1">
        <f t="shared" ca="1" si="3"/>
        <v>4.4071890745369906</v>
      </c>
      <c r="E66" s="4">
        <f t="shared" ca="1" si="4"/>
        <v>2.8691868250111252</v>
      </c>
      <c r="F66">
        <v>22</v>
      </c>
      <c r="G66" t="str">
        <f ca="1"/>
        <v>0.0683068753192896+5.65007432116668E-14i</v>
      </c>
      <c r="H66" s="4">
        <f t="shared" ca="1" si="5"/>
        <v>2.1345898537277999E-3</v>
      </c>
      <c r="J66" s="3"/>
    </row>
    <row r="67" spans="1:10" x14ac:dyDescent="0.2">
      <c r="A67" s="3">
        <f t="shared" si="1"/>
        <v>129.375</v>
      </c>
      <c r="B67" s="2">
        <f t="shared" ca="1" si="0"/>
        <v>-75.335609587650424</v>
      </c>
      <c r="C67" s="2">
        <f t="shared" ca="1" si="2"/>
        <v>4.7405926436948977</v>
      </c>
      <c r="D67" s="1">
        <f t="shared" ca="1" si="3"/>
        <v>4.0973273997697381</v>
      </c>
      <c r="E67" s="4">
        <f t="shared" ca="1" si="4"/>
        <v>2.8691868250111252</v>
      </c>
      <c r="F67">
        <v>23</v>
      </c>
      <c r="G67" t="str">
        <f ca="1"/>
        <v>5.25042520311408E-14-0.0679891670529966i</v>
      </c>
      <c r="H67" s="4">
        <f t="shared" ca="1" si="5"/>
        <v>2.1246614704061436E-3</v>
      </c>
      <c r="J67" s="3"/>
    </row>
    <row r="68" spans="1:10" x14ac:dyDescent="0.2">
      <c r="A68" s="3">
        <f t="shared" si="1"/>
        <v>135</v>
      </c>
      <c r="B68" s="2">
        <f t="shared" ca="1" si="0"/>
        <v>-103.01515190165003</v>
      </c>
      <c r="C68" s="2">
        <f t="shared" ca="1" si="2"/>
        <v>2.8247107191906728</v>
      </c>
      <c r="D68" s="1">
        <f t="shared" ca="1" si="3"/>
        <v>3.7480062223157091</v>
      </c>
      <c r="E68" s="4">
        <f t="shared" ca="1" si="4"/>
        <v>2.8691868250111252</v>
      </c>
      <c r="F68">
        <v>24</v>
      </c>
      <c r="G68" t="str">
        <f ca="1"/>
        <v>-0.0219526761735049-5.28359907908671E-14i</v>
      </c>
      <c r="H68" s="4">
        <f t="shared" ca="1" si="5"/>
        <v>6.8602113042202809E-4</v>
      </c>
      <c r="J68" s="3"/>
    </row>
    <row r="69" spans="1:10" x14ac:dyDescent="0.2">
      <c r="A69" s="3">
        <f t="shared" si="1"/>
        <v>140.625</v>
      </c>
      <c r="B69" s="2">
        <f t="shared" ca="1" si="0"/>
        <v>-133.55482065126887</v>
      </c>
      <c r="C69" s="2">
        <f t="shared" ca="1" si="2"/>
        <v>1.4385676170246726</v>
      </c>
      <c r="D69" s="1">
        <f t="shared" ca="1" si="3"/>
        <v>3.3625896960721668</v>
      </c>
      <c r="E69" s="4">
        <f t="shared" ca="1" si="4"/>
        <v>2.8691868250111252</v>
      </c>
      <c r="F69">
        <v>25</v>
      </c>
      <c r="G69" t="str">
        <f ca="1"/>
        <v>-4.99001881482108E-14-0.0134046519555371i</v>
      </c>
      <c r="H69" s="4">
        <f t="shared" ca="1" si="5"/>
        <v>4.1889537361053435E-4</v>
      </c>
      <c r="J69" s="3"/>
    </row>
    <row r="70" spans="1:10" x14ac:dyDescent="0.2">
      <c r="A70" s="3">
        <f t="shared" si="1"/>
        <v>146.25</v>
      </c>
      <c r="B70" s="2">
        <f t="shared" ca="1" si="0"/>
        <v>-166.66050213176709</v>
      </c>
      <c r="C70" s="2">
        <f t="shared" ca="1" si="2"/>
        <v>0.5800768166854593</v>
      </c>
      <c r="D70" s="1">
        <f t="shared" ca="1" si="3"/>
        <v>2.9447895928769405</v>
      </c>
      <c r="E70" s="4">
        <f t="shared" ca="1" si="4"/>
        <v>2.8691868250111252</v>
      </c>
      <c r="F70">
        <v>26</v>
      </c>
      <c r="G70" t="str">
        <f ca="1"/>
        <v>-0.0125546648425836+5.50290742877893E-14i</v>
      </c>
      <c r="H70" s="4">
        <f t="shared" ca="1" si="5"/>
        <v>3.9233327633073751E-4</v>
      </c>
      <c r="J70" s="3"/>
    </row>
    <row r="71" spans="1:10" x14ac:dyDescent="0.2">
      <c r="A71" s="3">
        <f t="shared" si="1"/>
        <v>151.875</v>
      </c>
      <c r="B71" s="2">
        <f t="shared" ca="1" si="0"/>
        <v>-202.01337053308089</v>
      </c>
      <c r="C71" s="2">
        <f t="shared" ca="1" si="2"/>
        <v>0.13605821873367871</v>
      </c>
      <c r="D71" s="1">
        <f t="shared" ca="1" si="3"/>
        <v>2.4986295561165712</v>
      </c>
      <c r="E71" s="4">
        <f t="shared" ca="1" si="4"/>
        <v>2.8691868250111252</v>
      </c>
      <c r="F71">
        <v>27</v>
      </c>
      <c r="G71" t="str">
        <f ca="1"/>
        <v>5.53161032604277E-14-0.00387000186337971i</v>
      </c>
      <c r="H71" s="4">
        <f t="shared" ca="1" si="5"/>
        <v>1.2093755823061593E-4</v>
      </c>
      <c r="J71" s="3"/>
    </row>
    <row r="72" spans="1:10" x14ac:dyDescent="0.2">
      <c r="A72" s="3">
        <f t="shared" si="1"/>
        <v>157.5</v>
      </c>
      <c r="B72" s="2">
        <f t="shared" ca="1" si="0"/>
        <v>-239.27295840666224</v>
      </c>
      <c r="C72" s="2">
        <f t="shared" ca="1" si="2"/>
        <v>0</v>
      </c>
      <c r="D72" s="1">
        <f t="shared" ca="1" si="3"/>
        <v>2.0284063508409425</v>
      </c>
      <c r="E72" s="4">
        <f t="shared" ca="1" si="4"/>
        <v>2.8691868250111252</v>
      </c>
      <c r="F72">
        <v>28</v>
      </c>
      <c r="G72" t="str">
        <f ca="1"/>
        <v>-0.0067538733152368-5.1607156048572E-14i</v>
      </c>
      <c r="H72" s="4">
        <f t="shared" ca="1" si="5"/>
        <v>2.1105854110115E-4</v>
      </c>
      <c r="J72" s="3"/>
    </row>
    <row r="73" spans="1:10" x14ac:dyDescent="0.2">
      <c r="A73" s="3">
        <f t="shared" si="1"/>
        <v>163.125</v>
      </c>
      <c r="B73" s="2">
        <f t="shared" ca="1" si="0"/>
        <v>-278.08043555312577</v>
      </c>
      <c r="C73" s="2">
        <f t="shared" ca="1" si="2"/>
        <v>0</v>
      </c>
      <c r="D73" s="1">
        <f t="shared" ca="1" si="3"/>
        <v>1.538648483567012</v>
      </c>
      <c r="E73" s="4">
        <f t="shared" ca="1" si="4"/>
        <v>2.8691868250111252</v>
      </c>
      <c r="F73">
        <v>29</v>
      </c>
      <c r="G73" t="str">
        <f ca="1"/>
        <v>-4.46591548464159E-14-0.00640015322290566i</v>
      </c>
      <c r="H73" s="4">
        <f t="shared" ca="1" si="5"/>
        <v>2.0000478821580186E-4</v>
      </c>
      <c r="J73" s="3"/>
    </row>
    <row r="74" spans="1:10" x14ac:dyDescent="0.2">
      <c r="A74" s="3">
        <f t="shared" si="1"/>
        <v>168.75</v>
      </c>
      <c r="B74" s="2">
        <f t="shared" ca="1" si="0"/>
        <v>-318.06206475322597</v>
      </c>
      <c r="C74" s="2">
        <f t="shared" ca="1" si="2"/>
        <v>0</v>
      </c>
      <c r="D74" s="1">
        <f t="shared" ca="1" si="3"/>
        <v>1.0340725902855139</v>
      </c>
      <c r="E74" s="4">
        <f t="shared" ca="1" si="4"/>
        <v>2.8691868250111252</v>
      </c>
      <c r="F74">
        <v>30</v>
      </c>
      <c r="G74" t="str">
        <f ca="1"/>
        <v>-0.0180035106461389+3.76903369625481E-14i</v>
      </c>
      <c r="H74" s="4">
        <f t="shared" ca="1" si="5"/>
        <v>5.6260970769184061E-4</v>
      </c>
      <c r="J74" s="3"/>
    </row>
    <row r="75" spans="1:10" x14ac:dyDescent="0.2">
      <c r="A75" s="3">
        <f t="shared" si="1"/>
        <v>174.375</v>
      </c>
      <c r="B75" s="2">
        <f t="shared" ca="1" si="0"/>
        <v>-358.83280106158446</v>
      </c>
      <c r="C75" s="2">
        <f t="shared" ca="1" si="2"/>
        <v>0</v>
      </c>
      <c r="D75" s="1">
        <f t="shared" ca="1" si="3"/>
        <v>0.51953801267798538</v>
      </c>
      <c r="E75" s="4">
        <f t="shared" ca="1" si="4"/>
        <v>2.8691868250111252</v>
      </c>
      <c r="F75">
        <v>31</v>
      </c>
      <c r="G75" t="str">
        <f ca="1"/>
        <v>2.59306465189013E-14+0.0188853877435662i</v>
      </c>
      <c r="H75" s="4">
        <f t="shared" ca="1" si="5"/>
        <v>5.901683669864438E-4</v>
      </c>
      <c r="J75" s="3"/>
    </row>
    <row r="76" spans="1:10" x14ac:dyDescent="0.2">
      <c r="A76" s="3">
        <f t="shared" si="1"/>
        <v>180</v>
      </c>
      <c r="B76" s="2">
        <f t="shared" ref="B76:B107" ca="1" si="6">$B$9+$B$10*SIN((CELL("row",B76)-CELL("row",$B$44))*2*PI()/$B$41)</f>
        <v>-399.99999999999994</v>
      </c>
      <c r="C76" s="2">
        <f t="shared" ca="1" si="2"/>
        <v>0</v>
      </c>
      <c r="D76" s="1">
        <f t="shared" ref="D76:D107" ca="1" si="7">$H$45*SIN((CELL("row",B76)-CELL("row",$B$44))*2*PI()/$B$41)</f>
        <v>6.4938763909924491E-16</v>
      </c>
      <c r="E76" s="4">
        <f t="shared" ca="1" si="4"/>
        <v>2.8691868250111252</v>
      </c>
      <c r="F76">
        <v>32</v>
      </c>
      <c r="G76" t="str">
        <f ca="1"/>
        <v>0.0168788096454335</v>
      </c>
      <c r="H76" s="4">
        <f ca="1">IMABS(G76)/$B$41</f>
        <v>2.6373140070989844E-4</v>
      </c>
      <c r="J76" s="3"/>
    </row>
    <row r="77" spans="1:10" x14ac:dyDescent="0.2">
      <c r="A77" s="3">
        <f t="shared" ref="A77:A107" si="8">A76+1/$B$41*360</f>
        <v>185.625</v>
      </c>
      <c r="B77" s="2">
        <f t="shared" ca="1" si="6"/>
        <v>-441.16719893841542</v>
      </c>
      <c r="C77" s="2">
        <f t="shared" ca="1" si="2"/>
        <v>0</v>
      </c>
      <c r="D77" s="1">
        <f t="shared" ca="1" si="7"/>
        <v>-0.51953801267798416</v>
      </c>
      <c r="E77" s="4">
        <f t="shared" ca="1" si="4"/>
        <v>2.8691868250111252</v>
      </c>
      <c r="F77">
        <v>33</v>
      </c>
      <c r="G77" t="str">
        <f ca="1"/>
        <v>1.56044881877149E-14-0.0188853877436514i</v>
      </c>
      <c r="H77" s="4"/>
      <c r="J77" s="3"/>
    </row>
    <row r="78" spans="1:10" x14ac:dyDescent="0.2">
      <c r="A78" s="3">
        <f t="shared" si="8"/>
        <v>191.25</v>
      </c>
      <c r="B78" s="2">
        <f t="shared" ca="1" si="6"/>
        <v>-481.93793524677392</v>
      </c>
      <c r="C78" s="2">
        <f t="shared" ca="1" si="2"/>
        <v>0</v>
      </c>
      <c r="D78" s="1">
        <f t="shared" ca="1" si="7"/>
        <v>-1.0340725902855126</v>
      </c>
      <c r="E78" s="4">
        <f t="shared" ca="1" si="4"/>
        <v>2.8691868250111252</v>
      </c>
      <c r="F78">
        <v>34</v>
      </c>
      <c r="G78" t="str">
        <f ca="1"/>
        <v>-0.0180035106462242-2.70313285644086E-14i</v>
      </c>
      <c r="H78" s="4"/>
      <c r="J78" s="3"/>
    </row>
    <row r="79" spans="1:10" x14ac:dyDescent="0.2">
      <c r="A79" s="3">
        <f t="shared" si="8"/>
        <v>196.875</v>
      </c>
      <c r="B79" s="2">
        <f t="shared" ca="1" si="6"/>
        <v>-521.91956444687412</v>
      </c>
      <c r="C79" s="2">
        <f t="shared" ca="1" si="2"/>
        <v>0</v>
      </c>
      <c r="D79" s="1">
        <f t="shared" ca="1" si="7"/>
        <v>-1.5386484835670107</v>
      </c>
      <c r="E79" s="4">
        <f t="shared" ca="1" si="4"/>
        <v>2.8691868250111252</v>
      </c>
      <c r="F79">
        <v>35</v>
      </c>
      <c r="G79" t="str">
        <f ca="1"/>
        <v>-4.13100543356082E-14+0.00640015322294829i</v>
      </c>
      <c r="H79" s="4"/>
      <c r="J79" s="3"/>
    </row>
    <row r="80" spans="1:10" x14ac:dyDescent="0.2">
      <c r="A80" s="3">
        <f t="shared" si="8"/>
        <v>202.5</v>
      </c>
      <c r="B80" s="2">
        <f t="shared" ca="1" si="6"/>
        <v>-560.72704159333762</v>
      </c>
      <c r="C80" s="2">
        <f t="shared" ca="1" si="2"/>
        <v>0</v>
      </c>
      <c r="D80" s="1">
        <f t="shared" ca="1" si="7"/>
        <v>-2.0284063508409411</v>
      </c>
      <c r="E80" s="4">
        <f t="shared" ca="1" si="4"/>
        <v>2.8691868250111252</v>
      </c>
      <c r="F80">
        <v>36</v>
      </c>
      <c r="G80" t="str">
        <f ca="1"/>
        <v>-0.00675387331521193+5.00207514297912E-14i</v>
      </c>
      <c r="H80" s="4"/>
      <c r="J80" s="3"/>
    </row>
    <row r="81" spans="1:10" x14ac:dyDescent="0.2">
      <c r="A81" s="3">
        <f t="shared" si="8"/>
        <v>208.125</v>
      </c>
      <c r="B81" s="2">
        <f t="shared" ca="1" si="6"/>
        <v>-597.986629466919</v>
      </c>
      <c r="C81" s="2">
        <f t="shared" ca="1" si="2"/>
        <v>0</v>
      </c>
      <c r="D81" s="1">
        <f t="shared" ca="1" si="7"/>
        <v>-2.4986295561165699</v>
      </c>
      <c r="E81" s="4">
        <f t="shared" ca="1" si="4"/>
        <v>2.8691868250111252</v>
      </c>
      <c r="F81">
        <v>37</v>
      </c>
      <c r="G81" t="str">
        <f ca="1"/>
        <v>5.68644523829542E-14+0.00387000186337794i</v>
      </c>
      <c r="H81" s="4"/>
      <c r="J81" s="3"/>
    </row>
    <row r="82" spans="1:10" x14ac:dyDescent="0.2">
      <c r="A82" s="3">
        <f t="shared" si="8"/>
        <v>213.75</v>
      </c>
      <c r="B82" s="2">
        <f t="shared" ca="1" si="6"/>
        <v>-633.3394978682328</v>
      </c>
      <c r="C82" s="2">
        <f t="shared" ca="1" si="2"/>
        <v>0</v>
      </c>
      <c r="D82" s="1">
        <f t="shared" ca="1" si="7"/>
        <v>-2.9447895928769396</v>
      </c>
      <c r="E82" s="4">
        <f t="shared" ca="1" si="4"/>
        <v>2.8691868250111252</v>
      </c>
      <c r="F82">
        <v>38</v>
      </c>
      <c r="G82" t="str">
        <f ca="1"/>
        <v>-0.0125546648425843-5.53159270775747E-14i</v>
      </c>
      <c r="H82" s="4"/>
      <c r="J82" s="3"/>
    </row>
    <row r="83" spans="1:10" x14ac:dyDescent="0.2">
      <c r="A83" s="3">
        <f t="shared" si="8"/>
        <v>219.375</v>
      </c>
      <c r="B83" s="2">
        <f t="shared" ca="1" si="6"/>
        <v>-666.44517934873102</v>
      </c>
      <c r="C83" s="2">
        <f t="shared" ca="1" si="2"/>
        <v>0</v>
      </c>
      <c r="D83" s="1">
        <f t="shared" ca="1" si="7"/>
        <v>-3.3625896960721655</v>
      </c>
      <c r="E83" s="4">
        <f t="shared" ca="1" si="4"/>
        <v>2.8691868250111252</v>
      </c>
      <c r="F83">
        <v>39</v>
      </c>
      <c r="G83" t="str">
        <f ca="1"/>
        <v>-6.25556735318195E-14+0.0134046519555358i</v>
      </c>
      <c r="H83" s="4"/>
      <c r="J83" s="3"/>
    </row>
    <row r="84" spans="1:10" x14ac:dyDescent="0.2">
      <c r="A84" s="3">
        <f t="shared" si="8"/>
        <v>225</v>
      </c>
      <c r="B84" s="2">
        <f t="shared" ca="1" si="6"/>
        <v>-696.98484809834986</v>
      </c>
      <c r="C84" s="2">
        <f t="shared" ca="1" si="2"/>
        <v>0</v>
      </c>
      <c r="D84" s="1">
        <f t="shared" ca="1" si="7"/>
        <v>-3.7480062223157087</v>
      </c>
      <c r="E84" s="4">
        <f t="shared" ca="1" si="4"/>
        <v>2.8691868250111252</v>
      </c>
      <c r="F84">
        <v>40</v>
      </c>
      <c r="G84" t="str">
        <f ca="1"/>
        <v>-0.0219526761735072+5.3364647770171E-14i</v>
      </c>
      <c r="H84" s="4"/>
      <c r="J84" s="3"/>
    </row>
    <row r="85" spans="1:10" x14ac:dyDescent="0.2">
      <c r="A85" s="3">
        <f t="shared" si="8"/>
        <v>230.625</v>
      </c>
      <c r="B85" s="2">
        <f t="shared" ca="1" si="6"/>
        <v>-724.66439041234935</v>
      </c>
      <c r="C85" s="2">
        <f t="shared" ca="1" si="2"/>
        <v>0</v>
      </c>
      <c r="D85" s="1">
        <f t="shared" ca="1" si="7"/>
        <v>-4.0973273997697355</v>
      </c>
      <c r="E85" s="4">
        <f t="shared" ca="1" si="4"/>
        <v>2.8691868250111252</v>
      </c>
      <c r="F85">
        <v>41</v>
      </c>
      <c r="G85" t="str">
        <f ca="1"/>
        <v>5.57514104326806E-14+0.0679891670530051i</v>
      </c>
      <c r="H85" s="4"/>
      <c r="J85" s="3"/>
    </row>
    <row r="86" spans="1:10" x14ac:dyDescent="0.2">
      <c r="A86" s="3">
        <f t="shared" si="8"/>
        <v>236.25</v>
      </c>
      <c r="B86" s="2">
        <f t="shared" ca="1" si="6"/>
        <v>-749.21723716706902</v>
      </c>
      <c r="C86" s="2">
        <f t="shared" ca="1" si="2"/>
        <v>0</v>
      </c>
      <c r="D86" s="1">
        <f t="shared" ca="1" si="7"/>
        <v>-4.4071890745369888</v>
      </c>
      <c r="E86" s="4">
        <f t="shared" ca="1" si="4"/>
        <v>2.8691868250111252</v>
      </c>
      <c r="F86">
        <v>42</v>
      </c>
      <c r="G86" t="str">
        <f ca="1"/>
        <v>0.0683068753192938-5.86661388956092E-14i</v>
      </c>
      <c r="H86" s="4"/>
      <c r="J86" s="3"/>
    </row>
    <row r="87" spans="1:10" x14ac:dyDescent="0.2">
      <c r="A87" s="3">
        <f t="shared" si="8"/>
        <v>241.875</v>
      </c>
      <c r="B87" s="2">
        <f t="shared" ca="1" si="6"/>
        <v>-770.40693102630905</v>
      </c>
      <c r="C87" s="2">
        <f t="shared" ca="1" si="2"/>
        <v>0</v>
      </c>
      <c r="D87" s="1">
        <f t="shared" ca="1" si="7"/>
        <v>-4.6746071093018342</v>
      </c>
      <c r="E87" s="4">
        <f t="shared" ca="1" si="4"/>
        <v>2.8691868250111252</v>
      </c>
      <c r="F87">
        <v>43</v>
      </c>
      <c r="G87" t="str">
        <f ca="1"/>
        <v>-6.8190218012118E-14+0.00107853408534941i</v>
      </c>
      <c r="H87" s="4"/>
      <c r="J87" s="3"/>
    </row>
    <row r="88" spans="1:10" x14ac:dyDescent="0.2">
      <c r="A88" s="3">
        <f t="shared" si="8"/>
        <v>247.5</v>
      </c>
      <c r="B88" s="2">
        <f t="shared" ca="1" si="6"/>
        <v>-788.02940365474035</v>
      </c>
      <c r="C88" s="2">
        <f t="shared" ca="1" si="2"/>
        <v>0</v>
      </c>
      <c r="D88" s="1">
        <f t="shared" ca="1" si="7"/>
        <v>-4.8970061222039192</v>
      </c>
      <c r="E88" s="4">
        <f t="shared" ca="1" si="4"/>
        <v>2.8691868250111252</v>
      </c>
      <c r="F88">
        <v>44</v>
      </c>
      <c r="G88" t="str">
        <f ca="1"/>
        <v>0.0954161708936591+7.95543643981877E-14i</v>
      </c>
      <c r="H88" s="4"/>
      <c r="J88" s="3"/>
    </row>
    <row r="89" spans="1:10" x14ac:dyDescent="0.2">
      <c r="A89" s="3">
        <f t="shared" si="8"/>
        <v>253.125</v>
      </c>
      <c r="B89" s="2">
        <f t="shared" ca="1" si="6"/>
        <v>-801.91494100752766</v>
      </c>
      <c r="C89" s="2">
        <f t="shared" ca="1" si="2"/>
        <v>0</v>
      </c>
      <c r="D89" s="1">
        <f t="shared" ca="1" si="7"/>
        <v>-5.072244289173331</v>
      </c>
      <c r="E89" s="4">
        <f t="shared" ca="1" si="4"/>
        <v>2.8691868250111252</v>
      </c>
      <c r="F89">
        <v>45</v>
      </c>
      <c r="G89" t="str">
        <f ca="1"/>
        <v>9.05462872377843E-14-0.148803946162051i</v>
      </c>
      <c r="H89" s="4"/>
      <c r="J89" s="3"/>
    </row>
    <row r="90" spans="1:10" x14ac:dyDescent="0.2">
      <c r="A90" s="3">
        <f t="shared" si="8"/>
        <v>258.75</v>
      </c>
      <c r="B90" s="2">
        <f t="shared" ca="1" si="6"/>
        <v>-811.92981776935676</v>
      </c>
      <c r="C90" s="2">
        <f t="shared" ca="1" si="2"/>
        <v>0</v>
      </c>
      <c r="D90" s="1">
        <f t="shared" ca="1" si="7"/>
        <v>-5.1986339708672267</v>
      </c>
      <c r="E90" s="4">
        <f t="shared" ca="1" si="4"/>
        <v>2.8691868250111252</v>
      </c>
      <c r="F90">
        <v>46</v>
      </c>
      <c r="G90" t="str">
        <f ca="1"/>
        <v>-0.158650796684292-1.00810688396786E-13i</v>
      </c>
      <c r="H90" s="4"/>
      <c r="J90" s="3"/>
    </row>
    <row r="91" spans="1:10" x14ac:dyDescent="0.2">
      <c r="A91" s="3">
        <f t="shared" si="8"/>
        <v>264.375</v>
      </c>
      <c r="B91" s="2">
        <f t="shared" ca="1" si="6"/>
        <v>-817.97758520232264</v>
      </c>
      <c r="C91" s="2">
        <f t="shared" ca="1" si="2"/>
        <v>0</v>
      </c>
      <c r="D91" s="1">
        <f t="shared" ca="1" si="7"/>
        <v>-5.274957965559266</v>
      </c>
      <c r="E91" s="4">
        <f t="shared" ca="1" si="4"/>
        <v>2.8691868250111252</v>
      </c>
      <c r="F91">
        <v>47</v>
      </c>
      <c r="G91" t="str">
        <f ca="1"/>
        <v>-1.05832933935339E-13+0.193592465060291i</v>
      </c>
      <c r="H91" s="4"/>
      <c r="J91" s="3"/>
    </row>
    <row r="92" spans="1:10" x14ac:dyDescent="0.2">
      <c r="A92" s="3">
        <f t="shared" si="8"/>
        <v>270</v>
      </c>
      <c r="B92" s="2">
        <f t="shared" ca="1" si="6"/>
        <v>-820</v>
      </c>
      <c r="C92" s="2">
        <f t="shared" ca="1" si="2"/>
        <v>0</v>
      </c>
      <c r="D92" s="1">
        <f t="shared" ca="1" si="7"/>
        <v>-5.3004812314576251</v>
      </c>
      <c r="E92" s="4">
        <f t="shared" ca="1" si="4"/>
        <v>2.8691868250111252</v>
      </c>
      <c r="F92">
        <v>48</v>
      </c>
      <c r="G92" t="str">
        <f ca="1"/>
        <v>0.288192806491082+9.94759830064141E-14i</v>
      </c>
      <c r="H92" s="4"/>
      <c r="J92" s="3"/>
    </row>
    <row r="93" spans="1:10" x14ac:dyDescent="0.2">
      <c r="A93" s="3">
        <f t="shared" si="8"/>
        <v>275.625</v>
      </c>
      <c r="B93" s="2">
        <f t="shared" ca="1" si="6"/>
        <v>-817.97758520232264</v>
      </c>
      <c r="C93" s="2">
        <f t="shared" ca="1" si="2"/>
        <v>0</v>
      </c>
      <c r="D93" s="1">
        <f t="shared" ca="1" si="7"/>
        <v>-5.274957965559266</v>
      </c>
      <c r="E93" s="4">
        <f t="shared" ca="1" si="4"/>
        <v>2.8691868250111252</v>
      </c>
      <c r="F93">
        <v>49</v>
      </c>
      <c r="G93" t="str">
        <f ca="1"/>
        <v>1.0471613581746E-13-0.34348588794364i</v>
      </c>
      <c r="H93" s="4"/>
      <c r="J93" s="3"/>
    </row>
    <row r="94" spans="1:10" x14ac:dyDescent="0.2">
      <c r="A94" s="3">
        <f t="shared" si="8"/>
        <v>281.25</v>
      </c>
      <c r="B94" s="2">
        <f t="shared" ca="1" si="6"/>
        <v>-811.92981776935676</v>
      </c>
      <c r="C94" s="2">
        <f t="shared" ca="1" si="2"/>
        <v>0</v>
      </c>
      <c r="D94" s="1">
        <f t="shared" ca="1" si="7"/>
        <v>-5.1986339708672267</v>
      </c>
      <c r="E94" s="4">
        <f t="shared" ca="1" si="4"/>
        <v>2.8691868250111252</v>
      </c>
      <c r="F94">
        <v>50</v>
      </c>
      <c r="G94" t="str">
        <f ca="1"/>
        <v>-0.190113691795585-1.0122329783891E-13i</v>
      </c>
      <c r="H94" s="4"/>
      <c r="J94" s="3"/>
    </row>
    <row r="95" spans="1:10" x14ac:dyDescent="0.2">
      <c r="A95" s="3">
        <f t="shared" si="8"/>
        <v>286.875</v>
      </c>
      <c r="B95" s="2">
        <f t="shared" ca="1" si="6"/>
        <v>-801.91494100752777</v>
      </c>
      <c r="C95" s="2">
        <f t="shared" ca="1" si="2"/>
        <v>0</v>
      </c>
      <c r="D95" s="1">
        <f t="shared" ca="1" si="7"/>
        <v>-5.0722442891733319</v>
      </c>
      <c r="E95" s="4">
        <f t="shared" ca="1" si="4"/>
        <v>2.8691868250111252</v>
      </c>
      <c r="F95">
        <v>51</v>
      </c>
      <c r="G95" t="str">
        <f ca="1"/>
        <v>-9.80867541052269E-14-0.210067262788643i</v>
      </c>
      <c r="H95" s="4"/>
      <c r="J95" s="3"/>
    </row>
    <row r="96" spans="1:10" x14ac:dyDescent="0.2">
      <c r="A96" s="3">
        <f t="shared" si="8"/>
        <v>292.5</v>
      </c>
      <c r="B96" s="2">
        <f t="shared" ca="1" si="6"/>
        <v>-788.02940365474046</v>
      </c>
      <c r="C96" s="2">
        <f t="shared" ca="1" si="2"/>
        <v>0</v>
      </c>
      <c r="D96" s="1">
        <f t="shared" ca="1" si="7"/>
        <v>-4.8970061222039192</v>
      </c>
      <c r="E96" s="4">
        <f t="shared" ca="1" si="4"/>
        <v>2.8691868250111252</v>
      </c>
      <c r="F96">
        <v>52</v>
      </c>
      <c r="G96" t="str">
        <f ca="1"/>
        <v>-0.677227911040641+9.02311943695375E-14i</v>
      </c>
      <c r="H96" s="4"/>
      <c r="J96" s="3"/>
    </row>
    <row r="97" spans="1:10" x14ac:dyDescent="0.2">
      <c r="A97" s="3">
        <f t="shared" si="8"/>
        <v>298.125</v>
      </c>
      <c r="B97" s="2">
        <f t="shared" ca="1" si="6"/>
        <v>-770.40693102630917</v>
      </c>
      <c r="C97" s="2">
        <f t="shared" ca="1" si="2"/>
        <v>0</v>
      </c>
      <c r="D97" s="1">
        <f t="shared" ca="1" si="7"/>
        <v>-4.6746071093018351</v>
      </c>
      <c r="E97" s="4">
        <f t="shared" ca="1" si="4"/>
        <v>2.8691868250111252</v>
      </c>
      <c r="F97">
        <v>53</v>
      </c>
      <c r="G97" t="str">
        <f ca="1"/>
        <v>7.69635684393435E-14+1.05867315133282i</v>
      </c>
      <c r="H97" s="4"/>
      <c r="J97" s="3"/>
    </row>
    <row r="98" spans="1:10" x14ac:dyDescent="0.2">
      <c r="A98" s="3">
        <f t="shared" si="8"/>
        <v>303.75</v>
      </c>
      <c r="B98" s="2">
        <f t="shared" ca="1" si="6"/>
        <v>-749.21723716706902</v>
      </c>
      <c r="C98" s="2">
        <f t="shared" ca="1" si="2"/>
        <v>0</v>
      </c>
      <c r="D98" s="1">
        <f t="shared" ca="1" si="7"/>
        <v>-4.4071890745369906</v>
      </c>
      <c r="E98" s="4">
        <f t="shared" ca="1" si="4"/>
        <v>2.8691868250111252</v>
      </c>
      <c r="F98">
        <v>54</v>
      </c>
      <c r="G98" t="str">
        <f ca="1"/>
        <v>1.62811040185494-6.65408076945886E-14i</v>
      </c>
      <c r="H98" s="4"/>
      <c r="J98" s="3"/>
    </row>
    <row r="99" spans="1:10" x14ac:dyDescent="0.2">
      <c r="A99" s="3">
        <f t="shared" si="8"/>
        <v>309.375</v>
      </c>
      <c r="B99" s="2">
        <f t="shared" ca="1" si="6"/>
        <v>-724.66439041234946</v>
      </c>
      <c r="C99" s="2">
        <f t="shared" ca="1" si="2"/>
        <v>0</v>
      </c>
      <c r="D99" s="1">
        <f t="shared" ca="1" si="7"/>
        <v>-4.0973273997697364</v>
      </c>
      <c r="E99" s="4">
        <f t="shared" ca="1" si="4"/>
        <v>2.8691868250111252</v>
      </c>
      <c r="F99">
        <v>55</v>
      </c>
      <c r="G99" t="str">
        <f ca="1"/>
        <v>-5.64667399210322E-14-3.05588918000277i</v>
      </c>
      <c r="H99" s="4"/>
      <c r="J99" s="3"/>
    </row>
    <row r="100" spans="1:10" x14ac:dyDescent="0.2">
      <c r="A100" s="3">
        <f t="shared" si="8"/>
        <v>315</v>
      </c>
      <c r="B100" s="2">
        <f t="shared" ca="1" si="6"/>
        <v>-696.98484809835008</v>
      </c>
      <c r="C100" s="2">
        <f t="shared" ca="1" si="2"/>
        <v>0</v>
      </c>
      <c r="D100" s="1">
        <f t="shared" ca="1" si="7"/>
        <v>-3.7480062223157096</v>
      </c>
      <c r="E100" s="4">
        <f t="shared" ca="1" si="4"/>
        <v>2.8691868250111252</v>
      </c>
      <c r="F100">
        <v>56</v>
      </c>
      <c r="G100" t="str">
        <f ca="1"/>
        <v>-5.49097218197112+3.15197087180641E-14i</v>
      </c>
      <c r="H100" s="4"/>
      <c r="J100" s="3"/>
    </row>
    <row r="101" spans="1:10" x14ac:dyDescent="0.2">
      <c r="A101" s="3">
        <f t="shared" si="8"/>
        <v>320.625</v>
      </c>
      <c r="B101" s="2">
        <f t="shared" ca="1" si="6"/>
        <v>-666.44517934873124</v>
      </c>
      <c r="C101" s="2">
        <f t="shared" ca="1" si="2"/>
        <v>0</v>
      </c>
      <c r="D101" s="1">
        <f t="shared" ca="1" si="7"/>
        <v>-3.3625896960721691</v>
      </c>
      <c r="E101" s="4">
        <f t="shared" ca="1" si="4"/>
        <v>2.8691868250111252</v>
      </c>
      <c r="F101">
        <v>57</v>
      </c>
      <c r="G101" t="str">
        <f ca="1"/>
        <v>3.90672737216047E-14+7.10293578141069i</v>
      </c>
      <c r="H101" s="4"/>
      <c r="J101" s="3"/>
    </row>
    <row r="102" spans="1:10" x14ac:dyDescent="0.2">
      <c r="A102" s="3">
        <f t="shared" si="8"/>
        <v>326.25</v>
      </c>
      <c r="B102" s="2">
        <f t="shared" ca="1" si="6"/>
        <v>-633.33949786823291</v>
      </c>
      <c r="C102" s="2">
        <f t="shared" ca="1" si="2"/>
        <v>0</v>
      </c>
      <c r="D102" s="1">
        <f t="shared" ca="1" si="7"/>
        <v>-2.9447895928769405</v>
      </c>
      <c r="E102" s="4">
        <f t="shared" ca="1" si="4"/>
        <v>2.8691868250111252</v>
      </c>
      <c r="F102">
        <v>58</v>
      </c>
      <c r="G102" t="str">
        <f ca="1"/>
        <v>3.34640132177971-4.06943765794351E-14i</v>
      </c>
      <c r="H102" s="4"/>
      <c r="J102" s="3"/>
    </row>
    <row r="103" spans="1:10" x14ac:dyDescent="0.2">
      <c r="A103" s="3">
        <f t="shared" si="8"/>
        <v>331.875</v>
      </c>
      <c r="B103" s="2">
        <f t="shared" ca="1" si="6"/>
        <v>-597.98662946691911</v>
      </c>
      <c r="C103" s="2">
        <f t="shared" ca="1" si="2"/>
        <v>0</v>
      </c>
      <c r="D103" s="1">
        <f t="shared" ca="1" si="7"/>
        <v>-2.4986295561165712</v>
      </c>
      <c r="E103" s="4">
        <f t="shared" ca="1" si="4"/>
        <v>2.8691868250111252</v>
      </c>
      <c r="F103">
        <v>59</v>
      </c>
      <c r="G103" t="str">
        <f ca="1"/>
        <v>-5.53709638903555E-14+11.7235781504667i</v>
      </c>
      <c r="H103" s="4"/>
      <c r="J103" s="3"/>
    </row>
    <row r="104" spans="1:10" x14ac:dyDescent="0.2">
      <c r="A104" s="3">
        <f t="shared" si="8"/>
        <v>337.5</v>
      </c>
      <c r="B104" s="2">
        <f t="shared" ca="1" si="6"/>
        <v>-560.72704159333796</v>
      </c>
      <c r="C104" s="2">
        <f t="shared" ca="1" si="2"/>
        <v>0</v>
      </c>
      <c r="D104" s="1">
        <f t="shared" ca="1" si="7"/>
        <v>-2.0284063508409451</v>
      </c>
      <c r="E104" s="4">
        <f t="shared" ca="1" si="4"/>
        <v>2.8691868250111252</v>
      </c>
      <c r="F104">
        <v>60</v>
      </c>
      <c r="G104" t="str">
        <f ca="1"/>
        <v>41.9908798599368+6.75093661528514E-14i</v>
      </c>
      <c r="H104" s="4"/>
      <c r="J104" s="3"/>
    </row>
    <row r="105" spans="1:10" x14ac:dyDescent="0.2">
      <c r="A105" s="3">
        <f t="shared" si="8"/>
        <v>343.125</v>
      </c>
      <c r="B105" s="2">
        <f t="shared" ca="1" si="6"/>
        <v>-521.91956444687423</v>
      </c>
      <c r="C105" s="2">
        <f t="shared" ca="1" si="2"/>
        <v>0</v>
      </c>
      <c r="D105" s="1">
        <f t="shared" ca="1" si="7"/>
        <v>-1.5386484835670127</v>
      </c>
      <c r="E105" s="4">
        <f t="shared" ca="1" si="4"/>
        <v>2.8691868250111252</v>
      </c>
      <c r="F105">
        <v>61</v>
      </c>
      <c r="G105" t="str">
        <f ca="1"/>
        <v>7.40930754250524E-14-85.434795961167i</v>
      </c>
      <c r="H105" s="4"/>
      <c r="J105" s="3"/>
    </row>
    <row r="106" spans="1:10" x14ac:dyDescent="0.2">
      <c r="A106" s="3">
        <f t="shared" si="8"/>
        <v>348.75</v>
      </c>
      <c r="B106" s="2">
        <f t="shared" ca="1" si="6"/>
        <v>-481.93793524677403</v>
      </c>
      <c r="C106" s="2">
        <f t="shared" ca="1" si="2"/>
        <v>0</v>
      </c>
      <c r="D106" s="1">
        <f t="shared" ca="1" si="7"/>
        <v>-1.0340725902855146</v>
      </c>
      <c r="E106" s="4">
        <f t="shared" ca="1" si="4"/>
        <v>2.8691868250111252</v>
      </c>
      <c r="F106">
        <v>62</v>
      </c>
      <c r="G106" t="str">
        <f ca="1"/>
        <v>-132.663495934985-6.48925357893404E-14i</v>
      </c>
      <c r="H106" s="4"/>
      <c r="J106" s="3"/>
    </row>
    <row r="107" spans="1:10" x14ac:dyDescent="0.2">
      <c r="A107" s="3">
        <f t="shared" si="8"/>
        <v>354.375</v>
      </c>
      <c r="B107" s="2">
        <f t="shared" ca="1" si="6"/>
        <v>-441.16719893841542</v>
      </c>
      <c r="C107" s="2">
        <f t="shared" ca="1" si="2"/>
        <v>0</v>
      </c>
      <c r="D107" s="1">
        <f t="shared" ca="1" si="7"/>
        <v>-0.51953801267798372</v>
      </c>
      <c r="E107" s="4">
        <f t="shared" ca="1" si="4"/>
        <v>2.8691868250111252</v>
      </c>
      <c r="F107">
        <v>63</v>
      </c>
      <c r="G107" t="str">
        <f ca="1"/>
        <v>-6.01480670825438E-14+169.615399406644i</v>
      </c>
      <c r="H107" s="4"/>
      <c r="J107" s="3"/>
    </row>
  </sheetData>
  <phoneticPr fontId="0" type="noConversion"/>
  <pageMargins left="0.39370078740157483" right="0.39370078740157483" top="0.78740157480314965" bottom="0.39370078740157483" header="0.51181102362204722" footer="0.51181102362204722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workbookViewId="0">
      <selection activeCell="C24" sqref="C24"/>
    </sheetView>
  </sheetViews>
  <sheetFormatPr defaultRowHeight="12.75" x14ac:dyDescent="0.2"/>
  <cols>
    <col min="1" max="1" width="16.5703125" customWidth="1"/>
    <col min="3" max="3" width="11.85546875" customWidth="1"/>
  </cols>
  <sheetData>
    <row r="1" spans="1:1" ht="30" x14ac:dyDescent="0.4">
      <c r="A1" s="25" t="s">
        <v>34</v>
      </c>
    </row>
    <row r="4" spans="1:1" x14ac:dyDescent="0.2">
      <c r="A4" t="s">
        <v>29</v>
      </c>
    </row>
    <row r="6" spans="1:1" x14ac:dyDescent="0.2">
      <c r="A6" t="s">
        <v>30</v>
      </c>
    </row>
    <row r="8" spans="1:1" x14ac:dyDescent="0.2">
      <c r="A8" t="s">
        <v>31</v>
      </c>
    </row>
    <row r="9" spans="1:1" x14ac:dyDescent="0.2">
      <c r="A9" t="s">
        <v>32</v>
      </c>
    </row>
    <row r="11" spans="1:1" x14ac:dyDescent="0.2">
      <c r="A11" t="s">
        <v>33</v>
      </c>
    </row>
    <row r="19" spans="1:3" x14ac:dyDescent="0.2">
      <c r="A19" s="22" t="s">
        <v>36</v>
      </c>
      <c r="B19" s="22" t="s">
        <v>37</v>
      </c>
      <c r="C19" s="26" t="s">
        <v>38</v>
      </c>
    </row>
    <row r="20" spans="1:3" x14ac:dyDescent="0.2">
      <c r="A20" t="s">
        <v>39</v>
      </c>
      <c r="B20" t="str">
        <f ca="1">cubicspline_version("v")</f>
        <v>1.03</v>
      </c>
      <c r="C20" s="27">
        <f ca="1">cubicspline_version("d")</f>
        <v>40365</v>
      </c>
    </row>
    <row r="21" spans="1:3" x14ac:dyDescent="0.2">
      <c r="A21" t="s">
        <v>6</v>
      </c>
      <c r="B21" t="str">
        <f ca="1">FFT_version("v")</f>
        <v>1.05</v>
      </c>
      <c r="C21" s="27">
        <f ca="1">FFT_version("d")</f>
        <v>40674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Characteristic</vt:lpstr>
      <vt:lpstr>Anode</vt:lpstr>
      <vt:lpstr>Licence</vt:lpstr>
      <vt:lpstr>CSIT</vt:lpstr>
      <vt:lpstr>cutoff</vt:lpstr>
      <vt:lpstr>Anode!Print_Area</vt:lpstr>
      <vt:lpstr>Characteristic!Print_Area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2008-03-30T19:55:08Z</cp:lastPrinted>
  <dcterms:created xsi:type="dcterms:W3CDTF">2008-03-21T19:51:57Z</dcterms:created>
  <dcterms:modified xsi:type="dcterms:W3CDTF">2014-05-02T05:06:05Z</dcterms:modified>
</cp:coreProperties>
</file>