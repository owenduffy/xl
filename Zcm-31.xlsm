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20700" windowHeight="11190"/>
  </bookViews>
  <sheets>
    <sheet name="FT240-31" sheetId="10" r:id="rId1"/>
    <sheet name="Mix" sheetId="2" r:id="rId2"/>
  </sheets>
  <functionGroups builtInGroupCount="18"/>
  <definedNames>
    <definedName name="CSTableU1">Mix!$E$6:$G$23</definedName>
    <definedName name="CSTableU2">Mix!$N$6:$P$26</definedName>
  </definedNames>
  <calcPr calcId="152511"/>
</workbook>
</file>

<file path=xl/calcChain.xml><?xml version="1.0" encoding="utf-8"?>
<calcChain xmlns="http://schemas.openxmlformats.org/spreadsheetml/2006/main">
  <c r="N6" i="2" l="1" a="1"/>
  <c r="O6" i="2" l="1"/>
  <c r="N7" i="2"/>
  <c r="P7" i="2"/>
  <c r="O8" i="2"/>
  <c r="N9" i="2"/>
  <c r="P9" i="2"/>
  <c r="O10" i="2"/>
  <c r="N11" i="2"/>
  <c r="P11" i="2"/>
  <c r="O12" i="2"/>
  <c r="N13" i="2"/>
  <c r="P13" i="2"/>
  <c r="O14" i="2"/>
  <c r="N15" i="2"/>
  <c r="P15" i="2"/>
  <c r="O16" i="2"/>
  <c r="N17" i="2"/>
  <c r="P17" i="2"/>
  <c r="O18" i="2"/>
  <c r="N19" i="2"/>
  <c r="P19" i="2"/>
  <c r="O20" i="2"/>
  <c r="N21" i="2"/>
  <c r="P21" i="2"/>
  <c r="O22" i="2"/>
  <c r="N23" i="2"/>
  <c r="P23" i="2"/>
  <c r="O24" i="2"/>
  <c r="N25" i="2"/>
  <c r="P25" i="2"/>
  <c r="O26" i="2"/>
  <c r="N6" i="2"/>
  <c r="P6" i="2"/>
  <c r="O7" i="2"/>
  <c r="N8" i="2"/>
  <c r="P8" i="2"/>
  <c r="O9" i="2"/>
  <c r="N10" i="2"/>
  <c r="P10" i="2"/>
  <c r="O11" i="2"/>
  <c r="N12" i="2"/>
  <c r="P12" i="2"/>
  <c r="O13" i="2"/>
  <c r="N14" i="2"/>
  <c r="P14" i="2"/>
  <c r="O15" i="2"/>
  <c r="N16" i="2"/>
  <c r="P16" i="2"/>
  <c r="O17" i="2"/>
  <c r="N18" i="2"/>
  <c r="P18" i="2"/>
  <c r="O19" i="2"/>
  <c r="N20" i="2"/>
  <c r="P20" i="2"/>
  <c r="O21" i="2"/>
  <c r="N22" i="2"/>
  <c r="P22" i="2"/>
  <c r="O23" i="2"/>
  <c r="N24" i="2"/>
  <c r="P24" i="2"/>
  <c r="O25" i="2"/>
  <c r="N26" i="2"/>
  <c r="P26" i="2"/>
  <c r="AE24" i="10" l="1"/>
  <c r="AD24" i="10"/>
  <c r="AC24" i="10"/>
  <c r="AB24" i="10"/>
  <c r="AA24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N18" i="10"/>
  <c r="N24" i="10" s="1"/>
  <c r="B16" i="10"/>
  <c r="B13" i="10"/>
  <c r="B12" i="10"/>
  <c r="O18" i="10"/>
  <c r="O24" i="10"/>
  <c r="P18" i="10"/>
  <c r="P24" i="10"/>
  <c r="Q18" i="10"/>
  <c r="Q24" i="10"/>
  <c r="R18" i="10"/>
  <c r="R24" i="10"/>
  <c r="S18" i="10"/>
  <c r="S24" i="10" s="1"/>
  <c r="T18" i="10"/>
  <c r="T24" i="10" s="1"/>
  <c r="U18" i="10"/>
  <c r="U24" i="10" s="1"/>
  <c r="V18" i="10"/>
  <c r="V24" i="10" s="1"/>
  <c r="W18" i="10"/>
  <c r="W24" i="10"/>
  <c r="X18" i="10"/>
  <c r="X24" i="10"/>
  <c r="Y18" i="10"/>
  <c r="Y24" i="10"/>
  <c r="Z18" i="10"/>
  <c r="Z24" i="10"/>
  <c r="E6" i="2" a="1"/>
  <c r="C33" i="10"/>
  <c r="B33" i="10"/>
  <c r="F11" i="2" l="1"/>
  <c r="G9" i="2"/>
  <c r="G17" i="2"/>
  <c r="F23" i="2"/>
  <c r="E6" i="2"/>
  <c r="E14" i="2"/>
  <c r="E22" i="2"/>
  <c r="F17" i="2"/>
  <c r="G12" i="2"/>
  <c r="G20" i="2"/>
  <c r="F10" i="2"/>
  <c r="E9" i="2"/>
  <c r="E17" i="2"/>
  <c r="F21" i="2"/>
  <c r="G7" i="2"/>
  <c r="G23" i="2"/>
  <c r="E12" i="2"/>
  <c r="F13" i="2"/>
  <c r="G18" i="2"/>
  <c r="E7" i="2"/>
  <c r="E23" i="2"/>
  <c r="G19" i="2"/>
  <c r="F18" i="2"/>
  <c r="F14" i="2"/>
  <c r="G11" i="2"/>
  <c r="E16" i="2"/>
  <c r="G22" i="2"/>
  <c r="G13" i="2"/>
  <c r="F12" i="2"/>
  <c r="E18" i="2"/>
  <c r="G8" i="2"/>
  <c r="F20" i="2"/>
  <c r="E13" i="2"/>
  <c r="F7" i="2"/>
  <c r="F16" i="2"/>
  <c r="G10" i="2"/>
  <c r="E15" i="2"/>
  <c r="E8" i="2"/>
  <c r="E19" i="2"/>
  <c r="F6" i="2"/>
  <c r="F22" i="2"/>
  <c r="E10" i="2"/>
  <c r="G16" i="2"/>
  <c r="E21" i="2"/>
  <c r="E20" i="2"/>
  <c r="F15" i="2"/>
  <c r="F8" i="2"/>
  <c r="G21" i="2"/>
  <c r="F9" i="2"/>
  <c r="F19" i="2"/>
  <c r="G15" i="2"/>
  <c r="G6" i="2"/>
  <c r="G14" i="2"/>
  <c r="E11" i="2"/>
  <c r="D19" i="10"/>
  <c r="K19" i="10"/>
  <c r="B19" i="10"/>
  <c r="F19" i="10"/>
  <c r="U19" i="10"/>
  <c r="N19" i="10"/>
  <c r="I19" i="10"/>
  <c r="S19" i="10"/>
  <c r="Y19" i="10"/>
  <c r="AA19" i="10"/>
  <c r="V19" i="10"/>
  <c r="L19" i="10"/>
  <c r="AD19" i="10"/>
  <c r="M19" i="10"/>
  <c r="J19" i="10"/>
  <c r="Q19" i="10"/>
  <c r="W19" i="10"/>
  <c r="AE19" i="10"/>
  <c r="AB19" i="10"/>
  <c r="X19" i="10"/>
  <c r="C19" i="10"/>
  <c r="T19" i="10"/>
  <c r="H19" i="10"/>
  <c r="AC19" i="10"/>
  <c r="E19" i="10"/>
  <c r="AC20" i="10"/>
  <c r="G19" i="10"/>
  <c r="P19" i="10"/>
  <c r="O19" i="10"/>
  <c r="R19" i="10"/>
  <c r="Z19" i="10"/>
  <c r="V20" i="10"/>
  <c r="AA20" i="10"/>
  <c r="R20" i="10"/>
  <c r="B20" i="10"/>
  <c r="G20" i="10"/>
  <c r="D20" i="10"/>
  <c r="Z20" i="10"/>
  <c r="U20" i="10"/>
  <c r="E20" i="10"/>
  <c r="X20" i="10"/>
  <c r="M20" i="10"/>
  <c r="O20" i="10"/>
  <c r="J20" i="10"/>
  <c r="AE20" i="10"/>
  <c r="P20" i="10"/>
  <c r="AD20" i="10"/>
  <c r="Q20" i="10"/>
  <c r="I20" i="10"/>
  <c r="Y20" i="10"/>
  <c r="S20" i="10"/>
  <c r="C20" i="10"/>
  <c r="N20" i="10"/>
  <c r="H20" i="10"/>
  <c r="W20" i="10"/>
  <c r="AB20" i="10"/>
  <c r="F20" i="10"/>
  <c r="L20" i="10"/>
  <c r="K20" i="10"/>
  <c r="T20" i="10"/>
  <c r="T22" i="10" l="1"/>
  <c r="K22" i="10"/>
  <c r="L22" i="10"/>
  <c r="F22" i="10"/>
  <c r="AB22" i="10"/>
  <c r="W22" i="10"/>
  <c r="H22" i="10"/>
  <c r="N22" i="10"/>
  <c r="C22" i="10"/>
  <c r="S22" i="10"/>
  <c r="Y22" i="10"/>
  <c r="I22" i="10"/>
  <c r="Q22" i="10"/>
  <c r="AD22" i="10"/>
  <c r="P22" i="10"/>
  <c r="AE22" i="10"/>
  <c r="J22" i="10"/>
  <c r="O22" i="10"/>
  <c r="M22" i="10"/>
  <c r="X22" i="10"/>
  <c r="E22" i="10"/>
  <c r="U22" i="10"/>
  <c r="Z22" i="10"/>
  <c r="D22" i="10"/>
  <c r="G22" i="10"/>
  <c r="B22" i="10"/>
  <c r="R22" i="10"/>
  <c r="AA22" i="10"/>
  <c r="V22" i="10"/>
  <c r="Z21" i="10"/>
  <c r="Z23" i="10" s="1"/>
  <c r="Z25" i="10" s="1"/>
  <c r="R21" i="10"/>
  <c r="O21" i="10"/>
  <c r="O23" i="10" s="1"/>
  <c r="O25" i="10" s="1"/>
  <c r="P21" i="10"/>
  <c r="P23" i="10" s="1"/>
  <c r="P25" i="10" s="1"/>
  <c r="P27" i="10" s="1"/>
  <c r="G21" i="10"/>
  <c r="G23" i="10" s="1"/>
  <c r="G25" i="10" s="1"/>
  <c r="G28" i="10" s="1"/>
  <c r="AC22" i="10"/>
  <c r="E21" i="10"/>
  <c r="E23" i="10" s="1"/>
  <c r="E25" i="10" s="1"/>
  <c r="E27" i="10" s="1"/>
  <c r="AC21" i="10"/>
  <c r="H21" i="10"/>
  <c r="H23" i="10" s="1"/>
  <c r="H25" i="10" s="1"/>
  <c r="H26" i="10" s="1"/>
  <c r="T21" i="10"/>
  <c r="T23" i="10" s="1"/>
  <c r="T25" i="10" s="1"/>
  <c r="C21" i="10"/>
  <c r="X21" i="10"/>
  <c r="AB21" i="10"/>
  <c r="AB23" i="10" s="1"/>
  <c r="AB25" i="10" s="1"/>
  <c r="AB26" i="10" s="1"/>
  <c r="AE21" i="10"/>
  <c r="W21" i="10"/>
  <c r="W23" i="10" s="1"/>
  <c r="W25" i="10" s="1"/>
  <c r="Q21" i="10"/>
  <c r="Q23" i="10" s="1"/>
  <c r="Q25" i="10" s="1"/>
  <c r="J21" i="10"/>
  <c r="J23" i="10" s="1"/>
  <c r="J25" i="10" s="1"/>
  <c r="M21" i="10"/>
  <c r="AD21" i="10"/>
  <c r="AD23" i="10" s="1"/>
  <c r="AD25" i="10" s="1"/>
  <c r="L21" i="10"/>
  <c r="L23" i="10" s="1"/>
  <c r="L25" i="10" s="1"/>
  <c r="V21" i="10"/>
  <c r="AA21" i="10"/>
  <c r="Y21" i="10"/>
  <c r="Y23" i="10" s="1"/>
  <c r="Y25" i="10" s="1"/>
  <c r="S21" i="10"/>
  <c r="I21" i="10"/>
  <c r="I23" i="10" s="1"/>
  <c r="I25" i="10" s="1"/>
  <c r="N21" i="10"/>
  <c r="U21" i="10"/>
  <c r="U23" i="10" s="1"/>
  <c r="U25" i="10" s="1"/>
  <c r="F21" i="10"/>
  <c r="B21" i="10"/>
  <c r="B23" i="10" s="1"/>
  <c r="B25" i="10" s="1"/>
  <c r="B27" i="10" s="1"/>
  <c r="K21" i="10"/>
  <c r="D21" i="10"/>
  <c r="D23" i="10" s="1"/>
  <c r="D25" i="10" s="1"/>
  <c r="D27" i="10" s="1"/>
  <c r="G26" i="10"/>
  <c r="H27" i="10"/>
  <c r="C23" i="10"/>
  <c r="C25" i="10" s="1"/>
  <c r="C27" i="10" s="1"/>
  <c r="S23" i="10"/>
  <c r="S25" i="10" s="1"/>
  <c r="S27" i="10" s="1"/>
  <c r="M23" i="10"/>
  <c r="M25" i="10" s="1"/>
  <c r="E26" i="10"/>
  <c r="AB27" i="10"/>
  <c r="T28" i="10"/>
  <c r="R23" i="10"/>
  <c r="R25" i="10" s="1"/>
  <c r="V23" i="10"/>
  <c r="V25" i="10" s="1"/>
  <c r="L26" i="10"/>
  <c r="L28" i="10"/>
  <c r="L27" i="10"/>
  <c r="P26" i="10"/>
  <c r="P28" i="10"/>
  <c r="D26" i="10"/>
  <c r="D28" i="10"/>
  <c r="AC23" i="10"/>
  <c r="AC25" i="10" s="1"/>
  <c r="B28" i="10"/>
  <c r="B26" i="10"/>
  <c r="Q28" i="10"/>
  <c r="Q26" i="10"/>
  <c r="Q27" i="10"/>
  <c r="Z26" i="10" l="1"/>
  <c r="Z27" i="10"/>
  <c r="C26" i="10"/>
  <c r="H28" i="10"/>
  <c r="E28" i="10"/>
  <c r="AB28" i="10"/>
  <c r="G27" i="10"/>
  <c r="K23" i="10"/>
  <c r="K25" i="10" s="1"/>
  <c r="K26" i="10" s="1"/>
  <c r="F23" i="10"/>
  <c r="F25" i="10" s="1"/>
  <c r="N23" i="10"/>
  <c r="N25" i="10" s="1"/>
  <c r="AA23" i="10"/>
  <c r="AA25" i="10" s="1"/>
  <c r="AE23" i="10"/>
  <c r="AE25" i="10" s="1"/>
  <c r="X23" i="10"/>
  <c r="X25" i="10" s="1"/>
  <c r="K28" i="10"/>
  <c r="K27" i="10"/>
  <c r="T26" i="10"/>
  <c r="T27" i="10"/>
  <c r="F27" i="10"/>
  <c r="F28" i="10"/>
  <c r="F26" i="10"/>
  <c r="U28" i="10"/>
  <c r="U26" i="10"/>
  <c r="U27" i="10"/>
  <c r="AD27" i="10"/>
  <c r="AD28" i="10"/>
  <c r="AD26" i="10"/>
  <c r="J26" i="10"/>
  <c r="J27" i="10"/>
  <c r="J28" i="10"/>
  <c r="Z28" i="10"/>
  <c r="S26" i="10"/>
  <c r="C28" i="10"/>
  <c r="S28" i="10"/>
  <c r="M28" i="10"/>
  <c r="M27" i="10"/>
  <c r="M26" i="10"/>
  <c r="Y27" i="10"/>
  <c r="Y28" i="10"/>
  <c r="Y26" i="10"/>
  <c r="I26" i="10"/>
  <c r="I27" i="10"/>
  <c r="I28" i="10"/>
  <c r="W27" i="10"/>
  <c r="W26" i="10"/>
  <c r="W28" i="10"/>
  <c r="R26" i="10"/>
  <c r="R27" i="10"/>
  <c r="R28" i="10"/>
  <c r="O26" i="10"/>
  <c r="O28" i="10"/>
  <c r="O27" i="10"/>
  <c r="V26" i="10"/>
  <c r="V27" i="10"/>
  <c r="V28" i="10"/>
  <c r="AC27" i="10"/>
  <c r="AC26" i="10"/>
  <c r="AC28" i="10"/>
  <c r="AE27" i="10" l="1"/>
  <c r="AE28" i="10"/>
  <c r="AE26" i="10"/>
  <c r="N26" i="10"/>
  <c r="N28" i="10"/>
  <c r="N27" i="10"/>
  <c r="X26" i="10"/>
  <c r="X28" i="10"/>
  <c r="X27" i="10"/>
  <c r="AA26" i="10"/>
  <c r="AA28" i="10"/>
  <c r="AA27" i="10"/>
</calcChain>
</file>

<file path=xl/sharedStrings.xml><?xml version="1.0" encoding="utf-8"?>
<sst xmlns="http://schemas.openxmlformats.org/spreadsheetml/2006/main" count="37" uniqueCount="34">
  <si>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</si>
  <si>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</si>
  <si>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</si>
  <si>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</si>
  <si>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</si>
  <si>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</si>
  <si>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</si>
  <si>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</si>
  <si>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</si>
  <si>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</si>
  <si>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</si>
  <si>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</si>
  <si>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</si>
  <si>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</si>
  <si>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</si>
  <si>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</si>
  <si>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</si>
  <si>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</si>
  <si>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</si>
  <si>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</si>
  <si>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</si>
  <si>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</si>
  <si>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</si>
  <si>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</si>
  <si>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</si>
  <si>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</si>
  <si>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</si>
  <si>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</si>
  <si>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x</t>
  </si>
  <si>
    <t># #43 mix u''</t>
  </si>
  <si>
    <t># #43 mix u'</t>
  </si>
  <si>
    <t>µi</t>
  </si>
  <si>
    <t>#31</t>
  </si>
  <si>
    <t>2631803802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</si>
</sst>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6" formatCode="0.0000000"/>
  </numFmts>
  <fonts count="5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7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6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0" fontId="4" fillId="0" borderId="0" xfId="0" quotePrefix="1" applyFont="1"/>
    <xf numFmtId="0" fontId="4" fillId="0" borderId="0" xfId="0" applyFon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'FT240-31'!$A$26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'FT240-31'!$B$26:$AE$26</c:f>
              <c:numCache>
                <c:formatCode>0</c:formatCode>
                <c:ptCount val="30"/>
                <c:pt idx="0">
                  <c:v>806.75519993715</c:v>
                </c:pt>
                <c:pt idx="1">
                  <c:v>1272.70040848654</c:v>
                </c:pt>
                <c:pt idx="2">
                  <c:v>2728.0661360403001</c:v>
                </c:pt>
                <c:pt idx="3">
                  <c:v>3236.8493521325099</c:v>
                </c:pt>
                <c:pt idx="4">
                  <c:v>4428.4045884122197</c:v>
                </c:pt>
                <c:pt idx="5">
                  <c:v>5512.1022235427499</c:v>
                </c:pt>
                <c:pt idx="6">
                  <c:v>6547.2211678000403</c:v>
                </c:pt>
                <c:pt idx="7">
                  <c:v>7384.7644718089196</c:v>
                </c:pt>
                <c:pt idx="8">
                  <c:v>7964.2252580358099</c:v>
                </c:pt>
                <c:pt idx="9">
                  <c:v>8295.1284642378796</c:v>
                </c:pt>
                <c:pt idx="10">
                  <c:v>8400.1112489530697</c:v>
                </c:pt>
                <c:pt idx="11">
                  <c:v>8297.0779838365106</c:v>
                </c:pt>
                <c:pt idx="12">
                  <c:v>7575.1356176529498</c:v>
                </c:pt>
                <c:pt idx="13">
                  <c:v>6485.6176199071397</c:v>
                </c:pt>
                <c:pt idx="14">
                  <c:v>5327.0118201777696</c:v>
                </c:pt>
                <c:pt idx="15">
                  <c:v>4276.26349154732</c:v>
                </c:pt>
                <c:pt idx="16">
                  <c:v>3406.3641302562701</c:v>
                </c:pt>
                <c:pt idx="17">
                  <c:v>2722.7896694431902</c:v>
                </c:pt>
                <c:pt idx="18">
                  <c:v>2198.6192579662002</c:v>
                </c:pt>
                <c:pt idx="19">
                  <c:v>1797.76031228804</c:v>
                </c:pt>
                <c:pt idx="20">
                  <c:v>1489.54022261361</c:v>
                </c:pt>
                <c:pt idx="21">
                  <c:v>1249.8843502109801</c:v>
                </c:pt>
                <c:pt idx="22">
                  <c:v>1061.0944713149599</c:v>
                </c:pt>
                <c:pt idx="23">
                  <c:v>910.37311159956596</c:v>
                </c:pt>
                <c:pt idx="24">
                  <c:v>788.47787909396004</c:v>
                </c:pt>
                <c:pt idx="25">
                  <c:v>537.026945219916</c:v>
                </c:pt>
                <c:pt idx="26">
                  <c:v>429.05812118482299</c:v>
                </c:pt>
                <c:pt idx="27">
                  <c:v>349.60744390402101</c:v>
                </c:pt>
                <c:pt idx="28">
                  <c:v>289.61939961596801</c:v>
                </c:pt>
                <c:pt idx="29">
                  <c:v>243.447289316416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'FT240-31'!$A$27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'FT240-31'!$B$27:$AE$27</c:f>
              <c:numCache>
                <c:formatCode>0</c:formatCode>
                <c:ptCount val="30"/>
                <c:pt idx="0">
                  <c:v>2455.1988257796402</c:v>
                </c:pt>
                <c:pt idx="1">
                  <c:v>2998.55632500925</c:v>
                </c:pt>
                <c:pt idx="2">
                  <c:v>3794.2209845008501</c:v>
                </c:pt>
                <c:pt idx="3">
                  <c:v>3917.88297151913</c:v>
                </c:pt>
                <c:pt idx="4">
                  <c:v>3853.1217333088898</c:v>
                </c:pt>
                <c:pt idx="5">
                  <c:v>3535.9872684468501</c:v>
                </c:pt>
                <c:pt idx="6">
                  <c:v>3025.6949448426799</c:v>
                </c:pt>
                <c:pt idx="7">
                  <c:v>2249.37055056484</c:v>
                </c:pt>
                <c:pt idx="8">
                  <c:v>1312.03229018567</c:v>
                </c:pt>
                <c:pt idx="9">
                  <c:v>319.30275251333802</c:v>
                </c:pt>
                <c:pt idx="10">
                  <c:v>-668.14371811999899</c:v>
                </c:pt>
                <c:pt idx="11">
                  <c:v>-1606.81242249348</c:v>
                </c:pt>
                <c:pt idx="12">
                  <c:v>-3165.27608081484</c:v>
                </c:pt>
                <c:pt idx="13">
                  <c:v>-4189.4330610285397</c:v>
                </c:pt>
                <c:pt idx="14">
                  <c:v>-4721.2788123094897</c:v>
                </c:pt>
                <c:pt idx="15">
                  <c:v>-4884.8644623105301</c:v>
                </c:pt>
                <c:pt idx="16">
                  <c:v>-4821.6104350620999</c:v>
                </c:pt>
                <c:pt idx="17">
                  <c:v>-4637.8594020194096</c:v>
                </c:pt>
                <c:pt idx="18">
                  <c:v>-4400.4822062088397</c:v>
                </c:pt>
                <c:pt idx="19">
                  <c:v>-4145.5009998327896</c:v>
                </c:pt>
                <c:pt idx="20">
                  <c:v>-3894.0317018382698</c:v>
                </c:pt>
                <c:pt idx="21">
                  <c:v>-3656.9188036229598</c:v>
                </c:pt>
                <c:pt idx="22">
                  <c:v>-3438.22721080878</c:v>
                </c:pt>
                <c:pt idx="23">
                  <c:v>-3238.71235319074</c:v>
                </c:pt>
                <c:pt idx="24">
                  <c:v>-3057.60163591846</c:v>
                </c:pt>
                <c:pt idx="25">
                  <c:v>-2609.8575132155202</c:v>
                </c:pt>
                <c:pt idx="26">
                  <c:v>-2375.1236241750398</c:v>
                </c:pt>
                <c:pt idx="27">
                  <c:v>-2178.2520774563</c:v>
                </c:pt>
                <c:pt idx="28">
                  <c:v>-2010.9315656907499</c:v>
                </c:pt>
                <c:pt idx="29">
                  <c:v>-1866.9750281567999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'FT240-31'!$A$28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'FT240-31'!$B$28:$AE$28</c:f>
              <c:numCache>
                <c:formatCode>0</c:formatCode>
                <c:ptCount val="30"/>
                <c:pt idx="0">
                  <c:v>2584.3481241379527</c:v>
                </c:pt>
                <c:pt idx="1">
                  <c:v>3257.4693189675304</c:v>
                </c:pt>
                <c:pt idx="2">
                  <c:v>4673.1635667753435</c:v>
                </c:pt>
                <c:pt idx="3">
                  <c:v>5082.027224141978</c:v>
                </c:pt>
                <c:pt idx="4">
                  <c:v>5870.0352886816372</c:v>
                </c:pt>
                <c:pt idx="5">
                  <c:v>6548.7767472561736</c:v>
                </c:pt>
                <c:pt idx="6">
                  <c:v>7212.5539803411857</c:v>
                </c:pt>
                <c:pt idx="7">
                  <c:v>7719.7418465800811</c:v>
                </c:pt>
                <c:pt idx="8">
                  <c:v>8071.5743626151034</c:v>
                </c:pt>
                <c:pt idx="9">
                  <c:v>8301.2716186119396</c:v>
                </c:pt>
                <c:pt idx="10">
                  <c:v>8426.6413844930612</c:v>
                </c:pt>
                <c:pt idx="11">
                  <c:v>8451.2335922600014</c:v>
                </c:pt>
                <c:pt idx="12">
                  <c:v>8209.8509300481765</c:v>
                </c:pt>
                <c:pt idx="13">
                  <c:v>7721.0481985601482</c:v>
                </c:pt>
                <c:pt idx="14">
                  <c:v>7118.1127102537639</c:v>
                </c:pt>
                <c:pt idx="15">
                  <c:v>6492.1745404975682</c:v>
                </c:pt>
                <c:pt idx="16">
                  <c:v>5903.4942005050107</c:v>
                </c:pt>
                <c:pt idx="17">
                  <c:v>5378.0408530362056</c:v>
                </c:pt>
                <c:pt idx="18">
                  <c:v>4919.163576123532</c:v>
                </c:pt>
                <c:pt idx="19">
                  <c:v>4518.5308099041049</c:v>
                </c:pt>
                <c:pt idx="20">
                  <c:v>4169.1981207068175</c:v>
                </c:pt>
                <c:pt idx="21">
                  <c:v>3864.6171899935321</c:v>
                </c:pt>
                <c:pt idx="22">
                  <c:v>3598.2395459725994</c:v>
                </c:pt>
                <c:pt idx="23">
                  <c:v>3364.2290214897348</c:v>
                </c:pt>
                <c:pt idx="24">
                  <c:v>3157.6296695134711</c:v>
                </c:pt>
                <c:pt idx="25">
                  <c:v>2664.5363910406127</c:v>
                </c:pt>
                <c:pt idx="26">
                  <c:v>2413.5664692460878</c:v>
                </c:pt>
                <c:pt idx="27">
                  <c:v>2206.1295242518718</c:v>
                </c:pt>
                <c:pt idx="28">
                  <c:v>2031.6803780431028</c:v>
                </c:pt>
                <c:pt idx="29">
                  <c:v>1882.7804806818544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94768"/>
        <c:axId val="475095160"/>
      </c:scatterChart>
      <c:valAx>
        <c:axId val="47509476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75095160"/>
        <c:crosses val="autoZero"/>
        <c:crossBetween val="midCat"/>
      </c:valAx>
      <c:valAx>
        <c:axId val="475095160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7509476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'FT240-31'!$A$19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'FT240-31'!$B$19:$AE$19</c:f>
              <c:numCache>
                <c:formatCode>0</c:formatCode>
                <c:ptCount val="30"/>
                <c:pt idx="0">
                  <c:v>437.78022720651228</c:v>
                </c:pt>
                <c:pt idx="1">
                  <c:v>552.24283316637718</c:v>
                </c:pt>
                <c:pt idx="2">
                  <c:v>702.08424369573322</c:v>
                </c:pt>
                <c:pt idx="3">
                  <c:v>721.86290822240483</c:v>
                </c:pt>
                <c:pt idx="4">
                  <c:v>731.04975970601242</c:v>
                </c:pt>
                <c:pt idx="5">
                  <c:v>710.2466192928722</c:v>
                </c:pt>
                <c:pt idx="6">
                  <c:v>683.69572104777683</c:v>
                </c:pt>
                <c:pt idx="7">
                  <c:v>653.71743210897648</c:v>
                </c:pt>
                <c:pt idx="8">
                  <c:v>621.73192675928283</c:v>
                </c:pt>
                <c:pt idx="9">
                  <c:v>589.44104987027481</c:v>
                </c:pt>
                <c:pt idx="10">
                  <c:v>558.54882653178458</c:v>
                </c:pt>
                <c:pt idx="11">
                  <c:v>530.04029955269198</c:v>
                </c:pt>
                <c:pt idx="12">
                  <c:v>480.48983156281491</c:v>
                </c:pt>
                <c:pt idx="13">
                  <c:v>441.06006604878155</c:v>
                </c:pt>
                <c:pt idx="14">
                  <c:v>410.68881373928843</c:v>
                </c:pt>
                <c:pt idx="15">
                  <c:v>387.31068270797374</c:v>
                </c:pt>
                <c:pt idx="16">
                  <c:v>368.83321626892513</c:v>
                </c:pt>
                <c:pt idx="17">
                  <c:v>353.17861296391436</c:v>
                </c:pt>
                <c:pt idx="18">
                  <c:v>339.03034912266554</c:v>
                </c:pt>
                <c:pt idx="19">
                  <c:v>326.18915667890695</c:v>
                </c:pt>
                <c:pt idx="20">
                  <c:v>314.54499192170664</c:v>
                </c:pt>
                <c:pt idx="21">
                  <c:v>303.98780860963211</c:v>
                </c:pt>
                <c:pt idx="22">
                  <c:v>294.40749637082706</c:v>
                </c:pt>
                <c:pt idx="23">
                  <c:v>285.69400946629833</c:v>
                </c:pt>
                <c:pt idx="24">
                  <c:v>277.73729054219706</c:v>
                </c:pt>
                <c:pt idx="25">
                  <c:v>257.3123628564183</c:v>
                </c:pt>
                <c:pt idx="26">
                  <c:v>245.75060990174484</c:v>
                </c:pt>
                <c:pt idx="27">
                  <c:v>235.5472230494847</c:v>
                </c:pt>
                <c:pt idx="28">
                  <c:v>226.53945570825286</c:v>
                </c:pt>
                <c:pt idx="29">
                  <c:v>218.56460950108666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'FT240-31'!$A$20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'FT240-31'!$B$20:$AE$20</c:f>
              <c:numCache>
                <c:formatCode>0</c:formatCode>
                <c:ptCount val="30"/>
                <c:pt idx="0">
                  <c:v>1400.6121872500232</c:v>
                </c:pt>
                <c:pt idx="1">
                  <c:v>1405.2633377206644</c:v>
                </c:pt>
                <c:pt idx="2">
                  <c:v>1167.1564931270689</c:v>
                </c:pt>
                <c:pt idx="3">
                  <c:v>1090.8817288553466</c:v>
                </c:pt>
                <c:pt idx="4">
                  <c:v>904.13487645220391</c:v>
                </c:pt>
                <c:pt idx="5">
                  <c:v>768.1087633131898</c:v>
                </c:pt>
                <c:pt idx="6">
                  <c:v>674.34694990156652</c:v>
                </c:pt>
                <c:pt idx="7">
                  <c:v>596.87885427126662</c:v>
                </c:pt>
                <c:pt idx="8">
                  <c:v>533.83414302963945</c:v>
                </c:pt>
                <c:pt idx="9">
                  <c:v>484.19554241942296</c:v>
                </c:pt>
                <c:pt idx="10">
                  <c:v>445.06887052678888</c:v>
                </c:pt>
                <c:pt idx="11">
                  <c:v>413.38398426006455</c:v>
                </c:pt>
                <c:pt idx="12">
                  <c:v>363.33657036613073</c:v>
                </c:pt>
                <c:pt idx="13">
                  <c:v>326.44412897168763</c:v>
                </c:pt>
                <c:pt idx="14">
                  <c:v>298.68851642061406</c:v>
                </c:pt>
                <c:pt idx="15">
                  <c:v>277.14272034646717</c:v>
                </c:pt>
                <c:pt idx="16">
                  <c:v>260.3671935305876</c:v>
                </c:pt>
                <c:pt idx="17">
                  <c:v>247.02909327066405</c:v>
                </c:pt>
                <c:pt idx="18">
                  <c:v>235.79561284039116</c:v>
                </c:pt>
                <c:pt idx="19">
                  <c:v>225.43260312446517</c:v>
                </c:pt>
                <c:pt idx="20">
                  <c:v>215.53473199756411</c:v>
                </c:pt>
                <c:pt idx="21">
                  <c:v>206.11096282499258</c:v>
                </c:pt>
                <c:pt idx="22">
                  <c:v>197.1733795009182</c:v>
                </c:pt>
                <c:pt idx="23">
                  <c:v>188.73405158778854</c:v>
                </c:pt>
                <c:pt idx="24">
                  <c:v>180.80504864805121</c:v>
                </c:pt>
                <c:pt idx="25">
                  <c:v>160.19702617751099</c:v>
                </c:pt>
                <c:pt idx="26">
                  <c:v>149.0234956597256</c:v>
                </c:pt>
                <c:pt idx="27">
                  <c:v>139.47392835158013</c:v>
                </c:pt>
                <c:pt idx="28">
                  <c:v>131.1200510309157</c:v>
                </c:pt>
                <c:pt idx="29">
                  <c:v>123.5336064588891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97120"/>
        <c:axId val="475092808"/>
      </c:scatterChart>
      <c:valAx>
        <c:axId val="47509712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92808"/>
        <c:crosses val="autoZero"/>
        <c:crossBetween val="midCat"/>
      </c:valAx>
      <c:valAx>
        <c:axId val="475092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971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'FT240-31'!$A$26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'FT240-31'!$B$26:$AE$26</c:f>
              <c:numCache>
                <c:formatCode>0</c:formatCode>
                <c:ptCount val="30"/>
                <c:pt idx="0">
                  <c:v>806.75519993715</c:v>
                </c:pt>
                <c:pt idx="1">
                  <c:v>1272.70040848654</c:v>
                </c:pt>
                <c:pt idx="2">
                  <c:v>2728.0661360403001</c:v>
                </c:pt>
                <c:pt idx="3">
                  <c:v>3236.8493521325099</c:v>
                </c:pt>
                <c:pt idx="4">
                  <c:v>4428.4045884122197</c:v>
                </c:pt>
                <c:pt idx="5">
                  <c:v>5512.1022235427499</c:v>
                </c:pt>
                <c:pt idx="6">
                  <c:v>6547.2211678000403</c:v>
                </c:pt>
                <c:pt idx="7">
                  <c:v>7384.7644718089196</c:v>
                </c:pt>
                <c:pt idx="8">
                  <c:v>7964.2252580358099</c:v>
                </c:pt>
                <c:pt idx="9">
                  <c:v>8295.1284642378796</c:v>
                </c:pt>
                <c:pt idx="10">
                  <c:v>8400.1112489530697</c:v>
                </c:pt>
                <c:pt idx="11">
                  <c:v>8297.0779838365106</c:v>
                </c:pt>
                <c:pt idx="12">
                  <c:v>7575.1356176529498</c:v>
                </c:pt>
                <c:pt idx="13">
                  <c:v>6485.6176199071397</c:v>
                </c:pt>
                <c:pt idx="14">
                  <c:v>5327.0118201777696</c:v>
                </c:pt>
                <c:pt idx="15">
                  <c:v>4276.26349154732</c:v>
                </c:pt>
                <c:pt idx="16">
                  <c:v>3406.3641302562701</c:v>
                </c:pt>
                <c:pt idx="17">
                  <c:v>2722.7896694431902</c:v>
                </c:pt>
                <c:pt idx="18">
                  <c:v>2198.6192579662002</c:v>
                </c:pt>
                <c:pt idx="19">
                  <c:v>1797.76031228804</c:v>
                </c:pt>
                <c:pt idx="20">
                  <c:v>1489.54022261361</c:v>
                </c:pt>
                <c:pt idx="21">
                  <c:v>1249.8843502109801</c:v>
                </c:pt>
                <c:pt idx="22">
                  <c:v>1061.0944713149599</c:v>
                </c:pt>
                <c:pt idx="23">
                  <c:v>910.37311159956596</c:v>
                </c:pt>
                <c:pt idx="24">
                  <c:v>788.47787909396004</c:v>
                </c:pt>
                <c:pt idx="25">
                  <c:v>537.026945219916</c:v>
                </c:pt>
                <c:pt idx="26">
                  <c:v>429.05812118482299</c:v>
                </c:pt>
                <c:pt idx="27">
                  <c:v>349.60744390402101</c:v>
                </c:pt>
                <c:pt idx="28">
                  <c:v>289.61939961596801</c:v>
                </c:pt>
                <c:pt idx="29">
                  <c:v>243.447289316416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'FT240-31'!$A$27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'FT240-31'!$B$27:$AE$27</c:f>
              <c:numCache>
                <c:formatCode>0</c:formatCode>
                <c:ptCount val="30"/>
                <c:pt idx="0">
                  <c:v>2455.1988257796402</c:v>
                </c:pt>
                <c:pt idx="1">
                  <c:v>2998.55632500925</c:v>
                </c:pt>
                <c:pt idx="2">
                  <c:v>3794.2209845008501</c:v>
                </c:pt>
                <c:pt idx="3">
                  <c:v>3917.88297151913</c:v>
                </c:pt>
                <c:pt idx="4">
                  <c:v>3853.1217333088898</c:v>
                </c:pt>
                <c:pt idx="5">
                  <c:v>3535.9872684468501</c:v>
                </c:pt>
                <c:pt idx="6">
                  <c:v>3025.6949448426799</c:v>
                </c:pt>
                <c:pt idx="7">
                  <c:v>2249.37055056484</c:v>
                </c:pt>
                <c:pt idx="8">
                  <c:v>1312.03229018567</c:v>
                </c:pt>
                <c:pt idx="9">
                  <c:v>319.30275251333802</c:v>
                </c:pt>
                <c:pt idx="10">
                  <c:v>-668.14371811999899</c:v>
                </c:pt>
                <c:pt idx="11">
                  <c:v>-1606.81242249348</c:v>
                </c:pt>
                <c:pt idx="12">
                  <c:v>-3165.27608081484</c:v>
                </c:pt>
                <c:pt idx="13">
                  <c:v>-4189.4330610285397</c:v>
                </c:pt>
                <c:pt idx="14">
                  <c:v>-4721.2788123094897</c:v>
                </c:pt>
                <c:pt idx="15">
                  <c:v>-4884.8644623105301</c:v>
                </c:pt>
                <c:pt idx="16">
                  <c:v>-4821.6104350620999</c:v>
                </c:pt>
                <c:pt idx="17">
                  <c:v>-4637.8594020194096</c:v>
                </c:pt>
                <c:pt idx="18">
                  <c:v>-4400.4822062088397</c:v>
                </c:pt>
                <c:pt idx="19">
                  <c:v>-4145.5009998327896</c:v>
                </c:pt>
                <c:pt idx="20">
                  <c:v>-3894.0317018382698</c:v>
                </c:pt>
                <c:pt idx="21">
                  <c:v>-3656.9188036229598</c:v>
                </c:pt>
                <c:pt idx="22">
                  <c:v>-3438.22721080878</c:v>
                </c:pt>
                <c:pt idx="23">
                  <c:v>-3238.71235319074</c:v>
                </c:pt>
                <c:pt idx="24">
                  <c:v>-3057.60163591846</c:v>
                </c:pt>
                <c:pt idx="25">
                  <c:v>-2609.8575132155202</c:v>
                </c:pt>
                <c:pt idx="26">
                  <c:v>-2375.1236241750398</c:v>
                </c:pt>
                <c:pt idx="27">
                  <c:v>-2178.2520774563</c:v>
                </c:pt>
                <c:pt idx="28">
                  <c:v>-2010.9315656907499</c:v>
                </c:pt>
                <c:pt idx="29">
                  <c:v>-1866.9750281567999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'FT240-31'!$A$28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'FT240-31'!$B$28:$AE$28</c:f>
              <c:numCache>
                <c:formatCode>0</c:formatCode>
                <c:ptCount val="30"/>
                <c:pt idx="0">
                  <c:v>2584.3481241379527</c:v>
                </c:pt>
                <c:pt idx="1">
                  <c:v>3257.4693189675304</c:v>
                </c:pt>
                <c:pt idx="2">
                  <c:v>4673.1635667753435</c:v>
                </c:pt>
                <c:pt idx="3">
                  <c:v>5082.027224141978</c:v>
                </c:pt>
                <c:pt idx="4">
                  <c:v>5870.0352886816372</c:v>
                </c:pt>
                <c:pt idx="5">
                  <c:v>6548.7767472561736</c:v>
                </c:pt>
                <c:pt idx="6">
                  <c:v>7212.5539803411857</c:v>
                </c:pt>
                <c:pt idx="7">
                  <c:v>7719.7418465800811</c:v>
                </c:pt>
                <c:pt idx="8">
                  <c:v>8071.5743626151034</c:v>
                </c:pt>
                <c:pt idx="9">
                  <c:v>8301.2716186119396</c:v>
                </c:pt>
                <c:pt idx="10">
                  <c:v>8426.6413844930612</c:v>
                </c:pt>
                <c:pt idx="11">
                  <c:v>8451.2335922600014</c:v>
                </c:pt>
                <c:pt idx="12">
                  <c:v>8209.8509300481765</c:v>
                </c:pt>
                <c:pt idx="13">
                  <c:v>7721.0481985601482</c:v>
                </c:pt>
                <c:pt idx="14">
                  <c:v>7118.1127102537639</c:v>
                </c:pt>
                <c:pt idx="15">
                  <c:v>6492.1745404975682</c:v>
                </c:pt>
                <c:pt idx="16">
                  <c:v>5903.4942005050107</c:v>
                </c:pt>
                <c:pt idx="17">
                  <c:v>5378.0408530362056</c:v>
                </c:pt>
                <c:pt idx="18">
                  <c:v>4919.163576123532</c:v>
                </c:pt>
                <c:pt idx="19">
                  <c:v>4518.5308099041049</c:v>
                </c:pt>
                <c:pt idx="20">
                  <c:v>4169.1981207068175</c:v>
                </c:pt>
                <c:pt idx="21">
                  <c:v>3864.6171899935321</c:v>
                </c:pt>
                <c:pt idx="22">
                  <c:v>3598.2395459725994</c:v>
                </c:pt>
                <c:pt idx="23">
                  <c:v>3364.2290214897348</c:v>
                </c:pt>
                <c:pt idx="24">
                  <c:v>3157.6296695134711</c:v>
                </c:pt>
                <c:pt idx="25">
                  <c:v>2664.5363910406127</c:v>
                </c:pt>
                <c:pt idx="26">
                  <c:v>2413.5664692460878</c:v>
                </c:pt>
                <c:pt idx="27">
                  <c:v>2206.1295242518718</c:v>
                </c:pt>
                <c:pt idx="28">
                  <c:v>2031.6803780431028</c:v>
                </c:pt>
                <c:pt idx="29">
                  <c:v>1882.7804806818544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98296"/>
        <c:axId val="475098688"/>
      </c:scatterChart>
      <c:valAx>
        <c:axId val="475098296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75098688"/>
        <c:crosses val="autoZero"/>
        <c:crossBetween val="midCat"/>
      </c:valAx>
      <c:valAx>
        <c:axId val="475098688"/>
        <c:scaling>
          <c:orientation val="minMax"/>
          <c:max val="10000"/>
          <c:min val="-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7509829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3</xdr:row>
      <xdr:rowOff>114300</xdr:rowOff>
    </xdr:from>
    <xdr:to>
      <xdr:col>19</xdr:col>
      <xdr:colOff>257175</xdr:colOff>
      <xdr:row>30</xdr:row>
      <xdr:rowOff>9525</xdr:rowOff>
    </xdr:to>
    <xdr:graphicFrame macro="">
      <xdr:nvGraphicFramePr>
        <xdr:cNvPr id="2769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561975</xdr:colOff>
      <xdr:row>29</xdr:row>
      <xdr:rowOff>133350</xdr:rowOff>
    </xdr:from>
    <xdr:to>
      <xdr:col>8</xdr:col>
      <xdr:colOff>38100</xdr:colOff>
      <xdr:row>56</xdr:row>
      <xdr:rowOff>28575</xdr:rowOff>
    </xdr:to>
    <xdr:graphicFrame macro="">
      <xdr:nvGraphicFramePr>
        <xdr:cNvPr id="2769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20</xdr:col>
      <xdr:colOff>209550</xdr:colOff>
      <xdr:row>58</xdr:row>
      <xdr:rowOff>57150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E35"/>
  <sheetViews>
    <sheetView tabSelected="1" workbookViewId="0">
      <selection activeCell="J35" sqref="J35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2050</v>
      </c>
      <c r="D7" s="14" t="s">
        <v>33</v>
      </c>
    </row>
    <row r="8" spans="1:4" x14ac:dyDescent="0.2">
      <c r="A8" t="s">
        <v>5</v>
      </c>
      <c r="B8" s="3">
        <v>14</v>
      </c>
      <c r="D8" s="14"/>
    </row>
    <row r="9" spans="1:4" x14ac:dyDescent="0.2">
      <c r="A9" t="s">
        <v>8</v>
      </c>
      <c r="B9" s="3">
        <v>3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#31</v>
      </c>
    </row>
    <row r="13" spans="1:4" x14ac:dyDescent="0.2">
      <c r="A13" t="s">
        <v>31</v>
      </c>
      <c r="B13">
        <f>Mix!B2</f>
        <v>1500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2.5245838564247579E-3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csinterpolate(CSTableU2,'FT240-31'!B18*1000000)</f>
        <v>437.78022720651228</v>
      </c>
      <c r="C19" s="7">
        <f>csinterpolate(CSTableU2,'FT240-31'!C18*1000000)</f>
        <v>552.24283316637718</v>
      </c>
      <c r="D19" s="7">
        <f>csinterpolate(CSTableU2,'FT240-31'!D18*1000000)</f>
        <v>702.08424369573322</v>
      </c>
      <c r="E19" s="7">
        <f>csinterpolate(CSTableU2,'FT240-31'!E18*1000000)</f>
        <v>721.86290822240483</v>
      </c>
      <c r="F19" s="7">
        <f>csinterpolate(CSTableU2,'FT240-31'!F18*1000000)</f>
        <v>731.04975970601242</v>
      </c>
      <c r="G19" s="7">
        <f>csinterpolate(CSTableU2,'FT240-31'!G18*1000000)</f>
        <v>710.2466192928722</v>
      </c>
      <c r="H19" s="7">
        <f>csinterpolate(CSTableU2,'FT240-31'!H18*1000000)</f>
        <v>683.69572104777683</v>
      </c>
      <c r="I19" s="7">
        <f>csinterpolate(CSTableU2,'FT240-31'!I18*1000000)</f>
        <v>653.71743210897648</v>
      </c>
      <c r="J19" s="7">
        <f>csinterpolate(CSTableU2,'FT240-31'!J18*1000000)</f>
        <v>621.73192675928283</v>
      </c>
      <c r="K19" s="7">
        <f>csinterpolate(CSTableU2,'FT240-31'!K18*1000000)</f>
        <v>589.44104987027481</v>
      </c>
      <c r="L19" s="7">
        <f>csinterpolate(CSTableU2,'FT240-31'!L18*1000000)</f>
        <v>558.54882653178458</v>
      </c>
      <c r="M19" s="7">
        <f>csinterpolate(CSTableU2,'FT240-31'!M18*1000000)</f>
        <v>530.04029955269198</v>
      </c>
      <c r="N19" s="7">
        <f>csinterpolate(CSTableU2,'FT240-31'!N18*1000000)</f>
        <v>480.48983156281491</v>
      </c>
      <c r="O19" s="7">
        <f>csinterpolate(CSTableU2,'FT240-31'!O18*1000000)</f>
        <v>441.06006604878155</v>
      </c>
      <c r="P19" s="7">
        <f>csinterpolate(CSTableU2,'FT240-31'!P18*1000000)</f>
        <v>410.68881373928843</v>
      </c>
      <c r="Q19" s="7">
        <f>csinterpolate(CSTableU2,'FT240-31'!Q18*1000000)</f>
        <v>387.31068270797374</v>
      </c>
      <c r="R19" s="7">
        <f>csinterpolate(CSTableU2,'FT240-31'!R18*1000000)</f>
        <v>368.83321626892513</v>
      </c>
      <c r="S19" s="7">
        <f>csinterpolate(CSTableU2,'FT240-31'!S18*1000000)</f>
        <v>353.17861296391436</v>
      </c>
      <c r="T19" s="7">
        <f>csinterpolate(CSTableU2,'FT240-31'!T18*1000000)</f>
        <v>339.03034912266554</v>
      </c>
      <c r="U19" s="7">
        <f>csinterpolate(CSTableU2,'FT240-31'!U18*1000000)</f>
        <v>326.18915667890695</v>
      </c>
      <c r="V19" s="7">
        <f>csinterpolate(CSTableU2,'FT240-31'!V18*1000000)</f>
        <v>314.54499192170664</v>
      </c>
      <c r="W19" s="7">
        <f>csinterpolate(CSTableU2,'FT240-31'!W18*1000000)</f>
        <v>303.98780860963211</v>
      </c>
      <c r="X19" s="7">
        <f>csinterpolate(CSTableU2,'FT240-31'!X18*1000000)</f>
        <v>294.40749637082706</v>
      </c>
      <c r="Y19" s="7">
        <f>csinterpolate(CSTableU2,'FT240-31'!Y18*1000000)</f>
        <v>285.69400946629833</v>
      </c>
      <c r="Z19" s="7">
        <f>csinterpolate(CSTableU2,'FT240-31'!Z18*1000000)</f>
        <v>277.73729054219706</v>
      </c>
      <c r="AA19" s="7">
        <f>csinterpolate(CSTableU2,'FT240-31'!AA18*1000000)</f>
        <v>257.3123628564183</v>
      </c>
      <c r="AB19" s="7">
        <f>csinterpolate(CSTableU2,'FT240-31'!AB18*1000000)</f>
        <v>245.75060990174484</v>
      </c>
      <c r="AC19" s="7">
        <f>csinterpolate(CSTableU2,'FT240-31'!AC18*1000000)</f>
        <v>235.5472230494847</v>
      </c>
      <c r="AD19" s="7">
        <f>csinterpolate(CSTableU2,'FT240-31'!AD18*1000000)</f>
        <v>226.53945570825286</v>
      </c>
      <c r="AE19" s="7">
        <f>csinterpolate(CSTableU2,'FT240-31'!AE18*1000000)</f>
        <v>218.56460950108666</v>
      </c>
    </row>
    <row r="20" spans="1:31" x14ac:dyDescent="0.2">
      <c r="A20" t="s">
        <v>3</v>
      </c>
      <c r="B20" s="7">
        <f>csinterpolate(CSTableU1,'FT240-31'!B18*1000000)</f>
        <v>1400.6121872500232</v>
      </c>
      <c r="C20" s="7">
        <f>csinterpolate(CSTableU1,'FT240-31'!C18*1000000)</f>
        <v>1405.2633377206644</v>
      </c>
      <c r="D20" s="7">
        <f>csinterpolate(CSTableU1,'FT240-31'!D18*1000000)</f>
        <v>1167.1564931270689</v>
      </c>
      <c r="E20" s="7">
        <f>csinterpolate(CSTableU1,'FT240-31'!E18*1000000)</f>
        <v>1090.8817288553466</v>
      </c>
      <c r="F20" s="7">
        <f>csinterpolate(CSTableU1,'FT240-31'!F18*1000000)</f>
        <v>904.13487645220391</v>
      </c>
      <c r="G20" s="7">
        <f>csinterpolate(CSTableU1,'FT240-31'!G18*1000000)</f>
        <v>768.1087633131898</v>
      </c>
      <c r="H20" s="7">
        <f>csinterpolate(CSTableU1,'FT240-31'!H18*1000000)</f>
        <v>674.34694990156652</v>
      </c>
      <c r="I20" s="7">
        <f>csinterpolate(CSTableU1,'FT240-31'!I18*1000000)</f>
        <v>596.87885427126662</v>
      </c>
      <c r="J20" s="7">
        <f>csinterpolate(CSTableU1,'FT240-31'!J18*1000000)</f>
        <v>533.83414302963945</v>
      </c>
      <c r="K20" s="7">
        <f>csinterpolate(CSTableU1,'FT240-31'!K18*1000000)</f>
        <v>484.19554241942296</v>
      </c>
      <c r="L20" s="7">
        <f>csinterpolate(CSTableU1,'FT240-31'!L18*1000000)</f>
        <v>445.06887052678888</v>
      </c>
      <c r="M20" s="7">
        <f>csinterpolate(CSTableU1,'FT240-31'!M18*1000000)</f>
        <v>413.38398426006455</v>
      </c>
      <c r="N20" s="7">
        <f>csinterpolate(CSTableU1,'FT240-31'!N18*1000000)</f>
        <v>363.33657036613073</v>
      </c>
      <c r="O20" s="7">
        <f>csinterpolate(CSTableU1,'FT240-31'!O18*1000000)</f>
        <v>326.44412897168763</v>
      </c>
      <c r="P20" s="7">
        <f>csinterpolate(CSTableU1,'FT240-31'!P18*1000000)</f>
        <v>298.68851642061406</v>
      </c>
      <c r="Q20" s="7">
        <f>csinterpolate(CSTableU1,'FT240-31'!Q18*1000000)</f>
        <v>277.14272034646717</v>
      </c>
      <c r="R20" s="7">
        <f>csinterpolate(CSTableU1,'FT240-31'!R18*1000000)</f>
        <v>260.3671935305876</v>
      </c>
      <c r="S20" s="7">
        <f>csinterpolate(CSTableU1,'FT240-31'!S18*1000000)</f>
        <v>247.02909327066405</v>
      </c>
      <c r="T20" s="7">
        <f>csinterpolate(CSTableU1,'FT240-31'!T18*1000000)</f>
        <v>235.79561284039116</v>
      </c>
      <c r="U20" s="7">
        <f>csinterpolate(CSTableU1,'FT240-31'!U18*1000000)</f>
        <v>225.43260312446517</v>
      </c>
      <c r="V20" s="7">
        <f>csinterpolate(CSTableU1,'FT240-31'!V18*1000000)</f>
        <v>215.53473199756411</v>
      </c>
      <c r="W20" s="7">
        <f>csinterpolate(CSTableU1,'FT240-31'!W18*1000000)</f>
        <v>206.11096282499258</v>
      </c>
      <c r="X20" s="7">
        <f>csinterpolate(CSTableU1,'FT240-31'!X18*1000000)</f>
        <v>197.1733795009182</v>
      </c>
      <c r="Y20" s="7">
        <f>csinterpolate(CSTableU1,'FT240-31'!Y18*1000000)</f>
        <v>188.73405158778854</v>
      </c>
      <c r="Z20" s="7">
        <f>csinterpolate(CSTableU1,'FT240-31'!Z18*1000000)</f>
        <v>180.80504864805121</v>
      </c>
      <c r="AA20" s="7">
        <f>csinterpolate(CSTableU1,'FT240-31'!AA18*1000000)</f>
        <v>160.19702617751099</v>
      </c>
      <c r="AB20" s="7">
        <f>csinterpolate(CSTableU1,'FT240-31'!AB18*1000000)</f>
        <v>149.0234956597256</v>
      </c>
      <c r="AC20" s="7">
        <f>csinterpolate(CSTableU1,'FT240-31'!AC18*1000000)</f>
        <v>139.47392835158013</v>
      </c>
      <c r="AD20" s="7">
        <f>csinterpolate(CSTableU1,'FT240-31'!AD18*1000000)</f>
        <v>131.1200510309157</v>
      </c>
      <c r="AE20" s="7">
        <f>csinterpolate(CSTableU1,'FT240-31'!AE18*1000000)</f>
        <v>123.5336064588891</v>
      </c>
    </row>
    <row r="21" spans="1:31" x14ac:dyDescent="0.2">
      <c r="A21" t="s">
        <v>10</v>
      </c>
      <c r="B21" s="5">
        <f t="shared" ref="B21:AE21" si="1">B19/$B$13*$B$16*B18*1000000</f>
        <v>736.80859617834903</v>
      </c>
      <c r="C21" s="5">
        <f t="shared" si="1"/>
        <v>1115.3466731504852</v>
      </c>
      <c r="D21" s="5">
        <f t="shared" si="1"/>
        <v>2126.9646569813208</v>
      </c>
      <c r="E21" s="5">
        <f t="shared" si="1"/>
        <v>2429.87125953348</v>
      </c>
      <c r="F21" s="5">
        <f t="shared" si="1"/>
        <v>3075.9940359949965</v>
      </c>
      <c r="G21" s="5">
        <f t="shared" si="1"/>
        <v>3586.1542982940923</v>
      </c>
      <c r="H21" s="5">
        <f t="shared" si="1"/>
        <v>4027.4434201491049</v>
      </c>
      <c r="I21" s="5">
        <f t="shared" si="1"/>
        <v>4400.9719353753853</v>
      </c>
      <c r="J21" s="5">
        <f t="shared" si="1"/>
        <v>4708.8431559610353</v>
      </c>
      <c r="K21" s="5">
        <f t="shared" si="1"/>
        <v>4960.3111960551878</v>
      </c>
      <c r="L21" s="5">
        <f t="shared" si="1"/>
        <v>5170.3789517861642</v>
      </c>
      <c r="M21" s="5">
        <f t="shared" si="1"/>
        <v>5352.5247340210763</v>
      </c>
      <c r="N21" s="5">
        <f t="shared" si="1"/>
        <v>5660.8387357187576</v>
      </c>
      <c r="O21" s="5">
        <f t="shared" si="1"/>
        <v>5938.6299864554212</v>
      </c>
      <c r="P21" s="5">
        <f t="shared" si="1"/>
        <v>6220.9100950826514</v>
      </c>
      <c r="Q21" s="5">
        <f t="shared" si="1"/>
        <v>6518.655313236015</v>
      </c>
      <c r="R21" s="5">
        <f t="shared" si="1"/>
        <v>6828.4361457088316</v>
      </c>
      <c r="S21" s="5">
        <f t="shared" si="1"/>
        <v>7133.0321977854874</v>
      </c>
      <c r="T21" s="5">
        <f t="shared" si="1"/>
        <v>7417.8914006871346</v>
      </c>
      <c r="U21" s="5">
        <f t="shared" si="1"/>
        <v>7685.9242048621609</v>
      </c>
      <c r="V21" s="5">
        <f t="shared" si="1"/>
        <v>7940.9520872479634</v>
      </c>
      <c r="W21" s="5">
        <f t="shared" si="1"/>
        <v>8186.0556177687049</v>
      </c>
      <c r="X21" s="5">
        <f t="shared" si="1"/>
        <v>8423.5726755465002</v>
      </c>
      <c r="Y21" s="5">
        <f t="shared" si="1"/>
        <v>8655.1018101105456</v>
      </c>
      <c r="Z21" s="5">
        <f t="shared" si="1"/>
        <v>8881.5003470464544</v>
      </c>
      <c r="AA21" s="5">
        <f t="shared" si="1"/>
        <v>9527.564014112073</v>
      </c>
      <c r="AB21" s="5">
        <f t="shared" si="1"/>
        <v>9926.6883594317333</v>
      </c>
      <c r="AC21" s="5">
        <f t="shared" si="1"/>
        <v>10307.417756764453</v>
      </c>
      <c r="AD21" s="5">
        <f t="shared" si="1"/>
        <v>10675.799917520391</v>
      </c>
      <c r="AE21" s="5">
        <f t="shared" si="1"/>
        <v>11035.693694644493</v>
      </c>
    </row>
    <row r="22" spans="1:31" x14ac:dyDescent="0.2">
      <c r="A22" t="s">
        <v>11</v>
      </c>
      <c r="B22" s="5">
        <f t="shared" ref="B22:AE22" si="2">B20/$B$13*$B$16*B18*1000000</f>
        <v>2357.3086113621193</v>
      </c>
      <c r="C22" s="5">
        <f t="shared" si="2"/>
        <v>2838.1641091481297</v>
      </c>
      <c r="D22" s="5">
        <f t="shared" si="2"/>
        <v>3535.901328563918</v>
      </c>
      <c r="E22" s="5">
        <f t="shared" si="2"/>
        <v>3672.0298692492511</v>
      </c>
      <c r="F22" s="5">
        <f t="shared" si="2"/>
        <v>3804.2738552030451</v>
      </c>
      <c r="G22" s="5">
        <f t="shared" si="2"/>
        <v>3878.3099676777288</v>
      </c>
      <c r="H22" s="5">
        <f t="shared" si="2"/>
        <v>3972.3726544851293</v>
      </c>
      <c r="I22" s="5">
        <f t="shared" si="2"/>
        <v>4018.3219192921206</v>
      </c>
      <c r="J22" s="5">
        <f t="shared" si="2"/>
        <v>4043.1271785029189</v>
      </c>
      <c r="K22" s="5">
        <f t="shared" si="2"/>
        <v>4074.640832483014</v>
      </c>
      <c r="L22" s="5">
        <f t="shared" si="2"/>
        <v>4119.9168469401502</v>
      </c>
      <c r="M22" s="5">
        <f t="shared" si="2"/>
        <v>4174.490132670021</v>
      </c>
      <c r="N22" s="5">
        <f t="shared" si="2"/>
        <v>4280.6103199770014</v>
      </c>
      <c r="O22" s="5">
        <f t="shared" si="2"/>
        <v>4395.389749475009</v>
      </c>
      <c r="P22" s="5">
        <f t="shared" si="2"/>
        <v>4524.3852399296611</v>
      </c>
      <c r="Q22" s="5">
        <f t="shared" si="2"/>
        <v>4664.4669180822157</v>
      </c>
      <c r="R22" s="5">
        <f t="shared" si="2"/>
        <v>4820.3379658862423</v>
      </c>
      <c r="S22" s="5">
        <f t="shared" si="2"/>
        <v>4989.165287506914</v>
      </c>
      <c r="T22" s="5">
        <f t="shared" si="2"/>
        <v>5159.14357913616</v>
      </c>
      <c r="U22" s="5">
        <f t="shared" si="2"/>
        <v>5311.8194318917858</v>
      </c>
      <c r="V22" s="5">
        <f t="shared" si="2"/>
        <v>5441.3550489988711</v>
      </c>
      <c r="W22" s="5">
        <f t="shared" si="2"/>
        <v>5550.3403667214898</v>
      </c>
      <c r="X22" s="5">
        <f t="shared" si="2"/>
        <v>5641.5149491202783</v>
      </c>
      <c r="Y22" s="5">
        <f t="shared" si="2"/>
        <v>5717.6992775540211</v>
      </c>
      <c r="Z22" s="5">
        <f t="shared" si="2"/>
        <v>5781.7950883748654</v>
      </c>
      <c r="AA22" s="5">
        <f t="shared" si="2"/>
        <v>5931.6521166466464</v>
      </c>
      <c r="AB22" s="5">
        <f t="shared" si="2"/>
        <v>6019.5569819284519</v>
      </c>
      <c r="AC22" s="5">
        <f t="shared" si="2"/>
        <v>6103.3028837480706</v>
      </c>
      <c r="AD22" s="5">
        <f t="shared" si="2"/>
        <v>6179.1065296098159</v>
      </c>
      <c r="AE22" s="5">
        <f t="shared" si="2"/>
        <v>6237.4189718408115</v>
      </c>
    </row>
    <row r="23" spans="1:31" x14ac:dyDescent="0.2">
      <c r="A23" t="s">
        <v>12</v>
      </c>
      <c r="B23" s="5" t="str">
        <f t="shared" ref="B23:AE23" si="3">IMDIV(1,COMPLEX(B21,B22))</f>
        <v>0.00012079243710924-0.000386457288449041i</v>
      </c>
      <c r="C23" s="5" t="str">
        <f t="shared" si="3"/>
        <v>0.000119940406290019-0.000305206053475218i</v>
      </c>
      <c r="D23" s="5" t="str">
        <f t="shared" si="3"/>
        <v>0.000124920274626925-0.000207669536758923i</v>
      </c>
      <c r="E23" s="5" t="str">
        <f t="shared" si="3"/>
        <v>0.000125328116449279-0.000189396283960681i</v>
      </c>
      <c r="F23" s="5" t="str">
        <f t="shared" si="3"/>
        <v>0.000128518565059789-0.000158946932680581i</v>
      </c>
      <c r="G23" s="5" t="str">
        <f t="shared" si="3"/>
        <v>0.000128527746363303-0.000138998603624243i</v>
      </c>
      <c r="H23" s="5" t="str">
        <f t="shared" si="3"/>
        <v>0.000125857429858811-0.000124136470852373i</v>
      </c>
      <c r="I23" s="5" t="str">
        <f t="shared" si="3"/>
        <v>0.000123917057893573-0.000113142877805119i</v>
      </c>
      <c r="J23" s="5" t="str">
        <f t="shared" si="3"/>
        <v>0.000122243853161252-0.000104961543366654i</v>
      </c>
      <c r="K23" s="5" t="str">
        <f t="shared" si="3"/>
        <v>0.000120374325790708-0.000098881324913546i</v>
      </c>
      <c r="L23" s="5" t="str">
        <f t="shared" si="3"/>
        <v>0.000118297621837365-0.0000942631806499107i</v>
      </c>
      <c r="M23" s="5" t="str">
        <f t="shared" si="3"/>
        <v>0.000116167584874917-0.0000906003168400375i</v>
      </c>
      <c r="N23" s="5" t="str">
        <f t="shared" si="3"/>
        <v>0.000112387981004596-0.000084985489569607i</v>
      </c>
      <c r="O23" s="5" t="str">
        <f t="shared" si="3"/>
        <v>0.000108792463940777-0.0000805211440881222i</v>
      </c>
      <c r="P23" s="5" t="str">
        <f t="shared" si="3"/>
        <v>0.000105136602711994-0.0000764644539490283i</v>
      </c>
      <c r="Q23" s="5" t="str">
        <f t="shared" si="3"/>
        <v>0.000101457482769392-0.0000725985727468684i</v>
      </c>
      <c r="R23" s="5" t="str">
        <f t="shared" si="3"/>
        <v>0.0000977401022531379-0.0000689968120997193i</v>
      </c>
      <c r="S23" s="5" t="str">
        <f t="shared" si="3"/>
        <v>0.0000941382022457961-0.0000658445157472925i</v>
      </c>
      <c r="T23" s="5" t="str">
        <f t="shared" si="3"/>
        <v>0.0000908589051047589-0.0000631923698471964i</v>
      </c>
      <c r="U23" s="5" t="str">
        <f t="shared" si="3"/>
        <v>0.0000880516082781661-0.0000608533510602938i</v>
      </c>
      <c r="V23" s="5" t="str">
        <f t="shared" si="3"/>
        <v>0.0000856933593673986-0.0000587194065064643i</v>
      </c>
      <c r="W23" s="5" t="str">
        <f t="shared" si="3"/>
        <v>0.0000836867818827342-0.0000567416281214278i</v>
      </c>
      <c r="X23" s="5" t="str">
        <f t="shared" si="3"/>
        <v>0.0000819547079699208-0.0000548874839657152i</v>
      </c>
      <c r="Y23" s="5" t="str">
        <f t="shared" si="3"/>
        <v>0.000080435601943737-0.0000531370506336602i</v>
      </c>
      <c r="Z23" s="5" t="str">
        <f t="shared" si="3"/>
        <v>0.000079080084631607-0.0000514805862799234i</v>
      </c>
      <c r="AA23" s="5" t="str">
        <f t="shared" si="3"/>
        <v>0.0000756402167831057-0.0000470919378049369i</v>
      </c>
      <c r="AB23" s="5" t="str">
        <f t="shared" si="3"/>
        <v>0.0000736542139887316-0.0000446640130132687i</v>
      </c>
      <c r="AC23" s="5" t="str">
        <f t="shared" si="3"/>
        <v>0.0000718321156276074-0.0000425337527595582i</v>
      </c>
      <c r="AD23" s="5" t="str">
        <f t="shared" si="3"/>
        <v>0.000070164409812458-0.0000406108550336223i</v>
      </c>
      <c r="AE23" s="5" t="str">
        <f t="shared" si="3"/>
        <v>0.0000686760912198873-0.0000388160061469153i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806.75519993715+2455.19882577964i</v>
      </c>
      <c r="C25" s="6" t="str">
        <f t="shared" si="5"/>
        <v>1272.70040848654+2998.55632500925i</v>
      </c>
      <c r="D25" s="6" t="str">
        <f t="shared" si="5"/>
        <v>2728.0661360403+3794.22098450085i</v>
      </c>
      <c r="E25" s="6" t="str">
        <f t="shared" si="5"/>
        <v>3236.84935213251+3917.88297151913i</v>
      </c>
      <c r="F25" s="6" t="str">
        <f t="shared" si="5"/>
        <v>4428.40458841222+3853.12173330889i</v>
      </c>
      <c r="G25" s="6" t="str">
        <f t="shared" si="5"/>
        <v>5512.10222354275+3535.98726844685i</v>
      </c>
      <c r="H25" s="6" t="str">
        <f t="shared" si="5"/>
        <v>6547.22116780004+3025.69494484268i</v>
      </c>
      <c r="I25" s="6" t="str">
        <f t="shared" si="5"/>
        <v>7384.76447180892+2249.37055056484i</v>
      </c>
      <c r="J25" s="6" t="str">
        <f t="shared" si="5"/>
        <v>7964.22525803581+1312.03229018567i</v>
      </c>
      <c r="K25" s="6" t="str">
        <f t="shared" si="5"/>
        <v>8295.12846423788+319.302752513338i</v>
      </c>
      <c r="L25" s="6" t="str">
        <f t="shared" si="5"/>
        <v>8400.11124895307-668.143718119999i</v>
      </c>
      <c r="M25" s="6" t="str">
        <f t="shared" si="5"/>
        <v>8297.07798383651-1606.81242249348i</v>
      </c>
      <c r="N25" s="6" t="str">
        <f t="shared" si="5"/>
        <v>7575.13561765295-3165.27608081484i</v>
      </c>
      <c r="O25" s="6" t="str">
        <f t="shared" si="5"/>
        <v>6485.61761990714-4189.43306102854i</v>
      </c>
      <c r="P25" s="6" t="str">
        <f t="shared" si="5"/>
        <v>5327.01182017777-4721.27881230949i</v>
      </c>
      <c r="Q25" s="6" t="str">
        <f t="shared" si="5"/>
        <v>4276.26349154732-4884.86446231053i</v>
      </c>
      <c r="R25" s="6" t="str">
        <f t="shared" si="5"/>
        <v>3406.36413025627-4821.6104350621i</v>
      </c>
      <c r="S25" s="6" t="str">
        <f t="shared" si="5"/>
        <v>2722.78966944319-4637.85940201941i</v>
      </c>
      <c r="T25" s="6" t="str">
        <f t="shared" si="5"/>
        <v>2198.6192579662-4400.48220620884i</v>
      </c>
      <c r="U25" s="6" t="str">
        <f t="shared" si="5"/>
        <v>1797.76031228804-4145.50099983279i</v>
      </c>
      <c r="V25" s="6" t="str">
        <f t="shared" si="5"/>
        <v>1489.54022261361-3894.03170183827i</v>
      </c>
      <c r="W25" s="6" t="str">
        <f t="shared" si="5"/>
        <v>1249.88435021098-3656.91880362296i</v>
      </c>
      <c r="X25" s="6" t="str">
        <f t="shared" si="5"/>
        <v>1061.09447131496-3438.22721080878i</v>
      </c>
      <c r="Y25" s="6" t="str">
        <f t="shared" si="5"/>
        <v>910.373111599566-3238.71235319074i</v>
      </c>
      <c r="Z25" s="6" t="str">
        <f t="shared" si="5"/>
        <v>788.47787909396-3057.60163591846i</v>
      </c>
      <c r="AA25" s="6" t="str">
        <f t="shared" si="5"/>
        <v>537.026945219916-2609.85751321552i</v>
      </c>
      <c r="AB25" s="6" t="str">
        <f t="shared" si="5"/>
        <v>429.058121184823-2375.12362417504i</v>
      </c>
      <c r="AC25" s="6" t="str">
        <f t="shared" si="5"/>
        <v>349.607443904021-2178.2520774563i</v>
      </c>
      <c r="AD25" s="6" t="str">
        <f t="shared" si="5"/>
        <v>289.619399615968-2010.93156569075i</v>
      </c>
      <c r="AE25" s="6" t="str">
        <f t="shared" si="5"/>
        <v>243.447289316416-1866.9750281568i</v>
      </c>
    </row>
    <row r="26" spans="1:31" x14ac:dyDescent="0.2">
      <c r="A26" t="s">
        <v>6</v>
      </c>
      <c r="B26" s="5">
        <f t="shared" ref="B26:AE26" si="6">IMREAL(B25)</f>
        <v>806.75519993715</v>
      </c>
      <c r="C26" s="5">
        <f t="shared" si="6"/>
        <v>1272.70040848654</v>
      </c>
      <c r="D26" s="5">
        <f t="shared" si="6"/>
        <v>2728.0661360403001</v>
      </c>
      <c r="E26" s="5">
        <f t="shared" si="6"/>
        <v>3236.8493521325099</v>
      </c>
      <c r="F26" s="5">
        <f t="shared" si="6"/>
        <v>4428.4045884122197</v>
      </c>
      <c r="G26" s="5">
        <f t="shared" si="6"/>
        <v>5512.1022235427499</v>
      </c>
      <c r="H26" s="5">
        <f t="shared" si="6"/>
        <v>6547.2211678000403</v>
      </c>
      <c r="I26" s="5">
        <f t="shared" si="6"/>
        <v>7384.7644718089196</v>
      </c>
      <c r="J26" s="5">
        <f t="shared" si="6"/>
        <v>7964.2252580358099</v>
      </c>
      <c r="K26" s="5">
        <f t="shared" si="6"/>
        <v>8295.1284642378796</v>
      </c>
      <c r="L26" s="5">
        <f t="shared" si="6"/>
        <v>8400.1112489530697</v>
      </c>
      <c r="M26" s="5">
        <f t="shared" si="6"/>
        <v>8297.0779838365106</v>
      </c>
      <c r="N26" s="5">
        <f t="shared" si="6"/>
        <v>7575.1356176529498</v>
      </c>
      <c r="O26" s="5">
        <f t="shared" si="6"/>
        <v>6485.6176199071397</v>
      </c>
      <c r="P26" s="5">
        <f t="shared" si="6"/>
        <v>5327.0118201777696</v>
      </c>
      <c r="Q26" s="5">
        <f t="shared" si="6"/>
        <v>4276.26349154732</v>
      </c>
      <c r="R26" s="5">
        <f t="shared" si="6"/>
        <v>3406.3641302562701</v>
      </c>
      <c r="S26" s="5">
        <f t="shared" si="6"/>
        <v>2722.7896694431902</v>
      </c>
      <c r="T26" s="5">
        <f t="shared" si="6"/>
        <v>2198.6192579662002</v>
      </c>
      <c r="U26" s="5">
        <f t="shared" si="6"/>
        <v>1797.76031228804</v>
      </c>
      <c r="V26" s="5">
        <f t="shared" si="6"/>
        <v>1489.54022261361</v>
      </c>
      <c r="W26" s="5">
        <f t="shared" si="6"/>
        <v>1249.8843502109801</v>
      </c>
      <c r="X26" s="5">
        <f t="shared" si="6"/>
        <v>1061.0944713149599</v>
      </c>
      <c r="Y26" s="5">
        <f t="shared" si="6"/>
        <v>910.37311159956596</v>
      </c>
      <c r="Z26" s="5">
        <f t="shared" si="6"/>
        <v>788.47787909396004</v>
      </c>
      <c r="AA26" s="5">
        <f t="shared" si="6"/>
        <v>537.026945219916</v>
      </c>
      <c r="AB26" s="5">
        <f t="shared" si="6"/>
        <v>429.05812118482299</v>
      </c>
      <c r="AC26" s="5">
        <f t="shared" si="6"/>
        <v>349.60744390402101</v>
      </c>
      <c r="AD26" s="5">
        <f t="shared" si="6"/>
        <v>289.61939961596801</v>
      </c>
      <c r="AE26" s="5">
        <f t="shared" si="6"/>
        <v>243.447289316416</v>
      </c>
    </row>
    <row r="27" spans="1:31" x14ac:dyDescent="0.2">
      <c r="A27" t="s">
        <v>7</v>
      </c>
      <c r="B27" s="5">
        <f t="shared" ref="B27:AE27" si="7">IMAGINARY(B25)</f>
        <v>2455.1988257796402</v>
      </c>
      <c r="C27" s="5">
        <f t="shared" si="7"/>
        <v>2998.55632500925</v>
      </c>
      <c r="D27" s="5">
        <f t="shared" si="7"/>
        <v>3794.2209845008501</v>
      </c>
      <c r="E27" s="5">
        <f t="shared" si="7"/>
        <v>3917.88297151913</v>
      </c>
      <c r="F27" s="5">
        <f t="shared" si="7"/>
        <v>3853.1217333088898</v>
      </c>
      <c r="G27" s="5">
        <f t="shared" si="7"/>
        <v>3535.9872684468501</v>
      </c>
      <c r="H27" s="5">
        <f t="shared" si="7"/>
        <v>3025.6949448426799</v>
      </c>
      <c r="I27" s="5">
        <f t="shared" si="7"/>
        <v>2249.37055056484</v>
      </c>
      <c r="J27" s="5">
        <f t="shared" si="7"/>
        <v>1312.03229018567</v>
      </c>
      <c r="K27" s="5">
        <f t="shared" si="7"/>
        <v>319.30275251333802</v>
      </c>
      <c r="L27" s="5">
        <f t="shared" si="7"/>
        <v>-668.14371811999899</v>
      </c>
      <c r="M27" s="5">
        <f t="shared" si="7"/>
        <v>-1606.81242249348</v>
      </c>
      <c r="N27" s="5">
        <f t="shared" si="7"/>
        <v>-3165.27608081484</v>
      </c>
      <c r="O27" s="5">
        <f t="shared" si="7"/>
        <v>-4189.4330610285397</v>
      </c>
      <c r="P27" s="5">
        <f t="shared" si="7"/>
        <v>-4721.2788123094897</v>
      </c>
      <c r="Q27" s="5">
        <f t="shared" si="7"/>
        <v>-4884.8644623105301</v>
      </c>
      <c r="R27" s="5">
        <f t="shared" si="7"/>
        <v>-4821.6104350620999</v>
      </c>
      <c r="S27" s="5">
        <f t="shared" si="7"/>
        <v>-4637.8594020194096</v>
      </c>
      <c r="T27" s="5">
        <f t="shared" si="7"/>
        <v>-4400.4822062088397</v>
      </c>
      <c r="U27" s="5">
        <f t="shared" si="7"/>
        <v>-4145.5009998327896</v>
      </c>
      <c r="V27" s="5">
        <f t="shared" si="7"/>
        <v>-3894.0317018382698</v>
      </c>
      <c r="W27" s="5">
        <f t="shared" si="7"/>
        <v>-3656.9188036229598</v>
      </c>
      <c r="X27" s="5">
        <f t="shared" si="7"/>
        <v>-3438.22721080878</v>
      </c>
      <c r="Y27" s="5">
        <f t="shared" si="7"/>
        <v>-3238.71235319074</v>
      </c>
      <c r="Z27" s="5">
        <f t="shared" si="7"/>
        <v>-3057.60163591846</v>
      </c>
      <c r="AA27" s="5">
        <f t="shared" si="7"/>
        <v>-2609.8575132155202</v>
      </c>
      <c r="AB27" s="5">
        <f t="shared" si="7"/>
        <v>-2375.1236241750398</v>
      </c>
      <c r="AC27" s="5">
        <f t="shared" si="7"/>
        <v>-2178.2520774563</v>
      </c>
      <c r="AD27" s="5">
        <f t="shared" si="7"/>
        <v>-2010.9315656907499</v>
      </c>
      <c r="AE27" s="5">
        <f t="shared" si="7"/>
        <v>-1866.9750281567999</v>
      </c>
    </row>
    <row r="28" spans="1:31" x14ac:dyDescent="0.2">
      <c r="A28" t="s">
        <v>15</v>
      </c>
      <c r="B28" s="5">
        <f t="shared" ref="B28:AE28" si="8">IMABS(B25)</f>
        <v>2584.3481241379527</v>
      </c>
      <c r="C28" s="5">
        <f t="shared" si="8"/>
        <v>3257.4693189675304</v>
      </c>
      <c r="D28" s="5">
        <f t="shared" si="8"/>
        <v>4673.1635667753435</v>
      </c>
      <c r="E28" s="5">
        <f t="shared" si="8"/>
        <v>5082.027224141978</v>
      </c>
      <c r="F28" s="5">
        <f t="shared" si="8"/>
        <v>5870.0352886816372</v>
      </c>
      <c r="G28" s="5">
        <f t="shared" si="8"/>
        <v>6548.7767472561736</v>
      </c>
      <c r="H28" s="5">
        <f t="shared" si="8"/>
        <v>7212.5539803411857</v>
      </c>
      <c r="I28" s="5">
        <f t="shared" si="8"/>
        <v>7719.7418465800811</v>
      </c>
      <c r="J28" s="5">
        <f t="shared" si="8"/>
        <v>8071.5743626151034</v>
      </c>
      <c r="K28" s="5">
        <f t="shared" si="8"/>
        <v>8301.2716186119396</v>
      </c>
      <c r="L28" s="5">
        <f t="shared" si="8"/>
        <v>8426.6413844930612</v>
      </c>
      <c r="M28" s="5">
        <f t="shared" si="8"/>
        <v>8451.2335922600014</v>
      </c>
      <c r="N28" s="5">
        <f t="shared" si="8"/>
        <v>8209.8509300481765</v>
      </c>
      <c r="O28" s="5">
        <f t="shared" si="8"/>
        <v>7721.0481985601482</v>
      </c>
      <c r="P28" s="5">
        <f t="shared" si="8"/>
        <v>7118.1127102537639</v>
      </c>
      <c r="Q28" s="5">
        <f t="shared" si="8"/>
        <v>6492.1745404975682</v>
      </c>
      <c r="R28" s="5">
        <f t="shared" si="8"/>
        <v>5903.4942005050107</v>
      </c>
      <c r="S28" s="5">
        <f t="shared" si="8"/>
        <v>5378.0408530362056</v>
      </c>
      <c r="T28" s="5">
        <f t="shared" si="8"/>
        <v>4919.163576123532</v>
      </c>
      <c r="U28" s="5">
        <f t="shared" si="8"/>
        <v>4518.5308099041049</v>
      </c>
      <c r="V28" s="5">
        <f t="shared" si="8"/>
        <v>4169.1981207068175</v>
      </c>
      <c r="W28" s="5">
        <f t="shared" si="8"/>
        <v>3864.6171899935321</v>
      </c>
      <c r="X28" s="5">
        <f t="shared" si="8"/>
        <v>3598.2395459725994</v>
      </c>
      <c r="Y28" s="5">
        <f t="shared" si="8"/>
        <v>3364.2290214897348</v>
      </c>
      <c r="Z28" s="5">
        <f t="shared" si="8"/>
        <v>3157.6296695134711</v>
      </c>
      <c r="AA28" s="5">
        <f t="shared" si="8"/>
        <v>2664.5363910406127</v>
      </c>
      <c r="AB28" s="5">
        <f t="shared" si="8"/>
        <v>2413.5664692460878</v>
      </c>
      <c r="AC28" s="5">
        <f t="shared" si="8"/>
        <v>2206.1295242518718</v>
      </c>
      <c r="AD28" s="5">
        <f t="shared" si="8"/>
        <v>2031.6803780431028</v>
      </c>
      <c r="AE28" s="5">
        <f t="shared" si="8"/>
        <v>1882.7804806818544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67"/>
  <sheetViews>
    <sheetView workbookViewId="0">
      <selection activeCell="B2" sqref="B2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 s="15" t="s">
        <v>32</v>
      </c>
    </row>
    <row r="2" spans="1:16" x14ac:dyDescent="0.2">
      <c r="A2" t="s">
        <v>31</v>
      </c>
      <c r="B2">
        <v>1500</v>
      </c>
    </row>
    <row r="5" spans="1:16" x14ac:dyDescent="0.2">
      <c r="A5" t="s">
        <v>30</v>
      </c>
      <c r="E5" s="16" t="s">
        <v>0</v>
      </c>
      <c r="F5" s="16"/>
      <c r="G5" s="16"/>
      <c r="J5" t="s">
        <v>29</v>
      </c>
      <c r="N5" s="16" t="s">
        <v>0</v>
      </c>
      <c r="O5" s="16"/>
      <c r="P5" s="16"/>
    </row>
    <row r="6" spans="1:16" x14ac:dyDescent="0.2">
      <c r="A6">
        <v>100330</v>
      </c>
      <c r="B6">
        <v>1405.71</v>
      </c>
      <c r="E6">
        <f t="array" ref="E6:G23">cstable(A6:A23,B6:B23)</f>
        <v>100330</v>
      </c>
      <c r="F6">
        <v>1405.71</v>
      </c>
      <c r="G6">
        <v>0</v>
      </c>
      <c r="J6">
        <v>99770.4</v>
      </c>
      <c r="K6">
        <v>39.351399999999998</v>
      </c>
      <c r="N6">
        <f t="array" ref="N6:P26">cstable(Mix!J6:J26,Mix!K6:K26)</f>
        <v>99770.4</v>
      </c>
      <c r="O6">
        <v>39.351399999999998</v>
      </c>
      <c r="P6">
        <v>0</v>
      </c>
    </row>
    <row r="7" spans="1:16" x14ac:dyDescent="0.2">
      <c r="A7">
        <v>995581</v>
      </c>
      <c r="B7">
        <v>1400.3</v>
      </c>
      <c r="E7">
        <v>995581</v>
      </c>
      <c r="F7">
        <v>1400.3</v>
      </c>
      <c r="G7">
        <v>2.5523410763140121E-10</v>
      </c>
      <c r="J7">
        <v>151347</v>
      </c>
      <c r="K7">
        <v>54.429200000000002</v>
      </c>
      <c r="N7">
        <v>151347</v>
      </c>
      <c r="O7">
        <v>54.429200000000002</v>
      </c>
      <c r="P7">
        <v>-1.5583380542549626E-10</v>
      </c>
    </row>
    <row r="8" spans="1:16" x14ac:dyDescent="0.2">
      <c r="A8" s="1">
        <v>1240840</v>
      </c>
      <c r="B8">
        <v>1399.78</v>
      </c>
      <c r="E8">
        <v>1240840</v>
      </c>
      <c r="F8">
        <v>1399.78</v>
      </c>
      <c r="G8">
        <v>-2.2778261426069622E-9</v>
      </c>
      <c r="J8">
        <v>232253</v>
      </c>
      <c r="K8">
        <v>77.051299999999998</v>
      </c>
      <c r="N8">
        <v>232253</v>
      </c>
      <c r="O8">
        <v>77.051299999999998</v>
      </c>
      <c r="P8">
        <v>-4.3358256649668966E-10</v>
      </c>
    </row>
    <row r="9" spans="1:16" x14ac:dyDescent="0.2">
      <c r="A9" s="1">
        <v>1583050</v>
      </c>
      <c r="B9">
        <v>1260.3900000000001</v>
      </c>
      <c r="E9">
        <v>1583050</v>
      </c>
      <c r="F9">
        <v>1260.3900000000001</v>
      </c>
      <c r="G9">
        <v>5.3326712601630861E-10</v>
      </c>
      <c r="J9">
        <v>386479</v>
      </c>
      <c r="K9">
        <v>118.294</v>
      </c>
      <c r="N9">
        <v>386479</v>
      </c>
      <c r="O9">
        <v>118.294</v>
      </c>
      <c r="P9">
        <v>9.2949255760222611E-10</v>
      </c>
    </row>
    <row r="10" spans="1:16" x14ac:dyDescent="0.2">
      <c r="A10" s="1">
        <v>2019810</v>
      </c>
      <c r="B10">
        <v>1083.3800000000001</v>
      </c>
      <c r="E10">
        <v>2019810</v>
      </c>
      <c r="F10">
        <v>1083.3800000000001</v>
      </c>
      <c r="G10">
        <v>-8.9394849239975838E-11</v>
      </c>
      <c r="J10">
        <v>481489</v>
      </c>
      <c r="K10">
        <v>150.898</v>
      </c>
      <c r="N10">
        <v>481489</v>
      </c>
      <c r="O10">
        <v>150.898</v>
      </c>
      <c r="P10">
        <v>6.1070598337159938E-10</v>
      </c>
    </row>
    <row r="11" spans="1:16" x14ac:dyDescent="0.2">
      <c r="A11" s="1">
        <v>2577320</v>
      </c>
      <c r="B11">
        <v>878.71199999999999</v>
      </c>
      <c r="E11">
        <v>2577320</v>
      </c>
      <c r="F11">
        <v>878.71199999999999</v>
      </c>
      <c r="G11">
        <v>3.1186666726160853E-10</v>
      </c>
      <c r="J11">
        <v>613839</v>
      </c>
      <c r="K11">
        <v>208.77799999999999</v>
      </c>
      <c r="N11">
        <v>613839</v>
      </c>
      <c r="O11">
        <v>208.77799999999999</v>
      </c>
      <c r="P11">
        <v>1.5032645696550747E-9</v>
      </c>
    </row>
    <row r="12" spans="1:16" x14ac:dyDescent="0.2">
      <c r="A12" s="1">
        <v>3327110</v>
      </c>
      <c r="B12">
        <v>704.46900000000005</v>
      </c>
      <c r="E12">
        <v>3327110</v>
      </c>
      <c r="F12">
        <v>704.46900000000005</v>
      </c>
      <c r="G12">
        <v>5.7033227415009688E-11</v>
      </c>
      <c r="J12">
        <v>773490</v>
      </c>
      <c r="K12">
        <v>302.59399999999999</v>
      </c>
      <c r="N12">
        <v>773490</v>
      </c>
      <c r="O12">
        <v>302.59399999999999</v>
      </c>
      <c r="P12">
        <v>-3.5638652224743055E-10</v>
      </c>
    </row>
    <row r="13" spans="1:16" x14ac:dyDescent="0.2">
      <c r="A13" s="1">
        <v>4345270</v>
      </c>
      <c r="B13">
        <v>551.80399999999997</v>
      </c>
      <c r="E13">
        <v>4345270</v>
      </c>
      <c r="F13">
        <v>551.80399999999997</v>
      </c>
      <c r="G13">
        <v>5.8128194384817832E-11</v>
      </c>
      <c r="J13">
        <v>952444</v>
      </c>
      <c r="K13">
        <v>409.072</v>
      </c>
      <c r="N13">
        <v>952444</v>
      </c>
      <c r="O13">
        <v>409.072</v>
      </c>
      <c r="P13">
        <v>2.5466097170413103E-10</v>
      </c>
    </row>
    <row r="14" spans="1:16" x14ac:dyDescent="0.2">
      <c r="A14" s="1">
        <v>6014070</v>
      </c>
      <c r="B14">
        <v>412.57</v>
      </c>
      <c r="E14">
        <v>6014070</v>
      </c>
      <c r="F14">
        <v>412.57</v>
      </c>
      <c r="G14">
        <v>1.7141339208485279E-11</v>
      </c>
      <c r="J14" s="1">
        <v>1257160</v>
      </c>
      <c r="K14">
        <v>579.23900000000003</v>
      </c>
      <c r="N14">
        <v>1257160</v>
      </c>
      <c r="O14">
        <v>579.23900000000003</v>
      </c>
      <c r="P14">
        <v>-1.3189719256468954E-9</v>
      </c>
    </row>
    <row r="15" spans="1:16" x14ac:dyDescent="0.2">
      <c r="A15" s="1">
        <v>8618280</v>
      </c>
      <c r="B15">
        <v>308.45</v>
      </c>
      <c r="E15">
        <v>8618280</v>
      </c>
      <c r="F15">
        <v>308.45</v>
      </c>
      <c r="G15">
        <v>6.6118259150650408E-12</v>
      </c>
      <c r="J15" s="1">
        <v>1603190</v>
      </c>
      <c r="K15">
        <v>673.32799999999997</v>
      </c>
      <c r="N15">
        <v>1603190</v>
      </c>
      <c r="O15">
        <v>673.32799999999997</v>
      </c>
      <c r="P15">
        <v>-2.3170149977449743E-10</v>
      </c>
    </row>
    <row r="16" spans="1:16" x14ac:dyDescent="0.2">
      <c r="A16" s="1">
        <v>13239300</v>
      </c>
      <c r="B16">
        <v>233.27199999999999</v>
      </c>
      <c r="E16">
        <v>13239300</v>
      </c>
      <c r="F16">
        <v>233.27199999999999</v>
      </c>
      <c r="G16">
        <v>4.5286535828069747E-13</v>
      </c>
      <c r="J16" s="1">
        <v>2141740</v>
      </c>
      <c r="K16">
        <v>729.97799999999995</v>
      </c>
      <c r="N16">
        <v>2141740</v>
      </c>
      <c r="O16">
        <v>729.97799999999995</v>
      </c>
      <c r="P16">
        <v>-2.4881561463162642E-10</v>
      </c>
    </row>
    <row r="17" spans="1:16" x14ac:dyDescent="0.2">
      <c r="A17" s="1">
        <v>21305700</v>
      </c>
      <c r="B17">
        <v>164.53399999999999</v>
      </c>
      <c r="E17">
        <v>21305700</v>
      </c>
      <c r="F17">
        <v>164.53399999999999</v>
      </c>
      <c r="G17">
        <v>5.5022332779177218E-13</v>
      </c>
      <c r="J17" s="1">
        <v>2763840</v>
      </c>
      <c r="K17">
        <v>721.24300000000005</v>
      </c>
      <c r="N17">
        <v>2763840</v>
      </c>
      <c r="O17">
        <v>721.24300000000005</v>
      </c>
      <c r="P17">
        <v>-2.0941242063541992E-11</v>
      </c>
    </row>
    <row r="18" spans="1:16" x14ac:dyDescent="0.2">
      <c r="A18" s="1">
        <v>30532100</v>
      </c>
      <c r="B18">
        <v>121.59</v>
      </c>
      <c r="E18">
        <v>30532100</v>
      </c>
      <c r="F18">
        <v>121.59</v>
      </c>
      <c r="G18">
        <v>5.630717178441426E-14</v>
      </c>
      <c r="J18" s="1">
        <v>3823950</v>
      </c>
      <c r="K18">
        <v>664.58500000000004</v>
      </c>
      <c r="N18">
        <v>3823950</v>
      </c>
      <c r="O18">
        <v>664.58500000000004</v>
      </c>
      <c r="P18">
        <v>-1.0548103429505719E-11</v>
      </c>
    </row>
    <row r="19" spans="1:16" x14ac:dyDescent="0.2">
      <c r="A19" s="1">
        <v>42262900</v>
      </c>
      <c r="B19">
        <v>84.792900000000003</v>
      </c>
      <c r="E19">
        <v>42262900</v>
      </c>
      <c r="F19">
        <v>84.792900000000003</v>
      </c>
      <c r="G19">
        <v>1.4230865961902145E-13</v>
      </c>
      <c r="J19" s="1">
        <v>5291300</v>
      </c>
      <c r="K19">
        <v>571.17200000000003</v>
      </c>
      <c r="N19">
        <v>5291300</v>
      </c>
      <c r="O19">
        <v>571.17200000000003</v>
      </c>
      <c r="P19">
        <v>9.6950916614788982E-12</v>
      </c>
    </row>
    <row r="20" spans="1:16" x14ac:dyDescent="0.2">
      <c r="A20" s="1">
        <v>55848300</v>
      </c>
      <c r="B20">
        <v>60.525399999999998</v>
      </c>
      <c r="E20">
        <v>55848300</v>
      </c>
      <c r="F20">
        <v>60.525399999999998</v>
      </c>
      <c r="G20">
        <v>1.7448839428668838E-14</v>
      </c>
      <c r="J20" s="1">
        <v>7407780</v>
      </c>
      <c r="K20">
        <v>463.19600000000003</v>
      </c>
      <c r="N20">
        <v>7407780</v>
      </c>
      <c r="O20">
        <v>463.19600000000003</v>
      </c>
      <c r="P20">
        <v>1.0324724444143007E-11</v>
      </c>
    </row>
    <row r="21" spans="1:16" x14ac:dyDescent="0.2">
      <c r="A21" s="1">
        <v>72958900</v>
      </c>
      <c r="B21">
        <v>40.296900000000001</v>
      </c>
      <c r="E21">
        <v>72958900</v>
      </c>
      <c r="F21">
        <v>40.296900000000001</v>
      </c>
      <c r="G21">
        <v>3.6228673655313273E-14</v>
      </c>
      <c r="J21" s="1">
        <v>11646200</v>
      </c>
      <c r="K21">
        <v>358.51799999999997</v>
      </c>
      <c r="N21">
        <v>11646200</v>
      </c>
      <c r="O21">
        <v>358.51799999999997</v>
      </c>
      <c r="P21">
        <v>1.4561039700717933E-12</v>
      </c>
    </row>
    <row r="22" spans="1:16" x14ac:dyDescent="0.2">
      <c r="A22" s="1">
        <v>92051100</v>
      </c>
      <c r="B22">
        <v>27.460999999999999</v>
      </c>
      <c r="E22">
        <v>92051100</v>
      </c>
      <c r="F22">
        <v>27.460999999999999</v>
      </c>
      <c r="G22">
        <v>7.2142586597134589E-15</v>
      </c>
      <c r="J22" s="1">
        <v>21289100</v>
      </c>
      <c r="K22">
        <v>261.77999999999997</v>
      </c>
      <c r="N22">
        <v>21289100</v>
      </c>
      <c r="O22">
        <v>261.77999999999997</v>
      </c>
      <c r="P22">
        <v>3.9473501242861775E-13</v>
      </c>
    </row>
    <row r="23" spans="1:16" x14ac:dyDescent="0.2">
      <c r="A23" s="1">
        <v>101024000</v>
      </c>
      <c r="B23">
        <v>23.0684</v>
      </c>
      <c r="E23">
        <v>101024000</v>
      </c>
      <c r="F23">
        <v>23.0684</v>
      </c>
      <c r="G23">
        <v>0</v>
      </c>
      <c r="J23" s="1">
        <v>39829700</v>
      </c>
      <c r="K23">
        <v>188.93100000000001</v>
      </c>
      <c r="N23">
        <v>39829700</v>
      </c>
      <c r="O23">
        <v>188.93100000000001</v>
      </c>
      <c r="P23">
        <v>1.7594208499235938E-14</v>
      </c>
    </row>
    <row r="24" spans="1:16" x14ac:dyDescent="0.2">
      <c r="J24" s="1">
        <v>57071300</v>
      </c>
      <c r="K24">
        <v>149.69200000000001</v>
      </c>
      <c r="N24">
        <v>57071300</v>
      </c>
      <c r="O24">
        <v>149.69200000000001</v>
      </c>
      <c r="P24">
        <v>7.7848056403664947E-14</v>
      </c>
    </row>
    <row r="25" spans="1:16" x14ac:dyDescent="0.2">
      <c r="J25" s="1">
        <v>78977100</v>
      </c>
      <c r="K25">
        <v>122.81399999999999</v>
      </c>
      <c r="N25">
        <v>78977100</v>
      </c>
      <c r="O25">
        <v>122.81399999999999</v>
      </c>
      <c r="P25">
        <v>-4.8087259525886363E-15</v>
      </c>
    </row>
    <row r="26" spans="1:16" x14ac:dyDescent="0.2">
      <c r="J26" s="1">
        <v>99611200</v>
      </c>
      <c r="K26">
        <v>101.95399999999999</v>
      </c>
      <c r="N26">
        <v>99611200</v>
      </c>
      <c r="O26">
        <v>101.95399999999999</v>
      </c>
      <c r="P26">
        <v>0</v>
      </c>
    </row>
    <row r="31" spans="1:16" x14ac:dyDescent="0.2">
      <c r="J31" s="1"/>
    </row>
    <row r="32" spans="1:16" x14ac:dyDescent="0.2">
      <c r="J32" s="1"/>
    </row>
    <row r="33" spans="10:10" x14ac:dyDescent="0.2">
      <c r="J33" s="1"/>
    </row>
    <row r="34" spans="10:10" x14ac:dyDescent="0.2">
      <c r="J34" s="1"/>
    </row>
    <row r="35" spans="10:10" x14ac:dyDescent="0.2">
      <c r="J35" s="1"/>
    </row>
    <row r="36" spans="10:10" x14ac:dyDescent="0.2">
      <c r="J36" s="1"/>
    </row>
    <row r="37" spans="10:10" x14ac:dyDescent="0.2">
      <c r="J37" s="1"/>
    </row>
    <row r="38" spans="10:10" x14ac:dyDescent="0.2">
      <c r="J38" s="1"/>
    </row>
    <row r="39" spans="10:10" x14ac:dyDescent="0.2">
      <c r="J39" s="1"/>
    </row>
    <row r="40" spans="10:10" x14ac:dyDescent="0.2">
      <c r="J40" s="1"/>
    </row>
    <row r="41" spans="10:10" x14ac:dyDescent="0.2">
      <c r="J41" s="1"/>
    </row>
    <row r="42" spans="10:10" x14ac:dyDescent="0.2">
      <c r="J42" s="1"/>
    </row>
    <row r="43" spans="10:10" x14ac:dyDescent="0.2">
      <c r="J43" s="1"/>
    </row>
    <row r="44" spans="10:10" x14ac:dyDescent="0.2">
      <c r="J44" s="1"/>
    </row>
    <row r="45" spans="10:10" x14ac:dyDescent="0.2">
      <c r="J45" s="1"/>
    </row>
    <row r="46" spans="10:10" x14ac:dyDescent="0.2">
      <c r="J46" s="1"/>
    </row>
    <row r="47" spans="10:10" x14ac:dyDescent="0.2">
      <c r="J47" s="1"/>
    </row>
    <row r="48" spans="10:10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7" x14ac:dyDescent="0.2">
      <c r="J65" s="1"/>
    </row>
    <row r="66" spans="10:17" x14ac:dyDescent="0.2">
      <c r="J66" s="1"/>
    </row>
    <row r="67" spans="10:17" x14ac:dyDescent="0.2">
      <c r="J67" s="1"/>
      <c r="Q67" t="s">
        <v>28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FT240-31</vt:lpstr>
      <vt:lpstr>Mix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2015-09-28T21:55:15Z</dcterms:modified>
</cp:coreProperties>
</file>