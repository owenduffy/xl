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088B025A-EF26-4645-B0A2-52D74F59BAA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FT240-31" sheetId="10" r:id="rId1"/>
    <sheet name="Mix" sheetId="2" r:id="rId2"/>
  </sheets>
  <functionGroups builtInGroupCount="19"/>
  <externalReferences>
    <externalReference r:id="rId3"/>
  </externalReferences>
  <definedNames>
    <definedName name="CSTableU1">Mix!$E$6:$G$23</definedName>
    <definedName name="CSTableU2">Mix!$N$6:$P$26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4" i="10" l="1"/>
  <c r="AD24" i="10"/>
  <c r="AC24" i="10"/>
  <c r="AB24" i="10"/>
  <c r="AA24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N18" i="10"/>
  <c r="N24" i="10" s="1"/>
  <c r="B16" i="10"/>
  <c r="B13" i="10"/>
  <c r="B12" i="10"/>
  <c r="O18" i="10"/>
  <c r="O24" i="10"/>
  <c r="P18" i="10"/>
  <c r="Q18" i="10" s="1"/>
  <c r="P24" i="10"/>
  <c r="N6" i="2" a="1"/>
  <c r="E6" i="2" a="1"/>
  <c r="B33" i="10"/>
  <c r="C33" i="10"/>
  <c r="N7" i="2" l="1"/>
  <c r="P9" i="2"/>
  <c r="O12" i="2"/>
  <c r="N15" i="2"/>
  <c r="P17" i="2"/>
  <c r="O20" i="2"/>
  <c r="N23" i="2"/>
  <c r="P25" i="2"/>
  <c r="O7" i="2"/>
  <c r="N10" i="2"/>
  <c r="P12" i="2"/>
  <c r="O15" i="2"/>
  <c r="N18" i="2"/>
  <c r="P20" i="2"/>
  <c r="O23" i="2"/>
  <c r="N26" i="2"/>
  <c r="O18" i="2"/>
  <c r="P18" i="2"/>
  <c r="N24" i="2"/>
  <c r="O8" i="2"/>
  <c r="P13" i="2"/>
  <c r="O16" i="2"/>
  <c r="P21" i="2"/>
  <c r="N6" i="2"/>
  <c r="O11" i="2"/>
  <c r="P16" i="2"/>
  <c r="N22" i="2"/>
  <c r="O6" i="2"/>
  <c r="P11" i="2"/>
  <c r="O14" i="2"/>
  <c r="P19" i="2"/>
  <c r="N25" i="2"/>
  <c r="O9" i="2"/>
  <c r="P14" i="2"/>
  <c r="N20" i="2"/>
  <c r="O25" i="2"/>
  <c r="P7" i="2"/>
  <c r="O10" i="2"/>
  <c r="N13" i="2"/>
  <c r="P15" i="2"/>
  <c r="N21" i="2"/>
  <c r="P23" i="2"/>
  <c r="O26" i="2"/>
  <c r="N8" i="2"/>
  <c r="P10" i="2"/>
  <c r="O13" i="2"/>
  <c r="N16" i="2"/>
  <c r="O21" i="2"/>
  <c r="P26" i="2"/>
  <c r="N11" i="2"/>
  <c r="N19" i="2"/>
  <c r="O24" i="2"/>
  <c r="P8" i="2"/>
  <c r="N14" i="2"/>
  <c r="O19" i="2"/>
  <c r="P24" i="2"/>
  <c r="N9" i="2"/>
  <c r="N17" i="2"/>
  <c r="O22" i="2"/>
  <c r="P6" i="2"/>
  <c r="N12" i="2"/>
  <c r="O17" i="2"/>
  <c r="P22" i="2"/>
  <c r="Q24" i="10"/>
  <c r="R18" i="10"/>
  <c r="F11" i="2"/>
  <c r="G9" i="2"/>
  <c r="G17" i="2"/>
  <c r="F23" i="2"/>
  <c r="E6" i="2"/>
  <c r="E14" i="2"/>
  <c r="E22" i="2"/>
  <c r="F17" i="2"/>
  <c r="G12" i="2"/>
  <c r="G20" i="2"/>
  <c r="F10" i="2"/>
  <c r="E9" i="2"/>
  <c r="E17" i="2"/>
  <c r="F21" i="2"/>
  <c r="G7" i="2"/>
  <c r="G23" i="2"/>
  <c r="E12" i="2"/>
  <c r="F13" i="2"/>
  <c r="G18" i="2"/>
  <c r="E7" i="2"/>
  <c r="E23" i="2"/>
  <c r="G19" i="2"/>
  <c r="F18" i="2"/>
  <c r="F14" i="2"/>
  <c r="G11" i="2"/>
  <c r="E16" i="2"/>
  <c r="G22" i="2"/>
  <c r="G13" i="2"/>
  <c r="F12" i="2"/>
  <c r="E18" i="2"/>
  <c r="G8" i="2"/>
  <c r="F20" i="2"/>
  <c r="E13" i="2"/>
  <c r="F7" i="2"/>
  <c r="F16" i="2"/>
  <c r="G10" i="2"/>
  <c r="E15" i="2"/>
  <c r="E8" i="2"/>
  <c r="E19" i="2"/>
  <c r="F6" i="2"/>
  <c r="F22" i="2"/>
  <c r="E10" i="2"/>
  <c r="G16" i="2"/>
  <c r="E21" i="2"/>
  <c r="E20" i="2"/>
  <c r="F15" i="2"/>
  <c r="F8" i="2"/>
  <c r="G21" i="2"/>
  <c r="F9" i="2"/>
  <c r="F19" i="2"/>
  <c r="G15" i="2"/>
  <c r="G6" i="2"/>
  <c r="G14" i="2"/>
  <c r="E11" i="2"/>
  <c r="K19" i="10"/>
  <c r="I19" i="10"/>
  <c r="M19" i="10"/>
  <c r="AB19" i="10"/>
  <c r="E19" i="10"/>
  <c r="O19" i="10"/>
  <c r="B20" i="10"/>
  <c r="M20" i="10"/>
  <c r="P20" i="10"/>
  <c r="C20" i="10"/>
  <c r="F20" i="10"/>
  <c r="Q19" i="10"/>
  <c r="AA20" i="10"/>
  <c r="J20" i="10"/>
  <c r="H20" i="10"/>
  <c r="D19" i="10"/>
  <c r="AD19" i="10"/>
  <c r="AE19" i="10"/>
  <c r="P19" i="10"/>
  <c r="E20" i="10"/>
  <c r="I20" i="10"/>
  <c r="B19" i="10"/>
  <c r="AA19" i="10"/>
  <c r="J19" i="10"/>
  <c r="C19" i="10"/>
  <c r="AC20" i="10"/>
  <c r="R19" i="10"/>
  <c r="G20" i="10"/>
  <c r="O20" i="10"/>
  <c r="AD20" i="10"/>
  <c r="N20" i="10"/>
  <c r="L20" i="10"/>
  <c r="F19" i="10"/>
  <c r="L19" i="10"/>
  <c r="H19" i="10"/>
  <c r="G19" i="10"/>
  <c r="D20" i="10"/>
  <c r="Q20" i="10"/>
  <c r="K20" i="10"/>
  <c r="N19" i="10"/>
  <c r="AC19" i="10"/>
  <c r="R20" i="10"/>
  <c r="AE20" i="10"/>
  <c r="AB20" i="10"/>
  <c r="R24" i="10" l="1"/>
  <c r="S18" i="10"/>
  <c r="K22" i="10"/>
  <c r="L22" i="10"/>
  <c r="F22" i="10"/>
  <c r="AB22" i="10"/>
  <c r="H22" i="10"/>
  <c r="N22" i="10"/>
  <c r="C22" i="10"/>
  <c r="I22" i="10"/>
  <c r="Q22" i="10"/>
  <c r="AD22" i="10"/>
  <c r="P22" i="10"/>
  <c r="AE22" i="10"/>
  <c r="J22" i="10"/>
  <c r="O22" i="10"/>
  <c r="M22" i="10"/>
  <c r="E22" i="10"/>
  <c r="D22" i="10"/>
  <c r="G22" i="10"/>
  <c r="B22" i="10"/>
  <c r="R22" i="10"/>
  <c r="AA22" i="10"/>
  <c r="R21" i="10"/>
  <c r="O21" i="10"/>
  <c r="P21" i="10"/>
  <c r="P23" i="10" s="1"/>
  <c r="P25" i="10" s="1"/>
  <c r="P27" i="10" s="1"/>
  <c r="G21" i="10"/>
  <c r="AC22" i="10"/>
  <c r="E21" i="10"/>
  <c r="AC21" i="10"/>
  <c r="H21" i="10"/>
  <c r="H23" i="10" s="1"/>
  <c r="H25" i="10" s="1"/>
  <c r="H26" i="10" s="1"/>
  <c r="C21" i="10"/>
  <c r="C23" i="10" s="1"/>
  <c r="C25" i="10" s="1"/>
  <c r="C27" i="10" s="1"/>
  <c r="AB21" i="10"/>
  <c r="AE21" i="10"/>
  <c r="Q21" i="10"/>
  <c r="Q23" i="10" s="1"/>
  <c r="Q25" i="10" s="1"/>
  <c r="Q27" i="10" s="1"/>
  <c r="J21" i="10"/>
  <c r="J23" i="10" s="1"/>
  <c r="J25" i="10" s="1"/>
  <c r="M21" i="10"/>
  <c r="AD21" i="10"/>
  <c r="L21" i="10"/>
  <c r="AA21" i="10"/>
  <c r="I21" i="10"/>
  <c r="N21" i="10"/>
  <c r="F21" i="10"/>
  <c r="B21" i="10"/>
  <c r="B23" i="10" s="1"/>
  <c r="B25" i="10" s="1"/>
  <c r="B27" i="10" s="1"/>
  <c r="K21" i="10"/>
  <c r="D21" i="10"/>
  <c r="H27" i="10"/>
  <c r="M23" i="10"/>
  <c r="M25" i="10" s="1"/>
  <c r="Q28" i="10" l="1"/>
  <c r="AC23" i="10"/>
  <c r="AC25" i="10" s="1"/>
  <c r="AC26" i="10" s="1"/>
  <c r="R23" i="10"/>
  <c r="R25" i="10" s="1"/>
  <c r="I23" i="10"/>
  <c r="I25" i="10" s="1"/>
  <c r="I27" i="10" s="1"/>
  <c r="AB23" i="10"/>
  <c r="AB25" i="10" s="1"/>
  <c r="AB26" i="10" s="1"/>
  <c r="E23" i="10"/>
  <c r="E25" i="10" s="1"/>
  <c r="E28" i="10" s="1"/>
  <c r="L23" i="10"/>
  <c r="L25" i="10" s="1"/>
  <c r="L28" i="10" s="1"/>
  <c r="G23" i="10"/>
  <c r="G25" i="10" s="1"/>
  <c r="G27" i="10" s="1"/>
  <c r="D23" i="10"/>
  <c r="D25" i="10" s="1"/>
  <c r="AD23" i="10"/>
  <c r="AD25" i="10" s="1"/>
  <c r="AD28" i="10" s="1"/>
  <c r="Q26" i="10"/>
  <c r="O23" i="10"/>
  <c r="O25" i="10" s="1"/>
  <c r="O26" i="10" s="1"/>
  <c r="S24" i="10"/>
  <c r="T18" i="10"/>
  <c r="P26" i="10"/>
  <c r="B26" i="10"/>
  <c r="B28" i="10"/>
  <c r="P28" i="10"/>
  <c r="C26" i="10"/>
  <c r="H28" i="10"/>
  <c r="K23" i="10"/>
  <c r="K25" i="10" s="1"/>
  <c r="K26" i="10" s="1"/>
  <c r="F23" i="10"/>
  <c r="F25" i="10" s="1"/>
  <c r="F28" i="10" s="1"/>
  <c r="N23" i="10"/>
  <c r="N25" i="10" s="1"/>
  <c r="AA23" i="10"/>
  <c r="AA25" i="10" s="1"/>
  <c r="AE23" i="10"/>
  <c r="AE25" i="10" s="1"/>
  <c r="F27" i="10"/>
  <c r="AD26" i="10"/>
  <c r="J26" i="10"/>
  <c r="J27" i="10"/>
  <c r="J28" i="10"/>
  <c r="C28" i="10"/>
  <c r="M28" i="10"/>
  <c r="M27" i="10"/>
  <c r="M26" i="10"/>
  <c r="R26" i="10"/>
  <c r="R27" i="10"/>
  <c r="R28" i="10"/>
  <c r="AC27" i="10"/>
  <c r="AC28" i="10"/>
  <c r="S19" i="10"/>
  <c r="S20" i="10"/>
  <c r="O27" i="10" l="1"/>
  <c r="I28" i="10"/>
  <c r="I26" i="10"/>
  <c r="O28" i="10"/>
  <c r="AD27" i="10"/>
  <c r="AB28" i="10"/>
  <c r="AB27" i="10"/>
  <c r="K27" i="10"/>
  <c r="E27" i="10"/>
  <c r="E26" i="10"/>
  <c r="S22" i="10"/>
  <c r="S21" i="10"/>
  <c r="S23" i="10" s="1"/>
  <c r="S25" i="10" s="1"/>
  <c r="S27" i="10" s="1"/>
  <c r="K28" i="10"/>
  <c r="D27" i="10"/>
  <c r="D26" i="10"/>
  <c r="D28" i="10"/>
  <c r="G28" i="10"/>
  <c r="G26" i="10"/>
  <c r="L26" i="10"/>
  <c r="L27" i="10"/>
  <c r="F26" i="10"/>
  <c r="T24" i="10"/>
  <c r="U18" i="10"/>
  <c r="AE27" i="10"/>
  <c r="AE28" i="10"/>
  <c r="AE26" i="10"/>
  <c r="N26" i="10"/>
  <c r="N28" i="10"/>
  <c r="N27" i="10"/>
  <c r="AA26" i="10"/>
  <c r="AA28" i="10"/>
  <c r="AA27" i="10"/>
  <c r="T20" i="10"/>
  <c r="T19" i="10"/>
  <c r="S28" i="10" l="1"/>
  <c r="T21" i="10"/>
  <c r="T22" i="10"/>
  <c r="S26" i="10"/>
  <c r="U24" i="10"/>
  <c r="V18" i="10"/>
  <c r="U19" i="10"/>
  <c r="U20" i="10"/>
  <c r="U22" i="10" l="1"/>
  <c r="U21" i="10"/>
  <c r="T23" i="10"/>
  <c r="T25" i="10" s="1"/>
  <c r="V24" i="10"/>
  <c r="W18" i="10"/>
  <c r="V20" i="10"/>
  <c r="V19" i="10"/>
  <c r="U23" i="10" l="1"/>
  <c r="U25" i="10" s="1"/>
  <c r="U26" i="10" s="1"/>
  <c r="V21" i="10"/>
  <c r="V22" i="10"/>
  <c r="T27" i="10"/>
  <c r="T26" i="10"/>
  <c r="T28" i="10"/>
  <c r="W24" i="10"/>
  <c r="X18" i="10"/>
  <c r="W19" i="10"/>
  <c r="W20" i="10"/>
  <c r="V23" i="10" l="1"/>
  <c r="V25" i="10" s="1"/>
  <c r="V27" i="10" s="1"/>
  <c r="U28" i="10"/>
  <c r="U27" i="10"/>
  <c r="W22" i="10"/>
  <c r="W21" i="10"/>
  <c r="W23" i="10" s="1"/>
  <c r="W25" i="10" s="1"/>
  <c r="W27" i="10" s="1"/>
  <c r="X24" i="10"/>
  <c r="Y18" i="10"/>
  <c r="X20" i="10"/>
  <c r="X19" i="10"/>
  <c r="V28" i="10" l="1"/>
  <c r="V26" i="10"/>
  <c r="X21" i="10"/>
  <c r="X22" i="10"/>
  <c r="W26" i="10"/>
  <c r="W28" i="10"/>
  <c r="Y24" i="10"/>
  <c r="Z18" i="10"/>
  <c r="Y19" i="10"/>
  <c r="Y20" i="10"/>
  <c r="Y22" i="10" l="1"/>
  <c r="Y21" i="10"/>
  <c r="X23" i="10"/>
  <c r="X25" i="10" s="1"/>
  <c r="Z24" i="10"/>
  <c r="Z19" i="10"/>
  <c r="Z20" i="10"/>
  <c r="Y23" i="10" l="1"/>
  <c r="Y25" i="10" s="1"/>
  <c r="Y27" i="10" s="1"/>
  <c r="Z22" i="10"/>
  <c r="Z21" i="10"/>
  <c r="Z23" i="10" s="1"/>
  <c r="Z25" i="10" s="1"/>
  <c r="Z27" i="10" s="1"/>
  <c r="X27" i="10"/>
  <c r="X28" i="10"/>
  <c r="X26" i="10"/>
  <c r="Y28" i="10" l="1"/>
  <c r="Y26" i="10"/>
  <c r="Z26" i="10"/>
  <c r="Z28" i="10"/>
</calcChain>
</file>

<file path=xl/sharedStrings.xml><?xml version="1.0" encoding="utf-8"?>
<sst xmlns="http://schemas.openxmlformats.org/spreadsheetml/2006/main" count="37" uniqueCount="34">
  <si>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</si>
  <si>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</si>
  <si>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</si>
  <si>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</si>
  <si>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</si>
  <si>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</si>
  <si>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</si>
  <si>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</si>
  <si>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</si>
  <si>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</si>
  <si>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</si>
  <si>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</si>
  <si>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</si>
  <si>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</si>
  <si>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</si>
  <si>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</si>
  <si>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</si>
  <si>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</si>
  <si>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</si>
  <si>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</si>
  <si>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</si>
  <si>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</si>
  <si>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</si>
  <si>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</si>
  <si>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</si>
  <si>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</si>
  <si>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</si>
  <si>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</si>
  <si>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</si>
  <si>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</si>
  <si>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#31</t>
  </si>
  <si>
    <t>2631803802</t>
  </si>
  <si>
    <t># #31 mix u'</t>
  </si>
  <si>
    <t># #31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</si>
</sst>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4" fillId="0" borderId="0" xfId="0" quotePrefix="1" applyFon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'FT240-31'!$A$26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'FT240-31'!$B$26:$AE$26</c:f>
              <c:numCache>
                <c:formatCode>0</c:formatCode>
                <c:ptCount val="30"/>
                <c:pt idx="0">
                  <c:v>571.98538154373796</c:v>
                </c:pt>
                <c:pt idx="1">
                  <c:v>887.63160944437004</c:v>
                </c:pt>
                <c:pt idx="2">
                  <c:v>1816.1163201660199</c:v>
                </c:pt>
                <c:pt idx="3">
                  <c:v>2123.17959647916</c:v>
                </c:pt>
                <c:pt idx="4">
                  <c:v>2823.4598309889602</c:v>
                </c:pt>
                <c:pt idx="5">
                  <c:v>3444.5457562758302</c:v>
                </c:pt>
                <c:pt idx="6">
                  <c:v>4046.1073992618499</c:v>
                </c:pt>
                <c:pt idx="7">
                  <c:v>4588.3371393253501</c:v>
                </c:pt>
                <c:pt idx="8">
                  <c:v>5058.2118318139201</c:v>
                </c:pt>
                <c:pt idx="9">
                  <c:v>5463.9912149926304</c:v>
                </c:pt>
                <c:pt idx="10">
                  <c:v>5816.5190522585699</c:v>
                </c:pt>
                <c:pt idx="11">
                  <c:v>6117.6561877996</c:v>
                </c:pt>
                <c:pt idx="12">
                  <c:v>6527.9974038310902</c:v>
                </c:pt>
                <c:pt idx="13">
                  <c:v>6674.6039962597697</c:v>
                </c:pt>
                <c:pt idx="14">
                  <c:v>6543.5457578786099</c:v>
                </c:pt>
                <c:pt idx="15">
                  <c:v>6147.1127965086498</c:v>
                </c:pt>
                <c:pt idx="16">
                  <c:v>5561.7496328568604</c:v>
                </c:pt>
                <c:pt idx="17">
                  <c:v>4891.6774101602896</c:v>
                </c:pt>
                <c:pt idx="18">
                  <c:v>4226.0788548951496</c:v>
                </c:pt>
                <c:pt idx="19">
                  <c:v>3614.73795339768</c:v>
                </c:pt>
                <c:pt idx="20">
                  <c:v>3081.9441029199202</c:v>
                </c:pt>
                <c:pt idx="21">
                  <c:v>2631.6109197102801</c:v>
                </c:pt>
                <c:pt idx="22">
                  <c:v>2256.5735834870302</c:v>
                </c:pt>
                <c:pt idx="23">
                  <c:v>1945.92924675632</c:v>
                </c:pt>
                <c:pt idx="24">
                  <c:v>1688.5967424617199</c:v>
                </c:pt>
                <c:pt idx="25">
                  <c:v>1146.1134560743401</c:v>
                </c:pt>
                <c:pt idx="26">
                  <c:v>911.11428359716297</c:v>
                </c:pt>
                <c:pt idx="27">
                  <c:v>738.34804251271896</c:v>
                </c:pt>
                <c:pt idx="28">
                  <c:v>608.30176775076995</c:v>
                </c:pt>
                <c:pt idx="29">
                  <c:v>508.56978869890702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95-4DD4-BEB0-CADEF69FBDBD}"/>
            </c:ext>
          </c:extLst>
        </c:ser>
        <c:ser>
          <c:idx val="1"/>
          <c:order val="1"/>
          <c:tx>
            <c:strRef>
              <c:f>'FT240-31'!$A$27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'FT240-31'!$B$27:$AE$27</c:f>
              <c:numCache>
                <c:formatCode>0</c:formatCode>
                <c:ptCount val="30"/>
                <c:pt idx="0">
                  <c:v>1775.3338040046699</c:v>
                </c:pt>
                <c:pt idx="1">
                  <c:v>2156.2211269235499</c:v>
                </c:pt>
                <c:pt idx="2">
                  <c:v>2717.1400954344099</c:v>
                </c:pt>
                <c:pt idx="3">
                  <c:v>2817.5403794183399</c:v>
                </c:pt>
                <c:pt idx="4">
                  <c:v>2858.1055224513798</c:v>
                </c:pt>
                <c:pt idx="5">
                  <c:v>2797.3045530570998</c:v>
                </c:pt>
                <c:pt idx="6">
                  <c:v>2692.24872709999</c:v>
                </c:pt>
                <c:pt idx="7">
                  <c:v>2480.1269399626099</c:v>
                </c:pt>
                <c:pt idx="8">
                  <c:v>2194.2402879340698</c:v>
                </c:pt>
                <c:pt idx="9">
                  <c:v>1869.1653884371201</c:v>
                </c:pt>
                <c:pt idx="10">
                  <c:v>1513.9079044109999</c:v>
                </c:pt>
                <c:pt idx="11">
                  <c:v>1124.7121164268301</c:v>
                </c:pt>
                <c:pt idx="12">
                  <c:v>244.05230831946301</c:v>
                </c:pt>
                <c:pt idx="13">
                  <c:v>-724.14723807240898</c:v>
                </c:pt>
                <c:pt idx="14">
                  <c:v>-1705.3630014448099</c:v>
                </c:pt>
                <c:pt idx="15">
                  <c:v>-2593.5856226954202</c:v>
                </c:pt>
                <c:pt idx="16">
                  <c:v>-3297.5084447166901</c:v>
                </c:pt>
                <c:pt idx="17">
                  <c:v>-3774.6771004680299</c:v>
                </c:pt>
                <c:pt idx="18">
                  <c:v>-4038.9032036623098</c:v>
                </c:pt>
                <c:pt idx="19">
                  <c:v>-4134.5718198784298</c:v>
                </c:pt>
                <c:pt idx="20">
                  <c:v>-4113.9683085642</c:v>
                </c:pt>
                <c:pt idx="21">
                  <c:v>-4022.16059236812</c:v>
                </c:pt>
                <c:pt idx="22">
                  <c:v>-3890.6592783362398</c:v>
                </c:pt>
                <c:pt idx="23">
                  <c:v>-3739.9676879992498</c:v>
                </c:pt>
                <c:pt idx="24">
                  <c:v>-3582.81405854278</c:v>
                </c:pt>
                <c:pt idx="25">
                  <c:v>-3133.4694497437699</c:v>
                </c:pt>
                <c:pt idx="26">
                  <c:v>-2873.6997582541298</c:v>
                </c:pt>
                <c:pt idx="27">
                  <c:v>-2647.0010467973798</c:v>
                </c:pt>
                <c:pt idx="28">
                  <c:v>-2449.39116462212</c:v>
                </c:pt>
                <c:pt idx="29">
                  <c:v>-2276.4038637789999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95-4DD4-BEB0-CADEF69FBDBD}"/>
            </c:ext>
          </c:extLst>
        </c:ser>
        <c:ser>
          <c:idx val="2"/>
          <c:order val="2"/>
          <c:tx>
            <c:strRef>
              <c:f>'FT240-31'!$A$28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'FT240-31'!$B$28:$AE$28</c:f>
              <c:numCache>
                <c:formatCode>0</c:formatCode>
                <c:ptCount val="30"/>
                <c:pt idx="0">
                  <c:v>1865.2017028572077</c:v>
                </c:pt>
                <c:pt idx="1">
                  <c:v>2331.7760231798138</c:v>
                </c:pt>
                <c:pt idx="2">
                  <c:v>3268.1996246543263</c:v>
                </c:pt>
                <c:pt idx="3">
                  <c:v>3527.9491760168894</c:v>
                </c:pt>
                <c:pt idx="4">
                  <c:v>4017.5480824347683</c:v>
                </c:pt>
                <c:pt idx="5">
                  <c:v>4437.3199377137335</c:v>
                </c:pt>
                <c:pt idx="6">
                  <c:v>4859.9576433270495</c:v>
                </c:pt>
                <c:pt idx="7">
                  <c:v>5215.7326755155545</c:v>
                </c:pt>
                <c:pt idx="8">
                  <c:v>5513.6373998201343</c:v>
                </c:pt>
                <c:pt idx="9">
                  <c:v>5774.8575087917043</c:v>
                </c:pt>
                <c:pt idx="10">
                  <c:v>6010.3087298677956</c:v>
                </c:pt>
                <c:pt idx="11">
                  <c:v>6220.1844487892849</c:v>
                </c:pt>
                <c:pt idx="12">
                  <c:v>6532.5578170898343</c:v>
                </c:pt>
                <c:pt idx="13">
                  <c:v>6713.7714981443023</c:v>
                </c:pt>
                <c:pt idx="14">
                  <c:v>6762.1190504270189</c:v>
                </c:pt>
                <c:pt idx="15">
                  <c:v>6671.8574711434585</c:v>
                </c:pt>
                <c:pt idx="16">
                  <c:v>6465.8039655994298</c:v>
                </c:pt>
                <c:pt idx="17">
                  <c:v>6178.7292462018604</c:v>
                </c:pt>
                <c:pt idx="18">
                  <c:v>5845.7233578356727</c:v>
                </c:pt>
                <c:pt idx="19">
                  <c:v>5491.9044607009027</c:v>
                </c:pt>
                <c:pt idx="20">
                  <c:v>5140.3418852634168</c:v>
                </c:pt>
                <c:pt idx="21">
                  <c:v>4806.5738175479473</c:v>
                </c:pt>
                <c:pt idx="22">
                  <c:v>4497.7054102948277</c:v>
                </c:pt>
                <c:pt idx="23">
                  <c:v>4215.9220747850732</c:v>
                </c:pt>
                <c:pt idx="24">
                  <c:v>3960.7973359847788</c:v>
                </c:pt>
                <c:pt idx="25">
                  <c:v>3336.4961931151952</c:v>
                </c:pt>
                <c:pt idx="26">
                  <c:v>3014.6773522824324</c:v>
                </c:pt>
                <c:pt idx="27">
                  <c:v>2748.048830284642</c:v>
                </c:pt>
                <c:pt idx="28">
                  <c:v>2523.7963701490694</c:v>
                </c:pt>
                <c:pt idx="29">
                  <c:v>2332.5217643154397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95-4DD4-BEB0-CADEF69FB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94768"/>
        <c:axId val="475095160"/>
      </c:scatterChart>
      <c:valAx>
        <c:axId val="4750947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5160"/>
        <c:crosses val="autoZero"/>
        <c:crossBetween val="midCat"/>
      </c:valAx>
      <c:valAx>
        <c:axId val="475095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476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'FT240-31'!$A$19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'FT240-31'!$B$19:$AE$19</c:f>
              <c:numCache>
                <c:formatCode>0</c:formatCode>
                <c:ptCount val="30"/>
                <c:pt idx="0">
                  <c:v>437.78022720651228</c:v>
                </c:pt>
                <c:pt idx="1">
                  <c:v>552.24283316637718</c:v>
                </c:pt>
                <c:pt idx="2">
                  <c:v>702.08424369573322</c:v>
                </c:pt>
                <c:pt idx="3">
                  <c:v>721.86290822240483</c:v>
                </c:pt>
                <c:pt idx="4">
                  <c:v>731.04975970601242</c:v>
                </c:pt>
                <c:pt idx="5">
                  <c:v>710.2466192928722</c:v>
                </c:pt>
                <c:pt idx="6">
                  <c:v>683.69572104777683</c:v>
                </c:pt>
                <c:pt idx="7">
                  <c:v>653.71743210897648</c:v>
                </c:pt>
                <c:pt idx="8">
                  <c:v>621.73192675928283</c:v>
                </c:pt>
                <c:pt idx="9">
                  <c:v>589.44104987027481</c:v>
                </c:pt>
                <c:pt idx="10">
                  <c:v>558.54882653178458</c:v>
                </c:pt>
                <c:pt idx="11">
                  <c:v>530.04029955269198</c:v>
                </c:pt>
                <c:pt idx="12">
                  <c:v>480.48983156281491</c:v>
                </c:pt>
                <c:pt idx="13">
                  <c:v>441.06006604878155</c:v>
                </c:pt>
                <c:pt idx="14">
                  <c:v>410.68881373928843</c:v>
                </c:pt>
                <c:pt idx="15">
                  <c:v>387.31068270797374</c:v>
                </c:pt>
                <c:pt idx="16">
                  <c:v>368.83321626892513</c:v>
                </c:pt>
                <c:pt idx="17">
                  <c:v>353.17861296391436</c:v>
                </c:pt>
                <c:pt idx="18">
                  <c:v>339.03034912266554</c:v>
                </c:pt>
                <c:pt idx="19">
                  <c:v>326.18915667890695</c:v>
                </c:pt>
                <c:pt idx="20">
                  <c:v>314.54499192170664</c:v>
                </c:pt>
                <c:pt idx="21">
                  <c:v>303.98780860963211</c:v>
                </c:pt>
                <c:pt idx="22">
                  <c:v>294.40749637082706</c:v>
                </c:pt>
                <c:pt idx="23">
                  <c:v>285.69400946629833</c:v>
                </c:pt>
                <c:pt idx="24">
                  <c:v>277.73729054219706</c:v>
                </c:pt>
                <c:pt idx="25">
                  <c:v>257.3123628564183</c:v>
                </c:pt>
                <c:pt idx="26">
                  <c:v>245.75060990174484</c:v>
                </c:pt>
                <c:pt idx="27">
                  <c:v>235.5472230494847</c:v>
                </c:pt>
                <c:pt idx="28">
                  <c:v>226.53945570825286</c:v>
                </c:pt>
                <c:pt idx="29">
                  <c:v>218.56460950108666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9-439E-8FAA-EBD87D180BF5}"/>
            </c:ext>
          </c:extLst>
        </c:ser>
        <c:ser>
          <c:idx val="1"/>
          <c:order val="1"/>
          <c:tx>
            <c:strRef>
              <c:f>'FT240-31'!$A$20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'FT240-31'!$B$20:$AE$20</c:f>
              <c:numCache>
                <c:formatCode>0</c:formatCode>
                <c:ptCount val="30"/>
                <c:pt idx="0">
                  <c:v>1400.6121872500232</c:v>
                </c:pt>
                <c:pt idx="1">
                  <c:v>1405.2633377206644</c:v>
                </c:pt>
                <c:pt idx="2">
                  <c:v>1167.1564931270689</c:v>
                </c:pt>
                <c:pt idx="3">
                  <c:v>1090.8817288553466</c:v>
                </c:pt>
                <c:pt idx="4">
                  <c:v>904.13487645220391</c:v>
                </c:pt>
                <c:pt idx="5">
                  <c:v>768.1087633131898</c:v>
                </c:pt>
                <c:pt idx="6">
                  <c:v>674.34694990156652</c:v>
                </c:pt>
                <c:pt idx="7">
                  <c:v>596.87885427126662</c:v>
                </c:pt>
                <c:pt idx="8">
                  <c:v>533.83414302963945</c:v>
                </c:pt>
                <c:pt idx="9">
                  <c:v>484.19554241942296</c:v>
                </c:pt>
                <c:pt idx="10">
                  <c:v>445.06887052678888</c:v>
                </c:pt>
                <c:pt idx="11">
                  <c:v>413.38398426006455</c:v>
                </c:pt>
                <c:pt idx="12">
                  <c:v>363.33657036613073</c:v>
                </c:pt>
                <c:pt idx="13">
                  <c:v>326.44412897168763</c:v>
                </c:pt>
                <c:pt idx="14">
                  <c:v>298.68851642061406</c:v>
                </c:pt>
                <c:pt idx="15">
                  <c:v>277.14272034646717</c:v>
                </c:pt>
                <c:pt idx="16">
                  <c:v>260.3671935305876</c:v>
                </c:pt>
                <c:pt idx="17">
                  <c:v>247.02909327066405</c:v>
                </c:pt>
                <c:pt idx="18">
                  <c:v>235.79561284039116</c:v>
                </c:pt>
                <c:pt idx="19">
                  <c:v>225.43260312446517</c:v>
                </c:pt>
                <c:pt idx="20">
                  <c:v>215.53473199756411</c:v>
                </c:pt>
                <c:pt idx="21">
                  <c:v>206.11096282499258</c:v>
                </c:pt>
                <c:pt idx="22">
                  <c:v>197.1733795009182</c:v>
                </c:pt>
                <c:pt idx="23">
                  <c:v>188.73405158778854</c:v>
                </c:pt>
                <c:pt idx="24">
                  <c:v>180.80504864805121</c:v>
                </c:pt>
                <c:pt idx="25">
                  <c:v>160.19702617751099</c:v>
                </c:pt>
                <c:pt idx="26">
                  <c:v>149.0234956597256</c:v>
                </c:pt>
                <c:pt idx="27">
                  <c:v>139.47392835158013</c:v>
                </c:pt>
                <c:pt idx="28">
                  <c:v>131.1200510309157</c:v>
                </c:pt>
                <c:pt idx="29">
                  <c:v>123.5336064588891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79-439E-8FAA-EBD87D180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97120"/>
        <c:axId val="475092808"/>
      </c:scatterChart>
      <c:valAx>
        <c:axId val="47509712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92808"/>
        <c:crosses val="autoZero"/>
        <c:crossBetween val="midCat"/>
      </c:valAx>
      <c:valAx>
        <c:axId val="475092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0971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'FT240-31'!$A$26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'FT240-31'!$B$26:$AE$26</c:f>
              <c:numCache>
                <c:formatCode>0</c:formatCode>
                <c:ptCount val="30"/>
                <c:pt idx="0">
                  <c:v>571.98538154373796</c:v>
                </c:pt>
                <c:pt idx="1">
                  <c:v>887.63160944437004</c:v>
                </c:pt>
                <c:pt idx="2">
                  <c:v>1816.1163201660199</c:v>
                </c:pt>
                <c:pt idx="3">
                  <c:v>2123.17959647916</c:v>
                </c:pt>
                <c:pt idx="4">
                  <c:v>2823.4598309889602</c:v>
                </c:pt>
                <c:pt idx="5">
                  <c:v>3444.5457562758302</c:v>
                </c:pt>
                <c:pt idx="6">
                  <c:v>4046.1073992618499</c:v>
                </c:pt>
                <c:pt idx="7">
                  <c:v>4588.3371393253501</c:v>
                </c:pt>
                <c:pt idx="8">
                  <c:v>5058.2118318139201</c:v>
                </c:pt>
                <c:pt idx="9">
                  <c:v>5463.9912149926304</c:v>
                </c:pt>
                <c:pt idx="10">
                  <c:v>5816.5190522585699</c:v>
                </c:pt>
                <c:pt idx="11">
                  <c:v>6117.6561877996</c:v>
                </c:pt>
                <c:pt idx="12">
                  <c:v>6527.9974038310902</c:v>
                </c:pt>
                <c:pt idx="13">
                  <c:v>6674.6039962597697</c:v>
                </c:pt>
                <c:pt idx="14">
                  <c:v>6543.5457578786099</c:v>
                </c:pt>
                <c:pt idx="15">
                  <c:v>6147.1127965086498</c:v>
                </c:pt>
                <c:pt idx="16">
                  <c:v>5561.7496328568604</c:v>
                </c:pt>
                <c:pt idx="17">
                  <c:v>4891.6774101602896</c:v>
                </c:pt>
                <c:pt idx="18">
                  <c:v>4226.0788548951496</c:v>
                </c:pt>
                <c:pt idx="19">
                  <c:v>3614.73795339768</c:v>
                </c:pt>
                <c:pt idx="20">
                  <c:v>3081.9441029199202</c:v>
                </c:pt>
                <c:pt idx="21">
                  <c:v>2631.6109197102801</c:v>
                </c:pt>
                <c:pt idx="22">
                  <c:v>2256.5735834870302</c:v>
                </c:pt>
                <c:pt idx="23">
                  <c:v>1945.92924675632</c:v>
                </c:pt>
                <c:pt idx="24">
                  <c:v>1688.5967424617199</c:v>
                </c:pt>
                <c:pt idx="25">
                  <c:v>1146.1134560743401</c:v>
                </c:pt>
                <c:pt idx="26">
                  <c:v>911.11428359716297</c:v>
                </c:pt>
                <c:pt idx="27">
                  <c:v>738.34804251271896</c:v>
                </c:pt>
                <c:pt idx="28">
                  <c:v>608.30176775076995</c:v>
                </c:pt>
                <c:pt idx="29">
                  <c:v>508.56978869890702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C3-4F50-B4CA-43B8B2D14CD9}"/>
            </c:ext>
          </c:extLst>
        </c:ser>
        <c:ser>
          <c:idx val="1"/>
          <c:order val="1"/>
          <c:tx>
            <c:strRef>
              <c:f>'FT240-31'!$A$27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'FT240-31'!$B$27:$AE$27</c:f>
              <c:numCache>
                <c:formatCode>0</c:formatCode>
                <c:ptCount val="30"/>
                <c:pt idx="0">
                  <c:v>1775.3338040046699</c:v>
                </c:pt>
                <c:pt idx="1">
                  <c:v>2156.2211269235499</c:v>
                </c:pt>
                <c:pt idx="2">
                  <c:v>2717.1400954344099</c:v>
                </c:pt>
                <c:pt idx="3">
                  <c:v>2817.5403794183399</c:v>
                </c:pt>
                <c:pt idx="4">
                  <c:v>2858.1055224513798</c:v>
                </c:pt>
                <c:pt idx="5">
                  <c:v>2797.3045530570998</c:v>
                </c:pt>
                <c:pt idx="6">
                  <c:v>2692.24872709999</c:v>
                </c:pt>
                <c:pt idx="7">
                  <c:v>2480.1269399626099</c:v>
                </c:pt>
                <c:pt idx="8">
                  <c:v>2194.2402879340698</c:v>
                </c:pt>
                <c:pt idx="9">
                  <c:v>1869.1653884371201</c:v>
                </c:pt>
                <c:pt idx="10">
                  <c:v>1513.9079044109999</c:v>
                </c:pt>
                <c:pt idx="11">
                  <c:v>1124.7121164268301</c:v>
                </c:pt>
                <c:pt idx="12">
                  <c:v>244.05230831946301</c:v>
                </c:pt>
                <c:pt idx="13">
                  <c:v>-724.14723807240898</c:v>
                </c:pt>
                <c:pt idx="14">
                  <c:v>-1705.3630014448099</c:v>
                </c:pt>
                <c:pt idx="15">
                  <c:v>-2593.5856226954202</c:v>
                </c:pt>
                <c:pt idx="16">
                  <c:v>-3297.5084447166901</c:v>
                </c:pt>
                <c:pt idx="17">
                  <c:v>-3774.6771004680299</c:v>
                </c:pt>
                <c:pt idx="18">
                  <c:v>-4038.9032036623098</c:v>
                </c:pt>
                <c:pt idx="19">
                  <c:v>-4134.5718198784298</c:v>
                </c:pt>
                <c:pt idx="20">
                  <c:v>-4113.9683085642</c:v>
                </c:pt>
                <c:pt idx="21">
                  <c:v>-4022.16059236812</c:v>
                </c:pt>
                <c:pt idx="22">
                  <c:v>-3890.6592783362398</c:v>
                </c:pt>
                <c:pt idx="23">
                  <c:v>-3739.9676879992498</c:v>
                </c:pt>
                <c:pt idx="24">
                  <c:v>-3582.81405854278</c:v>
                </c:pt>
                <c:pt idx="25">
                  <c:v>-3133.4694497437699</c:v>
                </c:pt>
                <c:pt idx="26">
                  <c:v>-2873.6997582541298</c:v>
                </c:pt>
                <c:pt idx="27">
                  <c:v>-2647.0010467973798</c:v>
                </c:pt>
                <c:pt idx="28">
                  <c:v>-2449.39116462212</c:v>
                </c:pt>
                <c:pt idx="29">
                  <c:v>-2276.4038637789999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C3-4F50-B4CA-43B8B2D14CD9}"/>
            </c:ext>
          </c:extLst>
        </c:ser>
        <c:ser>
          <c:idx val="2"/>
          <c:order val="2"/>
          <c:tx>
            <c:strRef>
              <c:f>'FT240-31'!$A$28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'FT240-31'!$B$18:$AE$18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'FT240-31'!$B$28:$AE$28</c:f>
              <c:numCache>
                <c:formatCode>0</c:formatCode>
                <c:ptCount val="30"/>
                <c:pt idx="0">
                  <c:v>1865.2017028572077</c:v>
                </c:pt>
                <c:pt idx="1">
                  <c:v>2331.7760231798138</c:v>
                </c:pt>
                <c:pt idx="2">
                  <c:v>3268.1996246543263</c:v>
                </c:pt>
                <c:pt idx="3">
                  <c:v>3527.9491760168894</c:v>
                </c:pt>
                <c:pt idx="4">
                  <c:v>4017.5480824347683</c:v>
                </c:pt>
                <c:pt idx="5">
                  <c:v>4437.3199377137335</c:v>
                </c:pt>
                <c:pt idx="6">
                  <c:v>4859.9576433270495</c:v>
                </c:pt>
                <c:pt idx="7">
                  <c:v>5215.7326755155545</c:v>
                </c:pt>
                <c:pt idx="8">
                  <c:v>5513.6373998201343</c:v>
                </c:pt>
                <c:pt idx="9">
                  <c:v>5774.8575087917043</c:v>
                </c:pt>
                <c:pt idx="10">
                  <c:v>6010.3087298677956</c:v>
                </c:pt>
                <c:pt idx="11">
                  <c:v>6220.1844487892849</c:v>
                </c:pt>
                <c:pt idx="12">
                  <c:v>6532.5578170898343</c:v>
                </c:pt>
                <c:pt idx="13">
                  <c:v>6713.7714981443023</c:v>
                </c:pt>
                <c:pt idx="14">
                  <c:v>6762.1190504270189</c:v>
                </c:pt>
                <c:pt idx="15">
                  <c:v>6671.8574711434585</c:v>
                </c:pt>
                <c:pt idx="16">
                  <c:v>6465.8039655994298</c:v>
                </c:pt>
                <c:pt idx="17">
                  <c:v>6178.7292462018604</c:v>
                </c:pt>
                <c:pt idx="18">
                  <c:v>5845.7233578356727</c:v>
                </c:pt>
                <c:pt idx="19">
                  <c:v>5491.9044607009027</c:v>
                </c:pt>
                <c:pt idx="20">
                  <c:v>5140.3418852634168</c:v>
                </c:pt>
                <c:pt idx="21">
                  <c:v>4806.5738175479473</c:v>
                </c:pt>
                <c:pt idx="22">
                  <c:v>4497.7054102948277</c:v>
                </c:pt>
                <c:pt idx="23">
                  <c:v>4215.9220747850732</c:v>
                </c:pt>
                <c:pt idx="24">
                  <c:v>3960.7973359847788</c:v>
                </c:pt>
                <c:pt idx="25">
                  <c:v>3336.4961931151952</c:v>
                </c:pt>
                <c:pt idx="26">
                  <c:v>3014.6773522824324</c:v>
                </c:pt>
                <c:pt idx="27">
                  <c:v>2748.048830284642</c:v>
                </c:pt>
                <c:pt idx="28">
                  <c:v>2523.7963701490694</c:v>
                </c:pt>
                <c:pt idx="29">
                  <c:v>2332.5217643154397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C3-4F50-B4CA-43B8B2D14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98296"/>
        <c:axId val="475098688"/>
      </c:scatterChart>
      <c:valAx>
        <c:axId val="47509829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8688"/>
        <c:crosses val="autoZero"/>
        <c:crossBetween val="midCat"/>
      </c:valAx>
      <c:valAx>
        <c:axId val="475098688"/>
        <c:scaling>
          <c:orientation val="minMax"/>
          <c:max val="10000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75098296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7291000348655962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73319245564025E-2"/>
          <c:y val="0.14955373442920622"/>
          <c:w val="0.75250897564552388"/>
          <c:h val="0.70982220221623249"/>
        </c:manualLayout>
      </c:layout>
      <c:scatterChart>
        <c:scatterStyle val="lineMarker"/>
        <c:varyColors val="0"/>
        <c:ser>
          <c:idx val="0"/>
          <c:order val="0"/>
          <c:tx>
            <c:v>µ'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Mix!$A$6:$A$42</c:f>
              <c:numCache>
                <c:formatCode>General</c:formatCode>
                <c:ptCount val="37"/>
                <c:pt idx="0">
                  <c:v>100330</c:v>
                </c:pt>
                <c:pt idx="1">
                  <c:v>995581</c:v>
                </c:pt>
                <c:pt idx="2" formatCode="0.00E+00">
                  <c:v>1240840</c:v>
                </c:pt>
                <c:pt idx="3" formatCode="0.00E+00">
                  <c:v>1583050</c:v>
                </c:pt>
                <c:pt idx="4" formatCode="0.00E+00">
                  <c:v>2019810</c:v>
                </c:pt>
                <c:pt idx="5" formatCode="0.00E+00">
                  <c:v>2577320</c:v>
                </c:pt>
                <c:pt idx="6" formatCode="0.00E+00">
                  <c:v>3327110</c:v>
                </c:pt>
                <c:pt idx="7" formatCode="0.00E+00">
                  <c:v>4345270</c:v>
                </c:pt>
                <c:pt idx="8" formatCode="0.00E+00">
                  <c:v>6014070</c:v>
                </c:pt>
                <c:pt idx="9" formatCode="0.00E+00">
                  <c:v>8618280</c:v>
                </c:pt>
                <c:pt idx="10" formatCode="0.00E+00">
                  <c:v>13239300</c:v>
                </c:pt>
                <c:pt idx="11" formatCode="0.00E+00">
                  <c:v>21305700</c:v>
                </c:pt>
                <c:pt idx="12" formatCode="0.00E+00">
                  <c:v>30532100</c:v>
                </c:pt>
                <c:pt idx="13" formatCode="0.00E+00">
                  <c:v>42262900</c:v>
                </c:pt>
                <c:pt idx="14" formatCode="0.00E+00">
                  <c:v>55848300</c:v>
                </c:pt>
                <c:pt idx="15" formatCode="0.00E+00">
                  <c:v>72958900</c:v>
                </c:pt>
                <c:pt idx="16" formatCode="0.00E+00">
                  <c:v>92051100</c:v>
                </c:pt>
                <c:pt idx="17" formatCode="0.00E+00">
                  <c:v>101024000</c:v>
                </c:pt>
              </c:numCache>
            </c:numRef>
          </c:xVal>
          <c:yVal>
            <c:numRef>
              <c:f>Mix!$B$6:$B$42</c:f>
              <c:numCache>
                <c:formatCode>General</c:formatCode>
                <c:ptCount val="37"/>
                <c:pt idx="0">
                  <c:v>1405.71</c:v>
                </c:pt>
                <c:pt idx="1">
                  <c:v>1400.3</c:v>
                </c:pt>
                <c:pt idx="2">
                  <c:v>1399.78</c:v>
                </c:pt>
                <c:pt idx="3">
                  <c:v>1260.3900000000001</c:v>
                </c:pt>
                <c:pt idx="4">
                  <c:v>1083.3800000000001</c:v>
                </c:pt>
                <c:pt idx="5">
                  <c:v>878.71199999999999</c:v>
                </c:pt>
                <c:pt idx="6">
                  <c:v>704.46900000000005</c:v>
                </c:pt>
                <c:pt idx="7">
                  <c:v>551.80399999999997</c:v>
                </c:pt>
                <c:pt idx="8">
                  <c:v>412.57</c:v>
                </c:pt>
                <c:pt idx="9">
                  <c:v>308.45</c:v>
                </c:pt>
                <c:pt idx="10">
                  <c:v>233.27199999999999</c:v>
                </c:pt>
                <c:pt idx="11">
                  <c:v>164.53399999999999</c:v>
                </c:pt>
                <c:pt idx="12">
                  <c:v>121.59</c:v>
                </c:pt>
                <c:pt idx="13">
                  <c:v>84.792900000000003</c:v>
                </c:pt>
                <c:pt idx="14">
                  <c:v>60.525399999999998</c:v>
                </c:pt>
                <c:pt idx="15">
                  <c:v>40.296900000000001</c:v>
                </c:pt>
                <c:pt idx="16">
                  <c:v>27.460999999999999</c:v>
                </c:pt>
                <c:pt idx="17">
                  <c:v>23.0684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C-4CC3-94A3-D094535457B6}"/>
            </c:ext>
          </c:extLst>
        </c:ser>
        <c:ser>
          <c:idx val="1"/>
          <c:order val="1"/>
          <c:tx>
            <c:v>µ''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Mix!$J$6:$J$42</c:f>
              <c:numCache>
                <c:formatCode>General</c:formatCode>
                <c:ptCount val="37"/>
                <c:pt idx="0">
                  <c:v>99770.4</c:v>
                </c:pt>
                <c:pt idx="1">
                  <c:v>151347</c:v>
                </c:pt>
                <c:pt idx="2">
                  <c:v>232253</c:v>
                </c:pt>
                <c:pt idx="3">
                  <c:v>386479</c:v>
                </c:pt>
                <c:pt idx="4">
                  <c:v>481489</c:v>
                </c:pt>
                <c:pt idx="5">
                  <c:v>613839</c:v>
                </c:pt>
                <c:pt idx="6">
                  <c:v>773490</c:v>
                </c:pt>
                <c:pt idx="7">
                  <c:v>952444</c:v>
                </c:pt>
                <c:pt idx="8" formatCode="0.00E+00">
                  <c:v>1257160</c:v>
                </c:pt>
                <c:pt idx="9" formatCode="0.00E+00">
                  <c:v>1603190</c:v>
                </c:pt>
                <c:pt idx="10" formatCode="0.00E+00">
                  <c:v>2141740</c:v>
                </c:pt>
                <c:pt idx="11" formatCode="0.00E+00">
                  <c:v>2763840</c:v>
                </c:pt>
                <c:pt idx="12" formatCode="0.00E+00">
                  <c:v>3823950</c:v>
                </c:pt>
                <c:pt idx="13" formatCode="0.00E+00">
                  <c:v>5291300</c:v>
                </c:pt>
                <c:pt idx="14" formatCode="0.00E+00">
                  <c:v>7407780</c:v>
                </c:pt>
                <c:pt idx="15" formatCode="0.00E+00">
                  <c:v>11646200</c:v>
                </c:pt>
                <c:pt idx="16" formatCode="0.00E+00">
                  <c:v>21289100</c:v>
                </c:pt>
                <c:pt idx="17" formatCode="0.00E+00">
                  <c:v>39829700</c:v>
                </c:pt>
                <c:pt idx="18" formatCode="0.00E+00">
                  <c:v>57071300</c:v>
                </c:pt>
                <c:pt idx="19" formatCode="0.00E+00">
                  <c:v>78977100</c:v>
                </c:pt>
                <c:pt idx="20" formatCode="0.00E+00">
                  <c:v>99611200</c:v>
                </c:pt>
              </c:numCache>
            </c:numRef>
          </c:xVal>
          <c:yVal>
            <c:numRef>
              <c:f>Mix!$K$6:$K$42</c:f>
              <c:numCache>
                <c:formatCode>General</c:formatCode>
                <c:ptCount val="37"/>
                <c:pt idx="0">
                  <c:v>39.351399999999998</c:v>
                </c:pt>
                <c:pt idx="1">
                  <c:v>54.429200000000002</c:v>
                </c:pt>
                <c:pt idx="2">
                  <c:v>77.051299999999998</c:v>
                </c:pt>
                <c:pt idx="3">
                  <c:v>118.294</c:v>
                </c:pt>
                <c:pt idx="4">
                  <c:v>150.898</c:v>
                </c:pt>
                <c:pt idx="5">
                  <c:v>208.77799999999999</c:v>
                </c:pt>
                <c:pt idx="6">
                  <c:v>302.59399999999999</c:v>
                </c:pt>
                <c:pt idx="7">
                  <c:v>409.072</c:v>
                </c:pt>
                <c:pt idx="8">
                  <c:v>579.23900000000003</c:v>
                </c:pt>
                <c:pt idx="9">
                  <c:v>673.32799999999997</c:v>
                </c:pt>
                <c:pt idx="10">
                  <c:v>729.97799999999995</c:v>
                </c:pt>
                <c:pt idx="11">
                  <c:v>721.24300000000005</c:v>
                </c:pt>
                <c:pt idx="12">
                  <c:v>664.58500000000004</c:v>
                </c:pt>
                <c:pt idx="13">
                  <c:v>571.17200000000003</c:v>
                </c:pt>
                <c:pt idx="14">
                  <c:v>463.19600000000003</c:v>
                </c:pt>
                <c:pt idx="15">
                  <c:v>358.51799999999997</c:v>
                </c:pt>
                <c:pt idx="16">
                  <c:v>261.77999999999997</c:v>
                </c:pt>
                <c:pt idx="17">
                  <c:v>188.93100000000001</c:v>
                </c:pt>
                <c:pt idx="18">
                  <c:v>149.69200000000001</c:v>
                </c:pt>
                <c:pt idx="19">
                  <c:v>122.81399999999999</c:v>
                </c:pt>
                <c:pt idx="20">
                  <c:v>101.95399999999999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BC-4CC3-94A3-D09453545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18768"/>
        <c:axId val="526045656"/>
      </c:scatterChart>
      <c:valAx>
        <c:axId val="534018768"/>
        <c:scaling>
          <c:logBase val="10"/>
          <c:orientation val="minMax"/>
          <c:max val="30000000"/>
          <c:min val="1000000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Freqency (Hz)</a:t>
                </a:r>
              </a:p>
            </c:rich>
          </c:tx>
          <c:layout>
            <c:manualLayout>
              <c:xMode val="edge"/>
              <c:yMode val="edge"/>
              <c:x val="0.40301036251238054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045656"/>
        <c:crosses val="autoZero"/>
        <c:crossBetween val="midCat"/>
      </c:valAx>
      <c:valAx>
        <c:axId val="526045656"/>
        <c:scaling>
          <c:logBase val="10"/>
          <c:orientation val="minMax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18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6205407502754758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3</xdr:row>
      <xdr:rowOff>114300</xdr:rowOff>
    </xdr:from>
    <xdr:to>
      <xdr:col>19</xdr:col>
      <xdr:colOff>257175</xdr:colOff>
      <xdr:row>30</xdr:row>
      <xdr:rowOff>9525</xdr:rowOff>
    </xdr:to>
    <xdr:graphicFrame macro="">
      <xdr:nvGraphicFramePr>
        <xdr:cNvPr id="27691" name="Chart 1">
          <a:extLst>
            <a:ext uri="{FF2B5EF4-FFF2-40B4-BE49-F238E27FC236}">
              <a16:creationId xmlns:a16="http://schemas.microsoft.com/office/drawing/2014/main" id="{00000000-0008-0000-0000-00002B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561975</xdr:colOff>
      <xdr:row>29</xdr:row>
      <xdr:rowOff>133350</xdr:rowOff>
    </xdr:from>
    <xdr:to>
      <xdr:col>8</xdr:col>
      <xdr:colOff>38100</xdr:colOff>
      <xdr:row>56</xdr:row>
      <xdr:rowOff>28575</xdr:rowOff>
    </xdr:to>
    <xdr:graphicFrame macro="">
      <xdr:nvGraphicFramePr>
        <xdr:cNvPr id="27692" name="Chart 2">
          <a:extLst>
            <a:ext uri="{FF2B5EF4-FFF2-40B4-BE49-F238E27FC236}">
              <a16:creationId xmlns:a16="http://schemas.microsoft.com/office/drawing/2014/main" id="{00000000-0008-0000-0000-00002C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20</xdr:col>
      <xdr:colOff>209550</xdr:colOff>
      <xdr:row>58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28</xdr:row>
      <xdr:rowOff>114300</xdr:rowOff>
    </xdr:from>
    <xdr:to>
      <xdr:col>12</xdr:col>
      <xdr:colOff>381000</xdr:colOff>
      <xdr:row>55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4CB9AA-CB1B-4AA5-A076-66004FCA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cm-L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x"/>
      <sheetName val="LO1238"/>
    </sheetNames>
    <sheetDataSet>
      <sheetData sheetId="0">
        <row r="6">
          <cell r="A6">
            <v>1000000</v>
          </cell>
          <cell r="B6">
            <v>1276.546112</v>
          </cell>
          <cell r="J6">
            <v>1000000</v>
          </cell>
          <cell r="K6">
            <v>44.589843000000002</v>
          </cell>
        </row>
        <row r="7">
          <cell r="A7">
            <v>1100000</v>
          </cell>
          <cell r="B7">
            <v>1243.130737</v>
          </cell>
          <cell r="J7">
            <v>1100000</v>
          </cell>
          <cell r="K7">
            <v>120.107957</v>
          </cell>
        </row>
        <row r="8">
          <cell r="A8">
            <v>1210000</v>
          </cell>
          <cell r="B8">
            <v>1212.3987810000001</v>
          </cell>
          <cell r="J8">
            <v>1210000</v>
          </cell>
          <cell r="K8">
            <v>188.40241499999999</v>
          </cell>
        </row>
        <row r="9">
          <cell r="A9">
            <v>1331000</v>
          </cell>
          <cell r="B9">
            <v>1183.654659</v>
          </cell>
          <cell r="J9">
            <v>1331000</v>
          </cell>
          <cell r="K9">
            <v>249.67312100000001</v>
          </cell>
        </row>
        <row r="10">
          <cell r="A10">
            <v>1464100</v>
          </cell>
          <cell r="B10">
            <v>1156.133454</v>
          </cell>
          <cell r="J10">
            <v>1464100</v>
          </cell>
          <cell r="K10">
            <v>303.96773000000002</v>
          </cell>
        </row>
        <row r="11">
          <cell r="A11">
            <v>1610510</v>
          </cell>
          <cell r="B11">
            <v>1128.9756030000001</v>
          </cell>
          <cell r="J11">
            <v>1610510</v>
          </cell>
          <cell r="K11">
            <v>351.16350999999997</v>
          </cell>
        </row>
        <row r="12">
          <cell r="A12">
            <v>1771561</v>
          </cell>
          <cell r="B12">
            <v>1100.790849</v>
          </cell>
          <cell r="J12">
            <v>1771561</v>
          </cell>
          <cell r="K12">
            <v>391.029065</v>
          </cell>
        </row>
        <row r="13">
          <cell r="A13">
            <v>1948717</v>
          </cell>
          <cell r="B13">
            <v>1068.3763919999999</v>
          </cell>
          <cell r="J13">
            <v>1948717</v>
          </cell>
          <cell r="K13">
            <v>423.456028</v>
          </cell>
        </row>
        <row r="14">
          <cell r="A14">
            <v>2143589</v>
          </cell>
          <cell r="B14">
            <v>1027.4969960000001</v>
          </cell>
          <cell r="J14">
            <v>2143589</v>
          </cell>
          <cell r="K14">
            <v>448.24836099999999</v>
          </cell>
        </row>
        <row r="15">
          <cell r="A15">
            <v>2357948</v>
          </cell>
          <cell r="B15">
            <v>973.95892700000002</v>
          </cell>
          <cell r="J15">
            <v>2357948</v>
          </cell>
          <cell r="K15">
            <v>465.25512700000002</v>
          </cell>
        </row>
        <row r="16">
          <cell r="A16">
            <v>2593742</v>
          </cell>
          <cell r="B16">
            <v>914.072226</v>
          </cell>
          <cell r="J16">
            <v>2593742</v>
          </cell>
          <cell r="K16">
            <v>476.80275799999998</v>
          </cell>
        </row>
        <row r="17">
          <cell r="A17">
            <v>2853117</v>
          </cell>
          <cell r="B17">
            <v>863.16416600000002</v>
          </cell>
          <cell r="J17">
            <v>2853117</v>
          </cell>
          <cell r="K17">
            <v>487.38207599999998</v>
          </cell>
        </row>
        <row r="18">
          <cell r="A18">
            <v>3138428</v>
          </cell>
          <cell r="B18">
            <v>830.78607099999999</v>
          </cell>
          <cell r="J18">
            <v>3138428</v>
          </cell>
          <cell r="K18">
            <v>499.44848999999999</v>
          </cell>
        </row>
        <row r="19">
          <cell r="A19">
            <v>3452271</v>
          </cell>
          <cell r="B19">
            <v>802.06490899999994</v>
          </cell>
          <cell r="J19">
            <v>3452271</v>
          </cell>
          <cell r="K19">
            <v>507.43840799999998</v>
          </cell>
        </row>
        <row r="20">
          <cell r="A20">
            <v>3797498</v>
          </cell>
          <cell r="B20">
            <v>763.569299</v>
          </cell>
          <cell r="J20">
            <v>3797498</v>
          </cell>
          <cell r="K20">
            <v>506.317522</v>
          </cell>
        </row>
        <row r="21">
          <cell r="A21">
            <v>4177248</v>
          </cell>
          <cell r="B21">
            <v>728.58331299999998</v>
          </cell>
          <cell r="J21">
            <v>4177248</v>
          </cell>
          <cell r="K21">
            <v>500.48668099999998</v>
          </cell>
        </row>
        <row r="22">
          <cell r="A22">
            <v>4594973</v>
          </cell>
          <cell r="B22">
            <v>702.31694900000002</v>
          </cell>
          <cell r="J22">
            <v>4594973</v>
          </cell>
          <cell r="K22">
            <v>495.28581600000001</v>
          </cell>
        </row>
        <row r="23">
          <cell r="A23">
            <v>5054470</v>
          </cell>
          <cell r="B23">
            <v>671.14411500000006</v>
          </cell>
          <cell r="J23">
            <v>5054470</v>
          </cell>
          <cell r="K23">
            <v>492.430069</v>
          </cell>
        </row>
        <row r="24">
          <cell r="A24">
            <v>5559917</v>
          </cell>
          <cell r="B24">
            <v>641.266481</v>
          </cell>
          <cell r="J24">
            <v>5559917</v>
          </cell>
          <cell r="K24">
            <v>485.077585</v>
          </cell>
        </row>
        <row r="25">
          <cell r="A25">
            <v>6115909</v>
          </cell>
          <cell r="B25">
            <v>609.42852100000005</v>
          </cell>
          <cell r="J25">
            <v>6115909</v>
          </cell>
          <cell r="K25">
            <v>474.19557300000002</v>
          </cell>
        </row>
        <row r="26">
          <cell r="A26">
            <v>6727500</v>
          </cell>
          <cell r="B26">
            <v>581.00250300000005</v>
          </cell>
          <cell r="J26">
            <v>6727500</v>
          </cell>
          <cell r="K26">
            <v>467.54552100000001</v>
          </cell>
        </row>
        <row r="27">
          <cell r="A27">
            <v>7400250</v>
          </cell>
          <cell r="B27">
            <v>553.90997700000003</v>
          </cell>
          <cell r="J27">
            <v>7400250</v>
          </cell>
          <cell r="K27">
            <v>460.98645099999999</v>
          </cell>
        </row>
        <row r="28">
          <cell r="A28">
            <v>8140275.0000000009</v>
          </cell>
          <cell r="B28">
            <v>522.67796499999997</v>
          </cell>
          <cell r="J28">
            <v>8140275.0000000009</v>
          </cell>
          <cell r="K28">
            <v>449.66342100000003</v>
          </cell>
        </row>
        <row r="29">
          <cell r="A29">
            <v>8954302</v>
          </cell>
          <cell r="B29">
            <v>489.66089599999998</v>
          </cell>
          <cell r="J29">
            <v>8954302</v>
          </cell>
          <cell r="K29">
            <v>437.40327100000002</v>
          </cell>
        </row>
        <row r="30">
          <cell r="A30">
            <v>9849733</v>
          </cell>
          <cell r="B30">
            <v>457.80469900000003</v>
          </cell>
          <cell r="J30">
            <v>9849733</v>
          </cell>
          <cell r="K30">
            <v>424.63634300000001</v>
          </cell>
        </row>
        <row r="31">
          <cell r="A31">
            <v>10834706</v>
          </cell>
          <cell r="B31">
            <v>428.68042600000001</v>
          </cell>
          <cell r="J31">
            <v>10834706</v>
          </cell>
          <cell r="K31">
            <v>411.87770499999999</v>
          </cell>
        </row>
        <row r="32">
          <cell r="A32">
            <v>11918177</v>
          </cell>
          <cell r="B32">
            <v>399.27716099999998</v>
          </cell>
          <cell r="J32">
            <v>11918177</v>
          </cell>
          <cell r="K32">
            <v>398.384794</v>
          </cell>
        </row>
        <row r="33">
          <cell r="A33">
            <v>13109994</v>
          </cell>
          <cell r="B33">
            <v>369.93007799999998</v>
          </cell>
          <cell r="J33">
            <v>13109994</v>
          </cell>
          <cell r="K33">
            <v>381.182838</v>
          </cell>
        </row>
        <row r="34">
          <cell r="A34">
            <v>14420994</v>
          </cell>
          <cell r="B34">
            <v>343.342624</v>
          </cell>
          <cell r="J34">
            <v>14420994</v>
          </cell>
          <cell r="K34">
            <v>365.46895699999999</v>
          </cell>
        </row>
        <row r="35">
          <cell r="A35">
            <v>15863093</v>
          </cell>
          <cell r="B35">
            <v>316.96901200000002</v>
          </cell>
          <cell r="J35">
            <v>15863093</v>
          </cell>
          <cell r="K35">
            <v>346.97843</v>
          </cell>
        </row>
        <row r="36">
          <cell r="A36">
            <v>17449402</v>
          </cell>
          <cell r="B36">
            <v>292.38766099999998</v>
          </cell>
          <cell r="J36">
            <v>17449402</v>
          </cell>
          <cell r="K36">
            <v>328.670097</v>
          </cell>
        </row>
        <row r="37">
          <cell r="A37">
            <v>19194342</v>
          </cell>
          <cell r="B37">
            <v>270.94708500000002</v>
          </cell>
          <cell r="J37">
            <v>19194342</v>
          </cell>
          <cell r="K37">
            <v>310.81484499999999</v>
          </cell>
        </row>
        <row r="38">
          <cell r="A38">
            <v>21113777</v>
          </cell>
          <cell r="B38">
            <v>252.73023699999999</v>
          </cell>
          <cell r="J38">
            <v>21113777</v>
          </cell>
          <cell r="K38">
            <v>292.59677099999999</v>
          </cell>
        </row>
        <row r="39">
          <cell r="A39">
            <v>23225154</v>
          </cell>
          <cell r="B39">
            <v>238.41927699999999</v>
          </cell>
          <cell r="J39">
            <v>23225154</v>
          </cell>
          <cell r="K39">
            <v>279.25739600000003</v>
          </cell>
        </row>
        <row r="40">
          <cell r="A40">
            <v>25547670</v>
          </cell>
          <cell r="B40">
            <v>224.60302200000001</v>
          </cell>
          <cell r="J40">
            <v>25547670</v>
          </cell>
          <cell r="K40">
            <v>267.33541000000002</v>
          </cell>
        </row>
        <row r="41">
          <cell r="A41">
            <v>28102437</v>
          </cell>
          <cell r="B41">
            <v>211.62143800000001</v>
          </cell>
          <cell r="J41">
            <v>28102437</v>
          </cell>
          <cell r="K41">
            <v>253.672482</v>
          </cell>
        </row>
        <row r="42">
          <cell r="A42">
            <v>30912681</v>
          </cell>
          <cell r="B42">
            <v>196.95827299999999</v>
          </cell>
          <cell r="J42">
            <v>30912681</v>
          </cell>
          <cell r="K42">
            <v>237.330242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E35"/>
  <sheetViews>
    <sheetView tabSelected="1"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4" ht="20.25" x14ac:dyDescent="0.3">
      <c r="A1" s="9" t="s">
        <v>25</v>
      </c>
    </row>
    <row r="3" spans="1:4" x14ac:dyDescent="0.2">
      <c r="A3" s="8" t="s">
        <v>27</v>
      </c>
    </row>
    <row r="4" spans="1:4" x14ac:dyDescent="0.2">
      <c r="A4" s="12" t="s">
        <v>26</v>
      </c>
    </row>
    <row r="6" spans="1:4" x14ac:dyDescent="0.2">
      <c r="A6" s="8" t="s">
        <v>16</v>
      </c>
    </row>
    <row r="7" spans="1:4" x14ac:dyDescent="0.2">
      <c r="A7" t="s">
        <v>1</v>
      </c>
      <c r="B7" s="3">
        <v>2050</v>
      </c>
      <c r="D7" s="14" t="s">
        <v>31</v>
      </c>
    </row>
    <row r="8" spans="1:4" x14ac:dyDescent="0.2">
      <c r="A8" t="s">
        <v>5</v>
      </c>
      <c r="B8" s="3">
        <v>12</v>
      </c>
      <c r="D8" s="14"/>
    </row>
    <row r="9" spans="1:4" x14ac:dyDescent="0.2">
      <c r="A9" t="s">
        <v>8</v>
      </c>
      <c r="B9" s="3">
        <v>2.5</v>
      </c>
    </row>
    <row r="11" spans="1:4" x14ac:dyDescent="0.2">
      <c r="A11" s="8" t="s">
        <v>17</v>
      </c>
    </row>
    <row r="12" spans="1:4" x14ac:dyDescent="0.2">
      <c r="A12" t="s">
        <v>18</v>
      </c>
      <c r="B12" t="str">
        <f>Mix!B1</f>
        <v>#31</v>
      </c>
    </row>
    <row r="13" spans="1:4" x14ac:dyDescent="0.2">
      <c r="A13" t="s">
        <v>29</v>
      </c>
      <c r="B13">
        <f>Mix!B2</f>
        <v>1500</v>
      </c>
    </row>
    <row r="15" spans="1:4" x14ac:dyDescent="0.2">
      <c r="A15" s="8" t="s">
        <v>19</v>
      </c>
    </row>
    <row r="16" spans="1:4" x14ac:dyDescent="0.2">
      <c r="A16" s="2" t="s">
        <v>9</v>
      </c>
      <c r="B16" s="4">
        <f>2*PI()*$B$8^2*$B$7*0.000000001</f>
        <v>1.854796302679414E-3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csinterpolate(CSTableU2,'FT240-31'!B18*1000000)</f>
        <v>437.78022720651228</v>
      </c>
      <c r="C19" s="7">
        <f>csinterpolate(CSTableU2,'FT240-31'!C18*1000000)</f>
        <v>552.24283316637718</v>
      </c>
      <c r="D19" s="7">
        <f>csinterpolate(CSTableU2,'FT240-31'!D18*1000000)</f>
        <v>702.08424369573322</v>
      </c>
      <c r="E19" s="7">
        <f>csinterpolate(CSTableU2,'FT240-31'!E18*1000000)</f>
        <v>721.86290822240483</v>
      </c>
      <c r="F19" s="7">
        <f>csinterpolate(CSTableU2,'FT240-31'!F18*1000000)</f>
        <v>731.04975970601242</v>
      </c>
      <c r="G19" s="7">
        <f>csinterpolate(CSTableU2,'FT240-31'!G18*1000000)</f>
        <v>710.2466192928722</v>
      </c>
      <c r="H19" s="7">
        <f>csinterpolate(CSTableU2,'FT240-31'!H18*1000000)</f>
        <v>683.69572104777683</v>
      </c>
      <c r="I19" s="7">
        <f>csinterpolate(CSTableU2,'FT240-31'!I18*1000000)</f>
        <v>653.71743210897648</v>
      </c>
      <c r="J19" s="7">
        <f>csinterpolate(CSTableU2,'FT240-31'!J18*1000000)</f>
        <v>621.73192675928283</v>
      </c>
      <c r="K19" s="7">
        <f>csinterpolate(CSTableU2,'FT240-31'!K18*1000000)</f>
        <v>589.44104987027481</v>
      </c>
      <c r="L19" s="7">
        <f>csinterpolate(CSTableU2,'FT240-31'!L18*1000000)</f>
        <v>558.54882653178458</v>
      </c>
      <c r="M19" s="7">
        <f>csinterpolate(CSTableU2,'FT240-31'!M18*1000000)</f>
        <v>530.04029955269198</v>
      </c>
      <c r="N19" s="7">
        <f>csinterpolate(CSTableU2,'FT240-31'!N18*1000000)</f>
        <v>480.48983156281491</v>
      </c>
      <c r="O19" s="7">
        <f>csinterpolate(CSTableU2,'FT240-31'!O18*1000000)</f>
        <v>441.06006604878155</v>
      </c>
      <c r="P19" s="7">
        <f>csinterpolate(CSTableU2,'FT240-31'!P18*1000000)</f>
        <v>410.68881373928843</v>
      </c>
      <c r="Q19" s="7">
        <f>csinterpolate(CSTableU2,'FT240-31'!Q18*1000000)</f>
        <v>387.31068270797374</v>
      </c>
      <c r="R19" s="7">
        <f>csinterpolate(CSTableU2,'FT240-31'!R18*1000000)</f>
        <v>368.83321626892513</v>
      </c>
      <c r="S19" s="7">
        <f>csinterpolate(CSTableU2,'FT240-31'!S18*1000000)</f>
        <v>353.17861296391436</v>
      </c>
      <c r="T19" s="7">
        <f>csinterpolate(CSTableU2,'FT240-31'!T18*1000000)</f>
        <v>339.03034912266554</v>
      </c>
      <c r="U19" s="7">
        <f>csinterpolate(CSTableU2,'FT240-31'!U18*1000000)</f>
        <v>326.18915667890695</v>
      </c>
      <c r="V19" s="7">
        <f>csinterpolate(CSTableU2,'FT240-31'!V18*1000000)</f>
        <v>314.54499192170664</v>
      </c>
      <c r="W19" s="7">
        <f>csinterpolate(CSTableU2,'FT240-31'!W18*1000000)</f>
        <v>303.98780860963211</v>
      </c>
      <c r="X19" s="7">
        <f>csinterpolate(CSTableU2,'FT240-31'!X18*1000000)</f>
        <v>294.40749637082706</v>
      </c>
      <c r="Y19" s="7">
        <f>csinterpolate(CSTableU2,'FT240-31'!Y18*1000000)</f>
        <v>285.69400946629833</v>
      </c>
      <c r="Z19" s="7">
        <f>csinterpolate(CSTableU2,'FT240-31'!Z18*1000000)</f>
        <v>277.73729054219706</v>
      </c>
      <c r="AA19" s="7">
        <f>csinterpolate(CSTableU2,'FT240-31'!AA18*1000000)</f>
        <v>257.3123628564183</v>
      </c>
      <c r="AB19" s="7">
        <f>csinterpolate(CSTableU2,'FT240-31'!AB18*1000000)</f>
        <v>245.75060990174484</v>
      </c>
      <c r="AC19" s="7">
        <f>csinterpolate(CSTableU2,'FT240-31'!AC18*1000000)</f>
        <v>235.5472230494847</v>
      </c>
      <c r="AD19" s="7">
        <f>csinterpolate(CSTableU2,'FT240-31'!AD18*1000000)</f>
        <v>226.53945570825286</v>
      </c>
      <c r="AE19" s="7">
        <f>csinterpolate(CSTableU2,'FT240-31'!AE18*1000000)</f>
        <v>218.56460950108666</v>
      </c>
    </row>
    <row r="20" spans="1:31" x14ac:dyDescent="0.2">
      <c r="A20" t="s">
        <v>3</v>
      </c>
      <c r="B20" s="7">
        <f>csinterpolate(CSTableU1,'FT240-31'!B18*1000000)</f>
        <v>1400.6121872500232</v>
      </c>
      <c r="C20" s="7">
        <f>csinterpolate(CSTableU1,'FT240-31'!C18*1000000)</f>
        <v>1405.2633377206644</v>
      </c>
      <c r="D20" s="7">
        <f>csinterpolate(CSTableU1,'FT240-31'!D18*1000000)</f>
        <v>1167.1564931270689</v>
      </c>
      <c r="E20" s="7">
        <f>csinterpolate(CSTableU1,'FT240-31'!E18*1000000)</f>
        <v>1090.8817288553466</v>
      </c>
      <c r="F20" s="7">
        <f>csinterpolate(CSTableU1,'FT240-31'!F18*1000000)</f>
        <v>904.13487645220391</v>
      </c>
      <c r="G20" s="7">
        <f>csinterpolate(CSTableU1,'FT240-31'!G18*1000000)</f>
        <v>768.1087633131898</v>
      </c>
      <c r="H20" s="7">
        <f>csinterpolate(CSTableU1,'FT240-31'!H18*1000000)</f>
        <v>674.34694990156652</v>
      </c>
      <c r="I20" s="7">
        <f>csinterpolate(CSTableU1,'FT240-31'!I18*1000000)</f>
        <v>596.87885427126662</v>
      </c>
      <c r="J20" s="7">
        <f>csinterpolate(CSTableU1,'FT240-31'!J18*1000000)</f>
        <v>533.83414302963945</v>
      </c>
      <c r="K20" s="7">
        <f>csinterpolate(CSTableU1,'FT240-31'!K18*1000000)</f>
        <v>484.19554241942296</v>
      </c>
      <c r="L20" s="7">
        <f>csinterpolate(CSTableU1,'FT240-31'!L18*1000000)</f>
        <v>445.06887052678888</v>
      </c>
      <c r="M20" s="7">
        <f>csinterpolate(CSTableU1,'FT240-31'!M18*1000000)</f>
        <v>413.38398426006455</v>
      </c>
      <c r="N20" s="7">
        <f>csinterpolate(CSTableU1,'FT240-31'!N18*1000000)</f>
        <v>363.33657036613073</v>
      </c>
      <c r="O20" s="7">
        <f>csinterpolate(CSTableU1,'FT240-31'!O18*1000000)</f>
        <v>326.44412897168763</v>
      </c>
      <c r="P20" s="7">
        <f>csinterpolate(CSTableU1,'FT240-31'!P18*1000000)</f>
        <v>298.68851642061406</v>
      </c>
      <c r="Q20" s="7">
        <f>csinterpolate(CSTableU1,'FT240-31'!Q18*1000000)</f>
        <v>277.14272034646717</v>
      </c>
      <c r="R20" s="7">
        <f>csinterpolate(CSTableU1,'FT240-31'!R18*1000000)</f>
        <v>260.3671935305876</v>
      </c>
      <c r="S20" s="7">
        <f>csinterpolate(CSTableU1,'FT240-31'!S18*1000000)</f>
        <v>247.02909327066405</v>
      </c>
      <c r="T20" s="7">
        <f>csinterpolate(CSTableU1,'FT240-31'!T18*1000000)</f>
        <v>235.79561284039116</v>
      </c>
      <c r="U20" s="7">
        <f>csinterpolate(CSTableU1,'FT240-31'!U18*1000000)</f>
        <v>225.43260312446517</v>
      </c>
      <c r="V20" s="7">
        <f>csinterpolate(CSTableU1,'FT240-31'!V18*1000000)</f>
        <v>215.53473199756411</v>
      </c>
      <c r="W20" s="7">
        <f>csinterpolate(CSTableU1,'FT240-31'!W18*1000000)</f>
        <v>206.11096282499258</v>
      </c>
      <c r="X20" s="7">
        <f>csinterpolate(CSTableU1,'FT240-31'!X18*1000000)</f>
        <v>197.1733795009182</v>
      </c>
      <c r="Y20" s="7">
        <f>csinterpolate(CSTableU1,'FT240-31'!Y18*1000000)</f>
        <v>188.73405158778854</v>
      </c>
      <c r="Z20" s="7">
        <f>csinterpolate(CSTableU1,'FT240-31'!Z18*1000000)</f>
        <v>180.80504864805121</v>
      </c>
      <c r="AA20" s="7">
        <f>csinterpolate(CSTableU1,'FT240-31'!AA18*1000000)</f>
        <v>160.19702617751099</v>
      </c>
      <c r="AB20" s="7">
        <f>csinterpolate(CSTableU1,'FT240-31'!AB18*1000000)</f>
        <v>149.0234956597256</v>
      </c>
      <c r="AC20" s="7">
        <f>csinterpolate(CSTableU1,'FT240-31'!AC18*1000000)</f>
        <v>139.47392835158013</v>
      </c>
      <c r="AD20" s="7">
        <f>csinterpolate(CSTableU1,'FT240-31'!AD18*1000000)</f>
        <v>131.1200510309157</v>
      </c>
      <c r="AE20" s="7">
        <f>csinterpolate(CSTableU1,'FT240-31'!AE18*1000000)</f>
        <v>123.5336064588891</v>
      </c>
    </row>
    <row r="21" spans="1:31" x14ac:dyDescent="0.2">
      <c r="A21" t="s">
        <v>10</v>
      </c>
      <c r="B21" s="5">
        <f t="shared" ref="B21:AE21" si="1">B19/$B$13*$B$16*B18*1000000</f>
        <v>541.32876453919516</v>
      </c>
      <c r="C21" s="5">
        <f t="shared" si="1"/>
        <v>819.43837211056064</v>
      </c>
      <c r="D21" s="5">
        <f t="shared" si="1"/>
        <v>1562.6679112515822</v>
      </c>
      <c r="E21" s="5">
        <f t="shared" si="1"/>
        <v>1785.211537616434</v>
      </c>
      <c r="F21" s="5">
        <f t="shared" si="1"/>
        <v>2259.9139856289767</v>
      </c>
      <c r="G21" s="5">
        <f t="shared" si="1"/>
        <v>2634.7256069099453</v>
      </c>
      <c r="H21" s="5">
        <f t="shared" si="1"/>
        <v>2958.938022966689</v>
      </c>
      <c r="I21" s="5">
        <f t="shared" si="1"/>
        <v>3233.3671361941615</v>
      </c>
      <c r="J21" s="5">
        <f t="shared" si="1"/>
        <v>3459.5582370325983</v>
      </c>
      <c r="K21" s="5">
        <f t="shared" si="1"/>
        <v>3644.3102664895264</v>
      </c>
      <c r="L21" s="5">
        <f t="shared" si="1"/>
        <v>3798.6457604959583</v>
      </c>
      <c r="M21" s="5">
        <f t="shared" si="1"/>
        <v>3932.4671515256891</v>
      </c>
      <c r="N21" s="5">
        <f t="shared" si="1"/>
        <v>4158.9835609362299</v>
      </c>
      <c r="O21" s="5">
        <f t="shared" si="1"/>
        <v>4363.0750920896971</v>
      </c>
      <c r="P21" s="5">
        <f t="shared" si="1"/>
        <v>4570.4645596525597</v>
      </c>
      <c r="Q21" s="5">
        <f t="shared" si="1"/>
        <v>4789.2161484999297</v>
      </c>
      <c r="R21" s="5">
        <f t="shared" si="1"/>
        <v>5016.8102295003655</v>
      </c>
      <c r="S21" s="5">
        <f t="shared" si="1"/>
        <v>5240.5950840872965</v>
      </c>
      <c r="T21" s="5">
        <f t="shared" si="1"/>
        <v>5449.8793964232018</v>
      </c>
      <c r="U21" s="5">
        <f t="shared" si="1"/>
        <v>5646.801456633425</v>
      </c>
      <c r="V21" s="5">
        <f t="shared" si="1"/>
        <v>5834.1688804270752</v>
      </c>
      <c r="W21" s="5">
        <f t="shared" si="1"/>
        <v>6014.2449436668048</v>
      </c>
      <c r="X21" s="5">
        <f t="shared" si="1"/>
        <v>6188.7472718300805</v>
      </c>
      <c r="Y21" s="5">
        <f t="shared" si="1"/>
        <v>6358.8503094689713</v>
      </c>
      <c r="Z21" s="5">
        <f t="shared" si="1"/>
        <v>6525.1839284422949</v>
      </c>
      <c r="AA21" s="5">
        <f t="shared" si="1"/>
        <v>6999.8429491435645</v>
      </c>
      <c r="AB21" s="5">
        <f t="shared" si="1"/>
        <v>7293.0771620314781</v>
      </c>
      <c r="AC21" s="5">
        <f t="shared" si="1"/>
        <v>7572.796719255517</v>
      </c>
      <c r="AD21" s="5">
        <f t="shared" si="1"/>
        <v>7843.4448373619207</v>
      </c>
      <c r="AE21" s="5">
        <f t="shared" si="1"/>
        <v>8107.8565919837083</v>
      </c>
    </row>
    <row r="22" spans="1:31" x14ac:dyDescent="0.2">
      <c r="A22" t="s">
        <v>11</v>
      </c>
      <c r="B22" s="5">
        <f t="shared" ref="B22:AE22" si="2">B20/$B$13*$B$16*B18*1000000</f>
        <v>1731.9002042660468</v>
      </c>
      <c r="C22" s="5">
        <f t="shared" si="2"/>
        <v>2085.1817944761769</v>
      </c>
      <c r="D22" s="5">
        <f t="shared" si="2"/>
        <v>2597.8050577204299</v>
      </c>
      <c r="E22" s="5">
        <f t="shared" si="2"/>
        <v>2697.8178631218984</v>
      </c>
      <c r="F22" s="5">
        <f t="shared" si="2"/>
        <v>2794.9767099450942</v>
      </c>
      <c r="G22" s="5">
        <f t="shared" si="2"/>
        <v>2849.3705884979231</v>
      </c>
      <c r="H22" s="5">
        <f t="shared" si="2"/>
        <v>2918.4778686013196</v>
      </c>
      <c r="I22" s="5">
        <f t="shared" si="2"/>
        <v>2952.2365121329867</v>
      </c>
      <c r="J22" s="5">
        <f t="shared" si="2"/>
        <v>2970.4607842062264</v>
      </c>
      <c r="K22" s="5">
        <f t="shared" si="2"/>
        <v>2993.6136728446636</v>
      </c>
      <c r="L22" s="5">
        <f t="shared" si="2"/>
        <v>3026.8776834662326</v>
      </c>
      <c r="M22" s="5">
        <f t="shared" si="2"/>
        <v>3066.9723423698115</v>
      </c>
      <c r="N22" s="5">
        <f t="shared" si="2"/>
        <v>3144.9381942688174</v>
      </c>
      <c r="O22" s="5">
        <f t="shared" si="2"/>
        <v>3229.2659383898026</v>
      </c>
      <c r="P22" s="5">
        <f t="shared" si="2"/>
        <v>3324.0381354585265</v>
      </c>
      <c r="Q22" s="5">
        <f t="shared" si="2"/>
        <v>3426.9552867542811</v>
      </c>
      <c r="R22" s="5">
        <f t="shared" si="2"/>
        <v>3541.4727912633621</v>
      </c>
      <c r="S22" s="5">
        <f t="shared" si="2"/>
        <v>3665.5091908214063</v>
      </c>
      <c r="T22" s="5">
        <f t="shared" si="2"/>
        <v>3790.3912009979958</v>
      </c>
      <c r="U22" s="5">
        <f t="shared" si="2"/>
        <v>3902.5612152674348</v>
      </c>
      <c r="V22" s="5">
        <f t="shared" si="2"/>
        <v>3997.730240080803</v>
      </c>
      <c r="W22" s="5">
        <f t="shared" si="2"/>
        <v>4077.8010857545637</v>
      </c>
      <c r="X22" s="5">
        <f t="shared" si="2"/>
        <v>4144.7864932312241</v>
      </c>
      <c r="Y22" s="5">
        <f t="shared" si="2"/>
        <v>4200.7586528968322</v>
      </c>
      <c r="Z22" s="5">
        <f t="shared" si="2"/>
        <v>4247.8494526835757</v>
      </c>
      <c r="AA22" s="5">
        <f t="shared" si="2"/>
        <v>4357.948493862842</v>
      </c>
      <c r="AB22" s="5">
        <f t="shared" si="2"/>
        <v>4422.5316601923314</v>
      </c>
      <c r="AC22" s="5">
        <f t="shared" si="2"/>
        <v>4484.0592615291944</v>
      </c>
      <c r="AD22" s="5">
        <f t="shared" si="2"/>
        <v>4539.751736039866</v>
      </c>
      <c r="AE22" s="5">
        <f t="shared" si="2"/>
        <v>4582.5935303320248</v>
      </c>
    </row>
    <row r="23" spans="1:31" x14ac:dyDescent="0.2">
      <c r="A23" t="s">
        <v>12</v>
      </c>
      <c r="B23" s="5" t="str">
        <f t="shared" ref="B23:AE23" si="3">IMDIV(1,COMPLEX(B21,B22))</f>
        <v>0.000164411928287576-0.000526011309277861i</v>
      </c>
      <c r="C23" s="5" t="str">
        <f t="shared" si="3"/>
        <v>0.000163252219672524-0.000415419350563492i</v>
      </c>
      <c r="D23" s="5" t="str">
        <f t="shared" si="3"/>
        <v>0.000170030373797759-0.000282661313921868i</v>
      </c>
      <c r="E23" s="5" t="str">
        <f t="shared" si="3"/>
        <v>0.00017058549183374-0.000257789386502038i</v>
      </c>
      <c r="F23" s="5" t="str">
        <f t="shared" si="3"/>
        <v>0.000174928046886935-0.000216344436148569i</v>
      </c>
      <c r="G23" s="5" t="str">
        <f t="shared" si="3"/>
        <v>0.000174940543661163-0.000189192543821886i</v>
      </c>
      <c r="H23" s="5" t="str">
        <f t="shared" si="3"/>
        <v>0.000171305946196714-0.000168963529771285i</v>
      </c>
      <c r="I23" s="5" t="str">
        <f t="shared" si="3"/>
        <v>0.000168664884355141-0.000154000028123634i</v>
      </c>
      <c r="J23" s="5" t="str">
        <f t="shared" si="3"/>
        <v>0.000166387466802815-0.000142864322915724i</v>
      </c>
      <c r="K23" s="5" t="str">
        <f t="shared" si="3"/>
        <v>0.000163842832326242-0.000134588470021215i</v>
      </c>
      <c r="L23" s="5" t="str">
        <f t="shared" si="3"/>
        <v>0.000161016207500858-0.000128302662551267i</v>
      </c>
      <c r="M23" s="5" t="str">
        <f t="shared" si="3"/>
        <v>0.000158116990524192-0.000123317097921162i</v>
      </c>
      <c r="N23" s="5" t="str">
        <f t="shared" si="3"/>
        <v>0.0001529725297007-0.00011567469413641i</v>
      </c>
      <c r="O23" s="5" t="str">
        <f t="shared" si="3"/>
        <v>0.000148078631474946-0.000109598223897722i</v>
      </c>
      <c r="P23" s="5" t="str">
        <f t="shared" si="3"/>
        <v>0.000143102598135769-0.000104076617875066i</v>
      </c>
      <c r="Q23" s="5" t="str">
        <f t="shared" si="3"/>
        <v>0.000138094907102783-0.0000988147240165708i</v>
      </c>
      <c r="R23" s="5" t="str">
        <f t="shared" si="3"/>
        <v>0.000133035139177882-0.0000939123275801734i</v>
      </c>
      <c r="S23" s="5" t="str">
        <f t="shared" si="3"/>
        <v>0.000128132553056778-0.0000896217019893704i</v>
      </c>
      <c r="T23" s="5" t="str">
        <f t="shared" si="3"/>
        <v>0.000123669065281477-0.0000860118367364617i</v>
      </c>
      <c r="U23" s="5" t="str">
        <f t="shared" si="3"/>
        <v>0.000119848022378615-0.0000828281722765109i</v>
      </c>
      <c r="V23" s="5" t="str">
        <f t="shared" si="3"/>
        <v>0.000116638183583404-0.0000799236366337985i</v>
      </c>
      <c r="W23" s="5" t="str">
        <f t="shared" si="3"/>
        <v>0.000113907008673722-0.00007723166049861i</v>
      </c>
      <c r="X23" s="5" t="str">
        <f t="shared" si="3"/>
        <v>0.000111549463625726-0.0000747079642866679i</v>
      </c>
      <c r="Y23" s="5" t="str">
        <f t="shared" si="3"/>
        <v>0.000109481791534531-0.0000723254300291486i</v>
      </c>
      <c r="Z23" s="5" t="str">
        <f t="shared" si="3"/>
        <v>0.000107636781859687-0.000070070797992118i</v>
      </c>
      <c r="AA23" s="5" t="str">
        <f t="shared" si="3"/>
        <v>0.000102954739510338-0.000064097359790053i</v>
      </c>
      <c r="AB23" s="5" t="str">
        <f t="shared" si="3"/>
        <v>0.000100251569040218-0.0000607926843791712i</v>
      </c>
      <c r="AC23" s="5" t="str">
        <f t="shared" si="3"/>
        <v>0.0000977714907153548-0.0000578931634782878i</v>
      </c>
      <c r="AD23" s="5" t="str">
        <f t="shared" si="3"/>
        <v>0.00009550155780029-0.0000552758860179861i</v>
      </c>
      <c r="AE23" s="5" t="str">
        <f t="shared" si="3"/>
        <v>0.0000934757908270689-0.0000528328972555236i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0.000015707963267949i</v>
      </c>
      <c r="C24" s="6" t="str">
        <f t="shared" si="4"/>
        <v>0.0000188495559215388i</v>
      </c>
      <c r="D24" s="6" t="str">
        <f t="shared" si="4"/>
        <v>0.0000282743338823081i</v>
      </c>
      <c r="E24" s="6" t="str">
        <f t="shared" si="4"/>
        <v>0.0000314159265358979i</v>
      </c>
      <c r="F24" s="6" t="str">
        <f t="shared" si="4"/>
        <v>0.0000392699081698724i</v>
      </c>
      <c r="G24" s="6" t="str">
        <f t="shared" si="4"/>
        <v>0.0000471238898038469i</v>
      </c>
      <c r="H24" s="6" t="str">
        <f t="shared" si="4"/>
        <v>0.0000549778714378214i</v>
      </c>
      <c r="I24" s="6" t="str">
        <f t="shared" si="4"/>
        <v>0.0000628318530717959i</v>
      </c>
      <c r="J24" s="6" t="str">
        <f t="shared" si="4"/>
        <v>0.0000706858347057703i</v>
      </c>
      <c r="K24" s="6" t="str">
        <f t="shared" si="4"/>
        <v>0.0000785398163397448i</v>
      </c>
      <c r="L24" s="6" t="str">
        <f t="shared" si="4"/>
        <v>0.0000863937979737193i</v>
      </c>
      <c r="M24" s="6" t="str">
        <f t="shared" si="4"/>
        <v>0.0000942477796076938i</v>
      </c>
      <c r="N24" s="6" t="str">
        <f t="shared" si="4"/>
        <v>0.000109955742875643i</v>
      </c>
      <c r="O24" s="6" t="str">
        <f t="shared" si="4"/>
        <v>0.000125663706143592i</v>
      </c>
      <c r="P24" s="6" t="str">
        <f t="shared" si="4"/>
        <v>0.000141371669411541i</v>
      </c>
      <c r="Q24" s="6" t="str">
        <f t="shared" si="4"/>
        <v>0.00015707963267949i</v>
      </c>
      <c r="R24" s="6" t="str">
        <f t="shared" si="4"/>
        <v>0.000172787595947439i</v>
      </c>
      <c r="S24" s="6" t="str">
        <f t="shared" si="4"/>
        <v>0.000188495559215388i</v>
      </c>
      <c r="T24" s="6" t="str">
        <f t="shared" si="4"/>
        <v>0.000204203522483337i</v>
      </c>
      <c r="U24" s="6" t="str">
        <f t="shared" si="4"/>
        <v>0.000219911485751286i</v>
      </c>
      <c r="V24" s="6" t="str">
        <f t="shared" si="4"/>
        <v>0.000235619449019234i</v>
      </c>
      <c r="W24" s="6" t="str">
        <f t="shared" si="4"/>
        <v>0.000251327412287183i</v>
      </c>
      <c r="X24" s="6" t="str">
        <f t="shared" si="4"/>
        <v>0.000267035375555132i</v>
      </c>
      <c r="Y24" s="6" t="str">
        <f t="shared" si="4"/>
        <v>0.000282743338823081i</v>
      </c>
      <c r="Z24" s="6" t="str">
        <f t="shared" si="4"/>
        <v>0.00029845130209103i</v>
      </c>
      <c r="AA24" s="6" t="str">
        <f t="shared" si="4"/>
        <v>0.000345575191894877i</v>
      </c>
      <c r="AB24" s="6" t="str">
        <f t="shared" si="4"/>
        <v>0.000376991118430775i</v>
      </c>
      <c r="AC24" s="6" t="str">
        <f t="shared" si="4"/>
        <v>0.000408407044966673i</v>
      </c>
      <c r="AD24" s="6" t="str">
        <f t="shared" si="4"/>
        <v>0.000439822971502571i</v>
      </c>
      <c r="AE24" s="6" t="str">
        <f t="shared" si="4"/>
        <v>0.000471238898038469i</v>
      </c>
    </row>
    <row r="25" spans="1:31" x14ac:dyDescent="0.2">
      <c r="A25" t="s">
        <v>14</v>
      </c>
      <c r="B25" s="6" t="str">
        <f t="shared" ref="B25:AE25" si="5">IMDIV(1,IMSUM(B23,B24))</f>
        <v>571.985381543738+1775.33380400467i</v>
      </c>
      <c r="C25" s="6" t="str">
        <f t="shared" si="5"/>
        <v>887.63160944437+2156.22112692355i</v>
      </c>
      <c r="D25" s="6" t="str">
        <f t="shared" si="5"/>
        <v>1816.11632016602+2717.14009543441i</v>
      </c>
      <c r="E25" s="6" t="str">
        <f t="shared" si="5"/>
        <v>2123.17959647916+2817.54037941834i</v>
      </c>
      <c r="F25" s="6" t="str">
        <f t="shared" si="5"/>
        <v>2823.45983098896+2858.10552245138i</v>
      </c>
      <c r="G25" s="6" t="str">
        <f t="shared" si="5"/>
        <v>3444.54575627583+2797.3045530571i</v>
      </c>
      <c r="H25" s="6" t="str">
        <f t="shared" si="5"/>
        <v>4046.10739926185+2692.24872709999i</v>
      </c>
      <c r="I25" s="6" t="str">
        <f t="shared" si="5"/>
        <v>4588.33713932535+2480.12693996261i</v>
      </c>
      <c r="J25" s="6" t="str">
        <f t="shared" si="5"/>
        <v>5058.21183181392+2194.24028793407i</v>
      </c>
      <c r="K25" s="6" t="str">
        <f t="shared" si="5"/>
        <v>5463.99121499263+1869.16538843712i</v>
      </c>
      <c r="L25" s="6" t="str">
        <f t="shared" si="5"/>
        <v>5816.51905225857+1513.907904411i</v>
      </c>
      <c r="M25" s="6" t="str">
        <f t="shared" si="5"/>
        <v>6117.6561877996+1124.71211642683i</v>
      </c>
      <c r="N25" s="6" t="str">
        <f t="shared" si="5"/>
        <v>6527.99740383109+244.052308319463i</v>
      </c>
      <c r="O25" s="6" t="str">
        <f t="shared" si="5"/>
        <v>6674.60399625977-724.147238072409i</v>
      </c>
      <c r="P25" s="6" t="str">
        <f t="shared" si="5"/>
        <v>6543.54575787861-1705.36300144481i</v>
      </c>
      <c r="Q25" s="6" t="str">
        <f t="shared" si="5"/>
        <v>6147.11279650865-2593.58562269542i</v>
      </c>
      <c r="R25" s="6" t="str">
        <f t="shared" si="5"/>
        <v>5561.74963285686-3297.50844471669i</v>
      </c>
      <c r="S25" s="6" t="str">
        <f t="shared" si="5"/>
        <v>4891.67741016029-3774.67710046803i</v>
      </c>
      <c r="T25" s="6" t="str">
        <f t="shared" si="5"/>
        <v>4226.07885489515-4038.90320366231i</v>
      </c>
      <c r="U25" s="6" t="str">
        <f t="shared" si="5"/>
        <v>3614.73795339768-4134.57181987843i</v>
      </c>
      <c r="V25" s="6" t="str">
        <f t="shared" si="5"/>
        <v>3081.94410291992-4113.9683085642i</v>
      </c>
      <c r="W25" s="6" t="str">
        <f t="shared" si="5"/>
        <v>2631.61091971028-4022.16059236812i</v>
      </c>
      <c r="X25" s="6" t="str">
        <f t="shared" si="5"/>
        <v>2256.57358348703-3890.65927833624i</v>
      </c>
      <c r="Y25" s="6" t="str">
        <f t="shared" si="5"/>
        <v>1945.92924675632-3739.96768799925i</v>
      </c>
      <c r="Z25" s="6" t="str">
        <f t="shared" si="5"/>
        <v>1688.59674246172-3582.81405854278i</v>
      </c>
      <c r="AA25" s="6" t="str">
        <f t="shared" si="5"/>
        <v>1146.11345607434-3133.46944974377i</v>
      </c>
      <c r="AB25" s="6" t="str">
        <f t="shared" si="5"/>
        <v>911.114283597163-2873.69975825413i</v>
      </c>
      <c r="AC25" s="6" t="str">
        <f t="shared" si="5"/>
        <v>738.348042512719-2647.00104679738i</v>
      </c>
      <c r="AD25" s="6" t="str">
        <f t="shared" si="5"/>
        <v>608.30176775077-2449.39116462212i</v>
      </c>
      <c r="AE25" s="6" t="str">
        <f t="shared" si="5"/>
        <v>508.569788698907-2276.403863779i</v>
      </c>
    </row>
    <row r="26" spans="1:31" x14ac:dyDescent="0.2">
      <c r="A26" t="s">
        <v>6</v>
      </c>
      <c r="B26" s="5">
        <f t="shared" ref="B26:AE26" si="6">IMREAL(B25)</f>
        <v>571.98538154373796</v>
      </c>
      <c r="C26" s="5">
        <f t="shared" si="6"/>
        <v>887.63160944437004</v>
      </c>
      <c r="D26" s="5">
        <f t="shared" si="6"/>
        <v>1816.1163201660199</v>
      </c>
      <c r="E26" s="5">
        <f t="shared" si="6"/>
        <v>2123.17959647916</v>
      </c>
      <c r="F26" s="5">
        <f t="shared" si="6"/>
        <v>2823.4598309889602</v>
      </c>
      <c r="G26" s="5">
        <f t="shared" si="6"/>
        <v>3444.5457562758302</v>
      </c>
      <c r="H26" s="5">
        <f t="shared" si="6"/>
        <v>4046.1073992618499</v>
      </c>
      <c r="I26" s="5">
        <f t="shared" si="6"/>
        <v>4588.3371393253501</v>
      </c>
      <c r="J26" s="5">
        <f t="shared" si="6"/>
        <v>5058.2118318139201</v>
      </c>
      <c r="K26" s="5">
        <f t="shared" si="6"/>
        <v>5463.9912149926304</v>
      </c>
      <c r="L26" s="5">
        <f t="shared" si="6"/>
        <v>5816.5190522585699</v>
      </c>
      <c r="M26" s="5">
        <f t="shared" si="6"/>
        <v>6117.6561877996</v>
      </c>
      <c r="N26" s="5">
        <f t="shared" si="6"/>
        <v>6527.9974038310902</v>
      </c>
      <c r="O26" s="5">
        <f t="shared" si="6"/>
        <v>6674.6039962597697</v>
      </c>
      <c r="P26" s="5">
        <f t="shared" si="6"/>
        <v>6543.5457578786099</v>
      </c>
      <c r="Q26" s="5">
        <f t="shared" si="6"/>
        <v>6147.1127965086498</v>
      </c>
      <c r="R26" s="5">
        <f t="shared" si="6"/>
        <v>5561.7496328568604</v>
      </c>
      <c r="S26" s="5">
        <f t="shared" si="6"/>
        <v>4891.6774101602896</v>
      </c>
      <c r="T26" s="5">
        <f t="shared" si="6"/>
        <v>4226.0788548951496</v>
      </c>
      <c r="U26" s="5">
        <f t="shared" si="6"/>
        <v>3614.73795339768</v>
      </c>
      <c r="V26" s="5">
        <f t="shared" si="6"/>
        <v>3081.9441029199202</v>
      </c>
      <c r="W26" s="5">
        <f t="shared" si="6"/>
        <v>2631.6109197102801</v>
      </c>
      <c r="X26" s="5">
        <f t="shared" si="6"/>
        <v>2256.5735834870302</v>
      </c>
      <c r="Y26" s="5">
        <f t="shared" si="6"/>
        <v>1945.92924675632</v>
      </c>
      <c r="Z26" s="5">
        <f t="shared" si="6"/>
        <v>1688.5967424617199</v>
      </c>
      <c r="AA26" s="5">
        <f t="shared" si="6"/>
        <v>1146.1134560743401</v>
      </c>
      <c r="AB26" s="5">
        <f t="shared" si="6"/>
        <v>911.11428359716297</v>
      </c>
      <c r="AC26" s="5">
        <f t="shared" si="6"/>
        <v>738.34804251271896</v>
      </c>
      <c r="AD26" s="5">
        <f t="shared" si="6"/>
        <v>608.30176775076995</v>
      </c>
      <c r="AE26" s="5">
        <f t="shared" si="6"/>
        <v>508.56978869890702</v>
      </c>
    </row>
    <row r="27" spans="1:31" x14ac:dyDescent="0.2">
      <c r="A27" t="s">
        <v>7</v>
      </c>
      <c r="B27" s="5">
        <f t="shared" ref="B27:AE27" si="7">IMAGINARY(B25)</f>
        <v>1775.3338040046699</v>
      </c>
      <c r="C27" s="5">
        <f t="shared" si="7"/>
        <v>2156.2211269235499</v>
      </c>
      <c r="D27" s="5">
        <f t="shared" si="7"/>
        <v>2717.1400954344099</v>
      </c>
      <c r="E27" s="5">
        <f t="shared" si="7"/>
        <v>2817.5403794183399</v>
      </c>
      <c r="F27" s="5">
        <f t="shared" si="7"/>
        <v>2858.1055224513798</v>
      </c>
      <c r="G27" s="5">
        <f t="shared" si="7"/>
        <v>2797.3045530570998</v>
      </c>
      <c r="H27" s="5">
        <f t="shared" si="7"/>
        <v>2692.24872709999</v>
      </c>
      <c r="I27" s="5">
        <f t="shared" si="7"/>
        <v>2480.1269399626099</v>
      </c>
      <c r="J27" s="5">
        <f t="shared" si="7"/>
        <v>2194.2402879340698</v>
      </c>
      <c r="K27" s="5">
        <f t="shared" si="7"/>
        <v>1869.1653884371201</v>
      </c>
      <c r="L27" s="5">
        <f t="shared" si="7"/>
        <v>1513.9079044109999</v>
      </c>
      <c r="M27" s="5">
        <f t="shared" si="7"/>
        <v>1124.7121164268301</v>
      </c>
      <c r="N27" s="5">
        <f t="shared" si="7"/>
        <v>244.05230831946301</v>
      </c>
      <c r="O27" s="5">
        <f t="shared" si="7"/>
        <v>-724.14723807240898</v>
      </c>
      <c r="P27" s="5">
        <f t="shared" si="7"/>
        <v>-1705.3630014448099</v>
      </c>
      <c r="Q27" s="5">
        <f t="shared" si="7"/>
        <v>-2593.5856226954202</v>
      </c>
      <c r="R27" s="5">
        <f t="shared" si="7"/>
        <v>-3297.5084447166901</v>
      </c>
      <c r="S27" s="5">
        <f t="shared" si="7"/>
        <v>-3774.6771004680299</v>
      </c>
      <c r="T27" s="5">
        <f t="shared" si="7"/>
        <v>-4038.9032036623098</v>
      </c>
      <c r="U27" s="5">
        <f t="shared" si="7"/>
        <v>-4134.5718198784298</v>
      </c>
      <c r="V27" s="5">
        <f t="shared" si="7"/>
        <v>-4113.9683085642</v>
      </c>
      <c r="W27" s="5">
        <f t="shared" si="7"/>
        <v>-4022.16059236812</v>
      </c>
      <c r="X27" s="5">
        <f t="shared" si="7"/>
        <v>-3890.6592783362398</v>
      </c>
      <c r="Y27" s="5">
        <f t="shared" si="7"/>
        <v>-3739.9676879992498</v>
      </c>
      <c r="Z27" s="5">
        <f t="shared" si="7"/>
        <v>-3582.81405854278</v>
      </c>
      <c r="AA27" s="5">
        <f t="shared" si="7"/>
        <v>-3133.4694497437699</v>
      </c>
      <c r="AB27" s="5">
        <f t="shared" si="7"/>
        <v>-2873.6997582541298</v>
      </c>
      <c r="AC27" s="5">
        <f t="shared" si="7"/>
        <v>-2647.0010467973798</v>
      </c>
      <c r="AD27" s="5">
        <f t="shared" si="7"/>
        <v>-2449.39116462212</v>
      </c>
      <c r="AE27" s="5">
        <f t="shared" si="7"/>
        <v>-2276.4038637789999</v>
      </c>
    </row>
    <row r="28" spans="1:31" x14ac:dyDescent="0.2">
      <c r="A28" t="s">
        <v>15</v>
      </c>
      <c r="B28" s="5">
        <f t="shared" ref="B28:AE28" si="8">IMABS(B25)</f>
        <v>1865.2017028572077</v>
      </c>
      <c r="C28" s="5">
        <f t="shared" si="8"/>
        <v>2331.7760231798138</v>
      </c>
      <c r="D28" s="5">
        <f t="shared" si="8"/>
        <v>3268.1996246543263</v>
      </c>
      <c r="E28" s="5">
        <f t="shared" si="8"/>
        <v>3527.9491760168894</v>
      </c>
      <c r="F28" s="5">
        <f t="shared" si="8"/>
        <v>4017.5480824347683</v>
      </c>
      <c r="G28" s="5">
        <f t="shared" si="8"/>
        <v>4437.3199377137335</v>
      </c>
      <c r="H28" s="5">
        <f t="shared" si="8"/>
        <v>4859.9576433270495</v>
      </c>
      <c r="I28" s="5">
        <f t="shared" si="8"/>
        <v>5215.7326755155545</v>
      </c>
      <c r="J28" s="5">
        <f t="shared" si="8"/>
        <v>5513.6373998201343</v>
      </c>
      <c r="K28" s="5">
        <f t="shared" si="8"/>
        <v>5774.8575087917043</v>
      </c>
      <c r="L28" s="5">
        <f t="shared" si="8"/>
        <v>6010.3087298677956</v>
      </c>
      <c r="M28" s="5">
        <f t="shared" si="8"/>
        <v>6220.1844487892849</v>
      </c>
      <c r="N28" s="5">
        <f t="shared" si="8"/>
        <v>6532.5578170898343</v>
      </c>
      <c r="O28" s="5">
        <f t="shared" si="8"/>
        <v>6713.7714981443023</v>
      </c>
      <c r="P28" s="5">
        <f t="shared" si="8"/>
        <v>6762.1190504270189</v>
      </c>
      <c r="Q28" s="5">
        <f t="shared" si="8"/>
        <v>6671.8574711434585</v>
      </c>
      <c r="R28" s="5">
        <f t="shared" si="8"/>
        <v>6465.8039655994298</v>
      </c>
      <c r="S28" s="5">
        <f t="shared" si="8"/>
        <v>6178.7292462018604</v>
      </c>
      <c r="T28" s="5">
        <f t="shared" si="8"/>
        <v>5845.7233578356727</v>
      </c>
      <c r="U28" s="5">
        <f t="shared" si="8"/>
        <v>5491.9044607009027</v>
      </c>
      <c r="V28" s="5">
        <f t="shared" si="8"/>
        <v>5140.3418852634168</v>
      </c>
      <c r="W28" s="5">
        <f t="shared" si="8"/>
        <v>4806.5738175479473</v>
      </c>
      <c r="X28" s="5">
        <f t="shared" si="8"/>
        <v>4497.7054102948277</v>
      </c>
      <c r="Y28" s="5">
        <f t="shared" si="8"/>
        <v>4215.9220747850732</v>
      </c>
      <c r="Z28" s="5">
        <f t="shared" si="8"/>
        <v>3960.7973359847788</v>
      </c>
      <c r="AA28" s="5">
        <f t="shared" si="8"/>
        <v>3336.4961931151952</v>
      </c>
      <c r="AB28" s="5">
        <f t="shared" si="8"/>
        <v>3014.6773522824324</v>
      </c>
      <c r="AC28" s="5">
        <f t="shared" si="8"/>
        <v>2748.048830284642</v>
      </c>
      <c r="AD28" s="5">
        <f t="shared" si="8"/>
        <v>2523.7963701490694</v>
      </c>
      <c r="AE28" s="5">
        <f t="shared" si="8"/>
        <v>2332.5217643154397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hyperlinks>
    <hyperlink ref="A4" r:id="rId1" xr:uid="{00000000-0004-0000-0000-000000000000}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7"/>
  <sheetViews>
    <sheetView topLeftCell="A19" workbookViewId="0">
      <selection activeCell="U46" sqref="U4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5" t="s">
        <v>30</v>
      </c>
    </row>
    <row r="2" spans="1:16" x14ac:dyDescent="0.2">
      <c r="A2" t="s">
        <v>29</v>
      </c>
      <c r="B2">
        <v>1500</v>
      </c>
    </row>
    <row r="5" spans="1:16" x14ac:dyDescent="0.2">
      <c r="A5" s="15" t="s">
        <v>32</v>
      </c>
      <c r="E5" s="16" t="s">
        <v>0</v>
      </c>
      <c r="F5" s="16"/>
      <c r="G5" s="16"/>
      <c r="J5" s="15" t="s">
        <v>33</v>
      </c>
      <c r="N5" s="16" t="s">
        <v>0</v>
      </c>
      <c r="O5" s="16"/>
      <c r="P5" s="16"/>
    </row>
    <row r="6" spans="1:16" x14ac:dyDescent="0.2">
      <c r="A6">
        <v>100330</v>
      </c>
      <c r="B6">
        <v>1405.71</v>
      </c>
      <c r="E6">
        <f t="array" ref="E6:G23">cstable(A6:A23,B6:B23)</f>
        <v>100330</v>
      </c>
      <c r="F6">
        <v>1405.71</v>
      </c>
      <c r="G6">
        <v>0</v>
      </c>
      <c r="J6">
        <v>99770.4</v>
      </c>
      <c r="K6">
        <v>39.351399999999998</v>
      </c>
      <c r="N6">
        <f t="array" ref="N6:P26">cstable(Mix!J6:J26,Mix!K6:K26)</f>
        <v>99770.4</v>
      </c>
      <c r="O6">
        <v>39.351399999999998</v>
      </c>
      <c r="P6">
        <v>0</v>
      </c>
    </row>
    <row r="7" spans="1:16" x14ac:dyDescent="0.2">
      <c r="A7">
        <v>995581</v>
      </c>
      <c r="B7">
        <v>1400.3</v>
      </c>
      <c r="E7">
        <v>995581</v>
      </c>
      <c r="F7">
        <v>1400.3</v>
      </c>
      <c r="G7">
        <v>2.5523410763140121E-10</v>
      </c>
      <c r="J7">
        <v>151347</v>
      </c>
      <c r="K7">
        <v>54.429200000000002</v>
      </c>
      <c r="N7">
        <v>151347</v>
      </c>
      <c r="O7">
        <v>54.429200000000002</v>
      </c>
      <c r="P7">
        <v>-1.5583380542549626E-10</v>
      </c>
    </row>
    <row r="8" spans="1:16" x14ac:dyDescent="0.2">
      <c r="A8" s="1">
        <v>1240840</v>
      </c>
      <c r="B8">
        <v>1399.78</v>
      </c>
      <c r="E8">
        <v>1240840</v>
      </c>
      <c r="F8">
        <v>1399.78</v>
      </c>
      <c r="G8">
        <v>-2.2778261426069622E-9</v>
      </c>
      <c r="J8">
        <v>232253</v>
      </c>
      <c r="K8">
        <v>77.051299999999998</v>
      </c>
      <c r="N8">
        <v>232253</v>
      </c>
      <c r="O8">
        <v>77.051299999999998</v>
      </c>
      <c r="P8">
        <v>-4.3358256649668966E-10</v>
      </c>
    </row>
    <row r="9" spans="1:16" x14ac:dyDescent="0.2">
      <c r="A9" s="1">
        <v>1583050</v>
      </c>
      <c r="B9">
        <v>1260.3900000000001</v>
      </c>
      <c r="E9">
        <v>1583050</v>
      </c>
      <c r="F9">
        <v>1260.3900000000001</v>
      </c>
      <c r="G9">
        <v>5.3326712601630861E-10</v>
      </c>
      <c r="J9">
        <v>386479</v>
      </c>
      <c r="K9">
        <v>118.294</v>
      </c>
      <c r="N9">
        <v>386479</v>
      </c>
      <c r="O9">
        <v>118.294</v>
      </c>
      <c r="P9">
        <v>9.2949255760222611E-10</v>
      </c>
    </row>
    <row r="10" spans="1:16" x14ac:dyDescent="0.2">
      <c r="A10" s="1">
        <v>2019810</v>
      </c>
      <c r="B10">
        <v>1083.3800000000001</v>
      </c>
      <c r="E10">
        <v>2019810</v>
      </c>
      <c r="F10">
        <v>1083.3800000000001</v>
      </c>
      <c r="G10">
        <v>-8.9394849239975838E-11</v>
      </c>
      <c r="J10">
        <v>481489</v>
      </c>
      <c r="K10">
        <v>150.898</v>
      </c>
      <c r="N10">
        <v>481489</v>
      </c>
      <c r="O10">
        <v>150.898</v>
      </c>
      <c r="P10">
        <v>6.1070598337159938E-10</v>
      </c>
    </row>
    <row r="11" spans="1:16" x14ac:dyDescent="0.2">
      <c r="A11" s="1">
        <v>2577320</v>
      </c>
      <c r="B11">
        <v>878.71199999999999</v>
      </c>
      <c r="E11">
        <v>2577320</v>
      </c>
      <c r="F11">
        <v>878.71199999999999</v>
      </c>
      <c r="G11">
        <v>3.1186666726160853E-10</v>
      </c>
      <c r="J11">
        <v>613839</v>
      </c>
      <c r="K11">
        <v>208.77799999999999</v>
      </c>
      <c r="N11">
        <v>613839</v>
      </c>
      <c r="O11">
        <v>208.77799999999999</v>
      </c>
      <c r="P11">
        <v>1.5032645696550747E-9</v>
      </c>
    </row>
    <row r="12" spans="1:16" x14ac:dyDescent="0.2">
      <c r="A12" s="1">
        <v>3327110</v>
      </c>
      <c r="B12">
        <v>704.46900000000005</v>
      </c>
      <c r="E12">
        <v>3327110</v>
      </c>
      <c r="F12">
        <v>704.46900000000005</v>
      </c>
      <c r="G12">
        <v>5.7033227415009688E-11</v>
      </c>
      <c r="J12">
        <v>773490</v>
      </c>
      <c r="K12">
        <v>302.59399999999999</v>
      </c>
      <c r="N12">
        <v>773490</v>
      </c>
      <c r="O12">
        <v>302.59399999999999</v>
      </c>
      <c r="P12">
        <v>-3.5638652224743055E-10</v>
      </c>
    </row>
    <row r="13" spans="1:16" x14ac:dyDescent="0.2">
      <c r="A13" s="1">
        <v>4345270</v>
      </c>
      <c r="B13">
        <v>551.80399999999997</v>
      </c>
      <c r="E13">
        <v>4345270</v>
      </c>
      <c r="F13">
        <v>551.80399999999997</v>
      </c>
      <c r="G13">
        <v>5.8128194384817832E-11</v>
      </c>
      <c r="J13">
        <v>952444</v>
      </c>
      <c r="K13">
        <v>409.072</v>
      </c>
      <c r="N13">
        <v>952444</v>
      </c>
      <c r="O13">
        <v>409.072</v>
      </c>
      <c r="P13">
        <v>2.5466097170413103E-10</v>
      </c>
    </row>
    <row r="14" spans="1:16" x14ac:dyDescent="0.2">
      <c r="A14" s="1">
        <v>6014070</v>
      </c>
      <c r="B14">
        <v>412.57</v>
      </c>
      <c r="E14">
        <v>6014070</v>
      </c>
      <c r="F14">
        <v>412.57</v>
      </c>
      <c r="G14">
        <v>1.7141339208485279E-11</v>
      </c>
      <c r="J14" s="1">
        <v>1257160</v>
      </c>
      <c r="K14">
        <v>579.23900000000003</v>
      </c>
      <c r="N14">
        <v>1257160</v>
      </c>
      <c r="O14">
        <v>579.23900000000003</v>
      </c>
      <c r="P14">
        <v>-1.3189719256468954E-9</v>
      </c>
    </row>
    <row r="15" spans="1:16" x14ac:dyDescent="0.2">
      <c r="A15" s="1">
        <v>8618280</v>
      </c>
      <c r="B15">
        <v>308.45</v>
      </c>
      <c r="E15">
        <v>8618280</v>
      </c>
      <c r="F15">
        <v>308.45</v>
      </c>
      <c r="G15">
        <v>6.6118259150650408E-12</v>
      </c>
      <c r="J15" s="1">
        <v>1603190</v>
      </c>
      <c r="K15">
        <v>673.32799999999997</v>
      </c>
      <c r="N15">
        <v>1603190</v>
      </c>
      <c r="O15">
        <v>673.32799999999997</v>
      </c>
      <c r="P15">
        <v>-2.3170149977449743E-10</v>
      </c>
    </row>
    <row r="16" spans="1:16" x14ac:dyDescent="0.2">
      <c r="A16" s="1">
        <v>13239300</v>
      </c>
      <c r="B16">
        <v>233.27199999999999</v>
      </c>
      <c r="E16">
        <v>13239300</v>
      </c>
      <c r="F16">
        <v>233.27199999999999</v>
      </c>
      <c r="G16">
        <v>4.5286535828069747E-13</v>
      </c>
      <c r="J16" s="1">
        <v>2141740</v>
      </c>
      <c r="K16">
        <v>729.97799999999995</v>
      </c>
      <c r="N16">
        <v>2141740</v>
      </c>
      <c r="O16">
        <v>729.97799999999995</v>
      </c>
      <c r="P16">
        <v>-2.4881561463162642E-10</v>
      </c>
    </row>
    <row r="17" spans="1:16" x14ac:dyDescent="0.2">
      <c r="A17" s="1">
        <v>21305700</v>
      </c>
      <c r="B17">
        <v>164.53399999999999</v>
      </c>
      <c r="E17">
        <v>21305700</v>
      </c>
      <c r="F17">
        <v>164.53399999999999</v>
      </c>
      <c r="G17">
        <v>5.5022332779177218E-13</v>
      </c>
      <c r="J17" s="1">
        <v>2763840</v>
      </c>
      <c r="K17">
        <v>721.24300000000005</v>
      </c>
      <c r="N17">
        <v>2763840</v>
      </c>
      <c r="O17">
        <v>721.24300000000005</v>
      </c>
      <c r="P17">
        <v>-2.0941242063541992E-11</v>
      </c>
    </row>
    <row r="18" spans="1:16" x14ac:dyDescent="0.2">
      <c r="A18" s="1">
        <v>30532100</v>
      </c>
      <c r="B18">
        <v>121.59</v>
      </c>
      <c r="E18">
        <v>30532100</v>
      </c>
      <c r="F18">
        <v>121.59</v>
      </c>
      <c r="G18">
        <v>5.630717178441426E-14</v>
      </c>
      <c r="J18" s="1">
        <v>3823950</v>
      </c>
      <c r="K18">
        <v>664.58500000000004</v>
      </c>
      <c r="N18">
        <v>3823950</v>
      </c>
      <c r="O18">
        <v>664.58500000000004</v>
      </c>
      <c r="P18">
        <v>-1.0548103429505719E-11</v>
      </c>
    </row>
    <row r="19" spans="1:16" x14ac:dyDescent="0.2">
      <c r="A19" s="1">
        <v>42262900</v>
      </c>
      <c r="B19">
        <v>84.792900000000003</v>
      </c>
      <c r="E19">
        <v>42262900</v>
      </c>
      <c r="F19">
        <v>84.792900000000003</v>
      </c>
      <c r="G19">
        <v>1.4230865961902145E-13</v>
      </c>
      <c r="J19" s="1">
        <v>5291300</v>
      </c>
      <c r="K19">
        <v>571.17200000000003</v>
      </c>
      <c r="N19">
        <v>5291300</v>
      </c>
      <c r="O19">
        <v>571.17200000000003</v>
      </c>
      <c r="P19">
        <v>9.6950916614788982E-12</v>
      </c>
    </row>
    <row r="20" spans="1:16" x14ac:dyDescent="0.2">
      <c r="A20" s="1">
        <v>55848300</v>
      </c>
      <c r="B20">
        <v>60.525399999999998</v>
      </c>
      <c r="E20">
        <v>55848300</v>
      </c>
      <c r="F20">
        <v>60.525399999999998</v>
      </c>
      <c r="G20">
        <v>1.7448839428668838E-14</v>
      </c>
      <c r="J20" s="1">
        <v>7407780</v>
      </c>
      <c r="K20">
        <v>463.19600000000003</v>
      </c>
      <c r="N20">
        <v>7407780</v>
      </c>
      <c r="O20">
        <v>463.19600000000003</v>
      </c>
      <c r="P20">
        <v>1.0324724444143007E-11</v>
      </c>
    </row>
    <row r="21" spans="1:16" x14ac:dyDescent="0.2">
      <c r="A21" s="1">
        <v>72958900</v>
      </c>
      <c r="B21">
        <v>40.296900000000001</v>
      </c>
      <c r="E21">
        <v>72958900</v>
      </c>
      <c r="F21">
        <v>40.296900000000001</v>
      </c>
      <c r="G21">
        <v>3.6228673655313273E-14</v>
      </c>
      <c r="J21" s="1">
        <v>11646200</v>
      </c>
      <c r="K21">
        <v>358.51799999999997</v>
      </c>
      <c r="N21">
        <v>11646200</v>
      </c>
      <c r="O21">
        <v>358.51799999999997</v>
      </c>
      <c r="P21">
        <v>1.4561039700717933E-12</v>
      </c>
    </row>
    <row r="22" spans="1:16" x14ac:dyDescent="0.2">
      <c r="A22" s="1">
        <v>92051100</v>
      </c>
      <c r="B22">
        <v>27.460999999999999</v>
      </c>
      <c r="E22">
        <v>92051100</v>
      </c>
      <c r="F22">
        <v>27.460999999999999</v>
      </c>
      <c r="G22">
        <v>7.2142586597134589E-15</v>
      </c>
      <c r="J22" s="1">
        <v>21289100</v>
      </c>
      <c r="K22">
        <v>261.77999999999997</v>
      </c>
      <c r="N22">
        <v>21289100</v>
      </c>
      <c r="O22">
        <v>261.77999999999997</v>
      </c>
      <c r="P22">
        <v>3.9473501242861775E-13</v>
      </c>
    </row>
    <row r="23" spans="1:16" x14ac:dyDescent="0.2">
      <c r="A23" s="1">
        <v>101024000</v>
      </c>
      <c r="B23">
        <v>23.0684</v>
      </c>
      <c r="E23">
        <v>101024000</v>
      </c>
      <c r="F23">
        <v>23.0684</v>
      </c>
      <c r="G23">
        <v>0</v>
      </c>
      <c r="J23" s="1">
        <v>39829700</v>
      </c>
      <c r="K23">
        <v>188.93100000000001</v>
      </c>
      <c r="N23">
        <v>39829700</v>
      </c>
      <c r="O23">
        <v>188.93100000000001</v>
      </c>
      <c r="P23">
        <v>1.7594208499235938E-14</v>
      </c>
    </row>
    <row r="24" spans="1:16" x14ac:dyDescent="0.2">
      <c r="J24" s="1">
        <v>57071300</v>
      </c>
      <c r="K24">
        <v>149.69200000000001</v>
      </c>
      <c r="N24">
        <v>57071300</v>
      </c>
      <c r="O24">
        <v>149.69200000000001</v>
      </c>
      <c r="P24">
        <v>7.7848056403664947E-14</v>
      </c>
    </row>
    <row r="25" spans="1:16" x14ac:dyDescent="0.2">
      <c r="J25" s="1">
        <v>78977100</v>
      </c>
      <c r="K25">
        <v>122.81399999999999</v>
      </c>
      <c r="N25">
        <v>78977100</v>
      </c>
      <c r="O25">
        <v>122.81399999999999</v>
      </c>
      <c r="P25">
        <v>-4.8087259525886363E-15</v>
      </c>
    </row>
    <row r="26" spans="1:16" x14ac:dyDescent="0.2">
      <c r="J26" s="1">
        <v>99611200</v>
      </c>
      <c r="K26">
        <v>101.95399999999999</v>
      </c>
      <c r="N26">
        <v>99611200</v>
      </c>
      <c r="O26">
        <v>101.95399999999999</v>
      </c>
      <c r="P26">
        <v>0</v>
      </c>
    </row>
    <row r="31" spans="1:16" x14ac:dyDescent="0.2">
      <c r="J31" s="1"/>
    </row>
    <row r="32" spans="1:16" x14ac:dyDescent="0.2">
      <c r="J32" s="1"/>
    </row>
    <row r="33" spans="10:10" x14ac:dyDescent="0.2">
      <c r="J33" s="1"/>
    </row>
    <row r="34" spans="10:10" x14ac:dyDescent="0.2">
      <c r="J34" s="1"/>
    </row>
    <row r="35" spans="10:10" x14ac:dyDescent="0.2">
      <c r="J35" s="1"/>
    </row>
    <row r="36" spans="10:10" x14ac:dyDescent="0.2">
      <c r="J36" s="1"/>
    </row>
    <row r="37" spans="10:10" x14ac:dyDescent="0.2">
      <c r="J37" s="1"/>
    </row>
    <row r="38" spans="10:10" x14ac:dyDescent="0.2">
      <c r="J38" s="1"/>
    </row>
    <row r="39" spans="10:10" x14ac:dyDescent="0.2">
      <c r="J39" s="1"/>
    </row>
    <row r="40" spans="10:10" x14ac:dyDescent="0.2">
      <c r="J40" s="1"/>
    </row>
    <row r="41" spans="10:10" x14ac:dyDescent="0.2">
      <c r="J41" s="1"/>
    </row>
    <row r="42" spans="10:10" x14ac:dyDescent="0.2">
      <c r="J42" s="1"/>
    </row>
    <row r="43" spans="10:10" x14ac:dyDescent="0.2">
      <c r="J43" s="1"/>
    </row>
    <row r="44" spans="10:10" x14ac:dyDescent="0.2">
      <c r="J44" s="1"/>
    </row>
    <row r="45" spans="10:10" x14ac:dyDescent="0.2">
      <c r="J45" s="1"/>
    </row>
    <row r="46" spans="10:10" x14ac:dyDescent="0.2">
      <c r="J46" s="1"/>
    </row>
    <row r="47" spans="10:10" x14ac:dyDescent="0.2">
      <c r="J47" s="1"/>
    </row>
    <row r="48" spans="10:10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  <c r="Q67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FT240-31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2021-01-21T21:38:49Z</dcterms:modified>
</cp:coreProperties>
</file>