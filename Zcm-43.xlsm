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3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15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6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U:\git\xl\"/>
    </mc:Choice>
  </mc:AlternateContent>
  <xr:revisionPtr revIDLastSave="0" documentId="13_ncr:1_{63E7F854-9F84-466D-ABD1-E78844C361FB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W0IYH" sheetId="12" r:id="rId1"/>
    <sheet name="FT114-43" sheetId="1" r:id="rId2"/>
    <sheet name="FT240-43" sheetId="10" r:id="rId3"/>
    <sheet name="BN-43-202" sheetId="18" r:id="rId4"/>
    <sheet name="FT140-43" sheetId="15" r:id="rId5"/>
    <sheet name="5943001001" sheetId="13" r:id="rId6"/>
    <sheet name="2643102002" sheetId="14" r:id="rId7"/>
    <sheet name="FT240-43 x 2" sheetId="11" r:id="rId8"/>
    <sheet name="FB2401-43 x 25" sheetId="3" r:id="rId9"/>
    <sheet name="2643167851x2" sheetId="4" r:id="rId10"/>
    <sheet name="2643625002" sheetId="16" r:id="rId11"/>
    <sheet name="2843009902" sheetId="17" r:id="rId12"/>
    <sheet name="2643167851x2 (2)" sheetId="8" r:id="rId13"/>
    <sheet name="2643167851x3 4t" sheetId="5" r:id="rId14"/>
    <sheet name="2643167851x3 5t" sheetId="7" r:id="rId15"/>
    <sheet name="Mix" sheetId="2" r:id="rId16"/>
    <sheet name="2643167851x3 5t (2)" sheetId="9" r:id="rId17"/>
  </sheets>
  <functionGroups builtInGroupCount="19"/>
  <definedNames>
    <definedName name="CSTableU1" localSheetId="14">Mix!$E$6:$G$23</definedName>
    <definedName name="CSTableU1" localSheetId="16">Mix!$E$6:$G$23</definedName>
    <definedName name="CSTableU1">Mix!$E$6:$G$23</definedName>
    <definedName name="CSTableU2" localSheetId="14">Mix!$N$6:$P$30</definedName>
    <definedName name="CSTableU2" localSheetId="16">Mix!$N$6:$P$30</definedName>
    <definedName name="CSTableU2">Mix!$N$6:$P$30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17" l="1"/>
  <c r="E18" i="17"/>
  <c r="F18" i="17"/>
  <c r="G18" i="17"/>
  <c r="H18" i="17" s="1"/>
  <c r="I18" i="17" s="1"/>
  <c r="J18" i="17" s="1"/>
  <c r="K18" i="17" s="1"/>
  <c r="L18" i="17" s="1"/>
  <c r="M18" i="17" s="1"/>
  <c r="N18" i="17" s="1"/>
  <c r="O18" i="17" s="1"/>
  <c r="P18" i="17" s="1"/>
  <c r="Q18" i="17" s="1"/>
  <c r="R18" i="17" s="1"/>
  <c r="S18" i="17" s="1"/>
  <c r="T18" i="17" s="1"/>
  <c r="U18" i="17" s="1"/>
  <c r="V18" i="17" s="1"/>
  <c r="W18" i="17" s="1"/>
  <c r="X18" i="17" s="1"/>
  <c r="Y18" i="17" s="1"/>
  <c r="Z18" i="17" s="1"/>
  <c r="AA18" i="17" s="1"/>
  <c r="AB18" i="17" s="1"/>
  <c r="AC18" i="17" s="1"/>
  <c r="AD18" i="17" s="1"/>
  <c r="AE18" i="17" s="1"/>
  <c r="C18" i="17"/>
  <c r="C18" i="18" l="1"/>
  <c r="D18" i="18" l="1"/>
  <c r="E18" i="18" s="1"/>
  <c r="F18" i="18" s="1"/>
  <c r="G18" i="18" s="1"/>
  <c r="H18" i="18" s="1"/>
  <c r="I18" i="18" s="1"/>
  <c r="J18" i="18" s="1"/>
  <c r="K18" i="18" s="1"/>
  <c r="L18" i="18" s="1"/>
  <c r="M18" i="18" s="1"/>
  <c r="N18" i="18" s="1"/>
  <c r="O18" i="18" s="1"/>
  <c r="P18" i="18" s="1"/>
  <c r="Q18" i="18" s="1"/>
  <c r="R18" i="18" s="1"/>
  <c r="S18" i="18" s="1"/>
  <c r="T18" i="18" s="1"/>
  <c r="U18" i="18" s="1"/>
  <c r="V18" i="18" s="1"/>
  <c r="W18" i="18" s="1"/>
  <c r="X18" i="18" s="1"/>
  <c r="Y18" i="18" s="1"/>
  <c r="Z18" i="18" s="1"/>
  <c r="AA18" i="18" s="1"/>
  <c r="AB18" i="18" s="1"/>
  <c r="AC18" i="18" s="1"/>
  <c r="AD18" i="18" s="1"/>
  <c r="AE18" i="18" s="1"/>
  <c r="AE24" i="18" l="1"/>
  <c r="AD24" i="18"/>
  <c r="AC24" i="18"/>
  <c r="AB24" i="18"/>
  <c r="AA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N24" i="18"/>
  <c r="B16" i="18"/>
  <c r="B13" i="18"/>
  <c r="B12" i="18"/>
  <c r="B33" i="18"/>
  <c r="C33" i="18"/>
  <c r="C24" i="17" l="1"/>
  <c r="B24" i="17"/>
  <c r="B16" i="17"/>
  <c r="B13" i="17"/>
  <c r="B12" i="17"/>
  <c r="C38" i="17"/>
  <c r="B38" i="17"/>
  <c r="O24" i="18" l="1"/>
  <c r="AE24" i="16"/>
  <c r="AD24" i="16"/>
  <c r="AC24" i="16"/>
  <c r="AB24" i="16"/>
  <c r="AA24" i="16"/>
  <c r="M24" i="16"/>
  <c r="L24" i="16"/>
  <c r="K24" i="16"/>
  <c r="J24" i="16"/>
  <c r="I24" i="16"/>
  <c r="H24" i="16"/>
  <c r="G24" i="16"/>
  <c r="F24" i="16"/>
  <c r="E24" i="16"/>
  <c r="D24" i="16"/>
  <c r="C24" i="16"/>
  <c r="B24" i="16"/>
  <c r="N18" i="16"/>
  <c r="N24" i="16" s="1"/>
  <c r="B13" i="16"/>
  <c r="B12" i="16"/>
  <c r="B16" i="16"/>
  <c r="B33" i="16"/>
  <c r="C33" i="16"/>
  <c r="E24" i="17" l="1"/>
  <c r="D24" i="17"/>
  <c r="P24" i="18"/>
  <c r="F24" i="17"/>
  <c r="O18" i="16"/>
  <c r="AE24" i="15"/>
  <c r="AD24" i="15"/>
  <c r="AC24" i="15"/>
  <c r="AB24" i="15"/>
  <c r="AA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N18" i="15"/>
  <c r="N24" i="15" s="1"/>
  <c r="B16" i="15"/>
  <c r="B13" i="15"/>
  <c r="B12" i="15"/>
  <c r="B7" i="14"/>
  <c r="B16" i="14" s="1"/>
  <c r="M24" i="14"/>
  <c r="L24" i="14"/>
  <c r="K24" i="14"/>
  <c r="J24" i="14"/>
  <c r="I24" i="14"/>
  <c r="H24" i="14"/>
  <c r="G24" i="14"/>
  <c r="F24" i="14"/>
  <c r="E24" i="14"/>
  <c r="D24" i="14"/>
  <c r="C24" i="14"/>
  <c r="B24" i="14"/>
  <c r="N18" i="14"/>
  <c r="O18" i="14" s="1"/>
  <c r="P18" i="14" s="1"/>
  <c r="Q18" i="14" s="1"/>
  <c r="R18" i="14" s="1"/>
  <c r="S18" i="14" s="1"/>
  <c r="T18" i="14" s="1"/>
  <c r="U18" i="14" s="1"/>
  <c r="V18" i="14" s="1"/>
  <c r="W18" i="14" s="1"/>
  <c r="X18" i="14" s="1"/>
  <c r="Y18" i="14" s="1"/>
  <c r="Z18" i="14" s="1"/>
  <c r="AA18" i="14" s="1"/>
  <c r="AB18" i="14" s="1"/>
  <c r="AC18" i="14" s="1"/>
  <c r="AD18" i="14" s="1"/>
  <c r="AE18" i="14" s="1"/>
  <c r="N24" i="14"/>
  <c r="B13" i="14"/>
  <c r="B12" i="14"/>
  <c r="AE24" i="13"/>
  <c r="AD24" i="13"/>
  <c r="AC24" i="13"/>
  <c r="AB24" i="13"/>
  <c r="AA24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N18" i="13"/>
  <c r="N24" i="13" s="1"/>
  <c r="B16" i="13"/>
  <c r="B13" i="13"/>
  <c r="B12" i="13"/>
  <c r="B7" i="12"/>
  <c r="AE24" i="12"/>
  <c r="AD24" i="12"/>
  <c r="AC24" i="12"/>
  <c r="AB24" i="12"/>
  <c r="AA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N24" i="12"/>
  <c r="B16" i="12"/>
  <c r="B13" i="12"/>
  <c r="B12" i="12"/>
  <c r="B7" i="11"/>
  <c r="AE24" i="11"/>
  <c r="AD24" i="11"/>
  <c r="AC24" i="11"/>
  <c r="AB24" i="11"/>
  <c r="AA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N18" i="11"/>
  <c r="B16" i="11"/>
  <c r="B13" i="11"/>
  <c r="B12" i="11"/>
  <c r="AE24" i="10"/>
  <c r="AD24" i="10"/>
  <c r="AC24" i="10"/>
  <c r="AB24" i="10"/>
  <c r="AA24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N18" i="10"/>
  <c r="N24" i="10" s="1"/>
  <c r="B16" i="10"/>
  <c r="B13" i="10"/>
  <c r="B12" i="10"/>
  <c r="B7" i="4"/>
  <c r="B16" i="4" s="1"/>
  <c r="B12" i="4"/>
  <c r="B13" i="4"/>
  <c r="N18" i="4"/>
  <c r="O18" i="4" s="1"/>
  <c r="P18" i="4" s="1"/>
  <c r="B24" i="4"/>
  <c r="C24" i="4"/>
  <c r="D24" i="4"/>
  <c r="E24" i="4"/>
  <c r="F24" i="4"/>
  <c r="G24" i="4"/>
  <c r="H24" i="4"/>
  <c r="I24" i="4"/>
  <c r="J24" i="4"/>
  <c r="K24" i="4"/>
  <c r="L24" i="4"/>
  <c r="M24" i="4"/>
  <c r="AA24" i="4"/>
  <c r="AB24" i="4"/>
  <c r="AC24" i="4"/>
  <c r="AD24" i="4"/>
  <c r="AE24" i="4"/>
  <c r="B7" i="8"/>
  <c r="B16" i="8" s="1"/>
  <c r="B12" i="8"/>
  <c r="B13" i="8"/>
  <c r="N18" i="8"/>
  <c r="O18" i="8" s="1"/>
  <c r="P18" i="8" s="1"/>
  <c r="B24" i="8"/>
  <c r="C24" i="8"/>
  <c r="D24" i="8"/>
  <c r="E24" i="8"/>
  <c r="F24" i="8"/>
  <c r="G24" i="8"/>
  <c r="H24" i="8"/>
  <c r="I24" i="8"/>
  <c r="J24" i="8"/>
  <c r="K24" i="8"/>
  <c r="L24" i="8"/>
  <c r="M24" i="8"/>
  <c r="AA24" i="8"/>
  <c r="AB24" i="8"/>
  <c r="AC24" i="8"/>
  <c r="AD24" i="8"/>
  <c r="AE24" i="8"/>
  <c r="B7" i="5"/>
  <c r="B16" i="5" s="1"/>
  <c r="B12" i="5"/>
  <c r="B13" i="5"/>
  <c r="C18" i="5"/>
  <c r="D18" i="5" s="1"/>
  <c r="B24" i="5"/>
  <c r="B7" i="7"/>
  <c r="B16" i="7" s="1"/>
  <c r="B12" i="7"/>
  <c r="B13" i="7"/>
  <c r="C18" i="7"/>
  <c r="D18" i="7" s="1"/>
  <c r="B24" i="7"/>
  <c r="C24" i="7"/>
  <c r="B7" i="9"/>
  <c r="B16" i="9" s="1"/>
  <c r="B12" i="9"/>
  <c r="B13" i="9"/>
  <c r="C18" i="9"/>
  <c r="D18" i="9" s="1"/>
  <c r="B24" i="9"/>
  <c r="B34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AT34" i="9"/>
  <c r="AU34" i="9"/>
  <c r="AV34" i="9"/>
  <c r="AW34" i="9"/>
  <c r="AX34" i="9"/>
  <c r="AY34" i="9"/>
  <c r="AZ34" i="9"/>
  <c r="BA34" i="9"/>
  <c r="BB34" i="9"/>
  <c r="BC34" i="9"/>
  <c r="BD34" i="9"/>
  <c r="BE34" i="9"/>
  <c r="BF34" i="9"/>
  <c r="BG34" i="9"/>
  <c r="BH34" i="9"/>
  <c r="BI34" i="9"/>
  <c r="BJ34" i="9"/>
  <c r="BK34" i="9"/>
  <c r="BL34" i="9"/>
  <c r="BM34" i="9"/>
  <c r="BN34" i="9"/>
  <c r="BO34" i="9"/>
  <c r="BP34" i="9"/>
  <c r="BQ34" i="9"/>
  <c r="BR34" i="9"/>
  <c r="BS34" i="9"/>
  <c r="BT34" i="9"/>
  <c r="BU34" i="9"/>
  <c r="BV34" i="9"/>
  <c r="BW34" i="9"/>
  <c r="BX34" i="9"/>
  <c r="BY34" i="9"/>
  <c r="BZ34" i="9"/>
  <c r="CA34" i="9"/>
  <c r="CB34" i="9"/>
  <c r="CC34" i="9"/>
  <c r="CD34" i="9"/>
  <c r="B7" i="3"/>
  <c r="B16" i="3" s="1"/>
  <c r="B12" i="3"/>
  <c r="B13" i="3"/>
  <c r="N18" i="3"/>
  <c r="O18" i="3"/>
  <c r="P18" i="3" s="1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AA24" i="3"/>
  <c r="AB24" i="3"/>
  <c r="AC24" i="3"/>
  <c r="AD24" i="3"/>
  <c r="AE24" i="3"/>
  <c r="B12" i="1"/>
  <c r="B13" i="1"/>
  <c r="B16" i="1"/>
  <c r="N18" i="1"/>
  <c r="N24" i="1" s="1"/>
  <c r="O18" i="1"/>
  <c r="P18" i="1" s="1"/>
  <c r="B24" i="1"/>
  <c r="C24" i="1"/>
  <c r="D24" i="1"/>
  <c r="E24" i="1"/>
  <c r="F24" i="1"/>
  <c r="G24" i="1"/>
  <c r="H24" i="1"/>
  <c r="I24" i="1"/>
  <c r="J24" i="1"/>
  <c r="K24" i="1"/>
  <c r="L24" i="1"/>
  <c r="M24" i="1"/>
  <c r="AA24" i="1"/>
  <c r="AB24" i="1"/>
  <c r="AC24" i="1"/>
  <c r="AD24" i="1"/>
  <c r="AE24" i="1"/>
  <c r="N24" i="11"/>
  <c r="O18" i="11"/>
  <c r="O24" i="11"/>
  <c r="P18" i="11"/>
  <c r="P24" i="11"/>
  <c r="Q18" i="11"/>
  <c r="R18" i="11" s="1"/>
  <c r="Q24" i="11"/>
  <c r="O18" i="12"/>
  <c r="O24" i="12" s="1"/>
  <c r="O18" i="13"/>
  <c r="O24" i="13" s="1"/>
  <c r="AA24" i="14"/>
  <c r="O24" i="14"/>
  <c r="AB24" i="14"/>
  <c r="P24" i="14"/>
  <c r="AC24" i="14"/>
  <c r="Q24" i="14"/>
  <c r="AD24" i="14"/>
  <c r="R24" i="14"/>
  <c r="AE24" i="14"/>
  <c r="S24" i="14"/>
  <c r="T24" i="14"/>
  <c r="U24" i="14"/>
  <c r="V24" i="14"/>
  <c r="W24" i="14"/>
  <c r="X24" i="14"/>
  <c r="Y24" i="14"/>
  <c r="Z24" i="14"/>
  <c r="E6" i="2" a="1"/>
  <c r="N6" i="2" a="1"/>
  <c r="C33" i="1"/>
  <c r="C33" i="14"/>
  <c r="B39" i="9"/>
  <c r="C33" i="12"/>
  <c r="B33" i="8"/>
  <c r="B33" i="5"/>
  <c r="B33" i="10"/>
  <c r="B33" i="13"/>
  <c r="B33" i="12"/>
  <c r="B33" i="1"/>
  <c r="B33" i="4"/>
  <c r="C33" i="5"/>
  <c r="B33" i="14"/>
  <c r="B33" i="3"/>
  <c r="C33" i="8"/>
  <c r="B33" i="7"/>
  <c r="B33" i="15"/>
  <c r="C33" i="7"/>
  <c r="C33" i="13"/>
  <c r="C39" i="9"/>
  <c r="B33" i="11"/>
  <c r="C33" i="4"/>
  <c r="C33" i="11"/>
  <c r="C33" i="15"/>
  <c r="C33" i="10"/>
  <c r="C33" i="3"/>
  <c r="D24" i="7" l="1"/>
  <c r="E18" i="7"/>
  <c r="R24" i="11"/>
  <c r="S18" i="11"/>
  <c r="P18" i="13"/>
  <c r="P18" i="12"/>
  <c r="O18" i="10"/>
  <c r="O24" i="1"/>
  <c r="O24" i="3"/>
  <c r="N24" i="8"/>
  <c r="N24" i="4"/>
  <c r="Q24" i="18"/>
  <c r="G24" i="17"/>
  <c r="O24" i="16"/>
  <c r="P18" i="16"/>
  <c r="O18" i="15"/>
  <c r="N11" i="2"/>
  <c r="P25" i="2"/>
  <c r="O17" i="2"/>
  <c r="P10" i="2"/>
  <c r="N23" i="2"/>
  <c r="O16" i="2"/>
  <c r="N10" i="2"/>
  <c r="P22" i="2"/>
  <c r="O15" i="2"/>
  <c r="P9" i="2"/>
  <c r="N21" i="2"/>
  <c r="O14" i="2"/>
  <c r="N28" i="2"/>
  <c r="N25" i="2"/>
  <c r="N15" i="2"/>
  <c r="P26" i="2"/>
  <c r="P23" i="2"/>
  <c r="N30" i="2"/>
  <c r="N29" i="2"/>
  <c r="N6" i="2"/>
  <c r="P12" i="2"/>
  <c r="O20" i="2"/>
  <c r="O28" i="2"/>
  <c r="P11" i="2"/>
  <c r="O18" i="2"/>
  <c r="O30" i="2"/>
  <c r="O29" i="2"/>
  <c r="P16" i="2"/>
  <c r="P20" i="2"/>
  <c r="P8" i="2"/>
  <c r="O12" i="2"/>
  <c r="N18" i="2"/>
  <c r="P7" i="2"/>
  <c r="O10" i="2"/>
  <c r="P21" i="2"/>
  <c r="O26" i="2"/>
  <c r="O27" i="2"/>
  <c r="P15" i="2"/>
  <c r="P6" i="2"/>
  <c r="O8" i="2"/>
  <c r="N14" i="2"/>
  <c r="O23" i="2"/>
  <c r="O6" i="2"/>
  <c r="N17" i="2"/>
  <c r="N22" i="2"/>
  <c r="P24" i="2"/>
  <c r="N13" i="2"/>
  <c r="P29" i="2"/>
  <c r="O19" i="2"/>
  <c r="P30" i="2"/>
  <c r="P27" i="2"/>
  <c r="O13" i="2"/>
  <c r="N8" i="2"/>
  <c r="P17" i="2"/>
  <c r="P28" i="2"/>
  <c r="O24" i="2"/>
  <c r="O9" i="2"/>
  <c r="N24" i="2"/>
  <c r="P13" i="2"/>
  <c r="N26" i="2"/>
  <c r="N20" i="2"/>
  <c r="N12" i="2"/>
  <c r="P18" i="2"/>
  <c r="P19" i="2"/>
  <c r="O25" i="2"/>
  <c r="N7" i="2"/>
  <c r="P14" i="2"/>
  <c r="O7" i="2"/>
  <c r="O22" i="2"/>
  <c r="N16" i="2"/>
  <c r="O21" i="2"/>
  <c r="N27" i="2"/>
  <c r="N9" i="2"/>
  <c r="O11" i="2"/>
  <c r="N19" i="2"/>
  <c r="F11" i="2"/>
  <c r="G9" i="2"/>
  <c r="G17" i="2"/>
  <c r="F23" i="2"/>
  <c r="E6" i="2"/>
  <c r="E14" i="2"/>
  <c r="E22" i="2"/>
  <c r="F17" i="2"/>
  <c r="G12" i="2"/>
  <c r="G20" i="2"/>
  <c r="F10" i="2"/>
  <c r="E9" i="2"/>
  <c r="E17" i="2"/>
  <c r="F21" i="2"/>
  <c r="G7" i="2"/>
  <c r="G23" i="2"/>
  <c r="E12" i="2"/>
  <c r="F13" i="2"/>
  <c r="G18" i="2"/>
  <c r="E7" i="2"/>
  <c r="E23" i="2"/>
  <c r="G19" i="2"/>
  <c r="F18" i="2"/>
  <c r="F14" i="2"/>
  <c r="G11" i="2"/>
  <c r="E16" i="2"/>
  <c r="G22" i="2"/>
  <c r="G13" i="2"/>
  <c r="F12" i="2"/>
  <c r="E18" i="2"/>
  <c r="G8" i="2"/>
  <c r="F20" i="2"/>
  <c r="E13" i="2"/>
  <c r="F7" i="2"/>
  <c r="F16" i="2"/>
  <c r="G10" i="2"/>
  <c r="E15" i="2"/>
  <c r="E8" i="2"/>
  <c r="E19" i="2"/>
  <c r="F6" i="2"/>
  <c r="F22" i="2"/>
  <c r="E10" i="2"/>
  <c r="G16" i="2"/>
  <c r="E21" i="2"/>
  <c r="E20" i="2"/>
  <c r="F15" i="2"/>
  <c r="F8" i="2"/>
  <c r="G21" i="2"/>
  <c r="F9" i="2"/>
  <c r="F19" i="2"/>
  <c r="G15" i="2"/>
  <c r="G6" i="2"/>
  <c r="G14" i="2"/>
  <c r="E11" i="2"/>
  <c r="Q18" i="1"/>
  <c r="P24" i="1"/>
  <c r="P24" i="3"/>
  <c r="Q18" i="3"/>
  <c r="D24" i="9"/>
  <c r="E18" i="9"/>
  <c r="D24" i="5"/>
  <c r="E18" i="5"/>
  <c r="P24" i="8"/>
  <c r="Q18" i="8"/>
  <c r="Q18" i="4"/>
  <c r="P24" i="4"/>
  <c r="C24" i="9"/>
  <c r="C24" i="5"/>
  <c r="O24" i="8"/>
  <c r="O24" i="4"/>
  <c r="C20" i="17"/>
  <c r="G19" i="18"/>
  <c r="D19" i="18"/>
  <c r="O20" i="18"/>
  <c r="AA20" i="18"/>
  <c r="L20" i="18"/>
  <c r="H20" i="17"/>
  <c r="G20" i="17"/>
  <c r="I19" i="18"/>
  <c r="F19" i="18"/>
  <c r="N20" i="18"/>
  <c r="AC20" i="18"/>
  <c r="AB20" i="18"/>
  <c r="E20" i="17"/>
  <c r="Q19" i="18"/>
  <c r="Q20" i="18"/>
  <c r="K19" i="18"/>
  <c r="H19" i="18"/>
  <c r="C20" i="18"/>
  <c r="AE20" i="18"/>
  <c r="AD20" i="18"/>
  <c r="D19" i="17"/>
  <c r="P19" i="18"/>
  <c r="M19" i="18"/>
  <c r="J19" i="18"/>
  <c r="E20" i="18"/>
  <c r="B20" i="18"/>
  <c r="B19" i="17"/>
  <c r="K20" i="18"/>
  <c r="F20" i="17"/>
  <c r="B19" i="18"/>
  <c r="P20" i="18"/>
  <c r="J20" i="18"/>
  <c r="H19" i="17"/>
  <c r="O19" i="18"/>
  <c r="AA19" i="18"/>
  <c r="L19" i="18"/>
  <c r="G20" i="18"/>
  <c r="D20" i="18"/>
  <c r="F19" i="17"/>
  <c r="E19" i="17"/>
  <c r="N19" i="18"/>
  <c r="AC19" i="18"/>
  <c r="AB19" i="18"/>
  <c r="I20" i="18"/>
  <c r="F20" i="18"/>
  <c r="C19" i="17"/>
  <c r="B20" i="17"/>
  <c r="C19" i="18"/>
  <c r="AE19" i="18"/>
  <c r="AD19" i="18"/>
  <c r="H20" i="18"/>
  <c r="G19" i="17"/>
  <c r="E19" i="18"/>
  <c r="M20" i="18"/>
  <c r="D20" i="17"/>
  <c r="S24" i="11" l="1"/>
  <c r="T18" i="11"/>
  <c r="O24" i="10"/>
  <c r="P18" i="10"/>
  <c r="Q18" i="12"/>
  <c r="P24" i="12"/>
  <c r="E24" i="7"/>
  <c r="F18" i="7"/>
  <c r="Q18" i="13"/>
  <c r="P24" i="13"/>
  <c r="AD22" i="18"/>
  <c r="AB22" i="18"/>
  <c r="L22" i="18"/>
  <c r="J22" i="18"/>
  <c r="H22" i="18"/>
  <c r="F22" i="18"/>
  <c r="D22" i="18"/>
  <c r="B22" i="18"/>
  <c r="AE22" i="18"/>
  <c r="AC22" i="18"/>
  <c r="AA22" i="18"/>
  <c r="M22" i="18"/>
  <c r="K22" i="18"/>
  <c r="I22" i="18"/>
  <c r="G22" i="18"/>
  <c r="E22" i="18"/>
  <c r="C22" i="18"/>
  <c r="N22" i="18"/>
  <c r="O22" i="18"/>
  <c r="P22" i="18"/>
  <c r="AD21" i="18"/>
  <c r="AD23" i="18" s="1"/>
  <c r="AD25" i="18" s="1"/>
  <c r="AB21" i="18"/>
  <c r="AB23" i="18" s="1"/>
  <c r="AB25" i="18" s="1"/>
  <c r="L21" i="18"/>
  <c r="L23" i="18" s="1"/>
  <c r="L25" i="18" s="1"/>
  <c r="J21" i="18"/>
  <c r="J23" i="18" s="1"/>
  <c r="J25" i="18" s="1"/>
  <c r="H21" i="18"/>
  <c r="H23" i="18" s="1"/>
  <c r="H25" i="18" s="1"/>
  <c r="F21" i="18"/>
  <c r="F23" i="18" s="1"/>
  <c r="F25" i="18" s="1"/>
  <c r="D21" i="18"/>
  <c r="D23" i="18" s="1"/>
  <c r="D25" i="18" s="1"/>
  <c r="B21" i="18"/>
  <c r="B23" i="18" s="1"/>
  <c r="B25" i="18" s="1"/>
  <c r="AE21" i="18"/>
  <c r="AE23" i="18" s="1"/>
  <c r="AE25" i="18" s="1"/>
  <c r="AC21" i="18"/>
  <c r="AC23" i="18" s="1"/>
  <c r="AC25" i="18" s="1"/>
  <c r="AA21" i="18"/>
  <c r="AA23" i="18" s="1"/>
  <c r="AA25" i="18" s="1"/>
  <c r="M21" i="18"/>
  <c r="M23" i="18" s="1"/>
  <c r="M25" i="18" s="1"/>
  <c r="K21" i="18"/>
  <c r="K23" i="18" s="1"/>
  <c r="K25" i="18" s="1"/>
  <c r="I21" i="18"/>
  <c r="I23" i="18" s="1"/>
  <c r="I25" i="18" s="1"/>
  <c r="G21" i="18"/>
  <c r="G23" i="18" s="1"/>
  <c r="G25" i="18" s="1"/>
  <c r="E21" i="18"/>
  <c r="E23" i="18" s="1"/>
  <c r="E25" i="18" s="1"/>
  <c r="C21" i="18"/>
  <c r="C23" i="18" s="1"/>
  <c r="C25" i="18" s="1"/>
  <c r="N21" i="18"/>
  <c r="N23" i="18" s="1"/>
  <c r="N25" i="18" s="1"/>
  <c r="O21" i="18"/>
  <c r="O23" i="18" s="1"/>
  <c r="O25" i="18" s="1"/>
  <c r="P21" i="18"/>
  <c r="P23" i="18" s="1"/>
  <c r="P25" i="18" s="1"/>
  <c r="Q22" i="18"/>
  <c r="Q21" i="18"/>
  <c r="R24" i="18"/>
  <c r="H24" i="17"/>
  <c r="G22" i="17"/>
  <c r="E22" i="17"/>
  <c r="C22" i="17"/>
  <c r="H22" i="17"/>
  <c r="F22" i="17"/>
  <c r="D22" i="17"/>
  <c r="B22" i="17"/>
  <c r="G21" i="17"/>
  <c r="E21" i="17"/>
  <c r="C21" i="17"/>
  <c r="C23" i="17" s="1"/>
  <c r="C25" i="17" s="1"/>
  <c r="C30" i="17" s="1"/>
  <c r="H21" i="17"/>
  <c r="F21" i="17"/>
  <c r="D21" i="17"/>
  <c r="B21" i="17"/>
  <c r="B23" i="17" s="1"/>
  <c r="B25" i="17" s="1"/>
  <c r="B30" i="17" s="1"/>
  <c r="O24" i="15"/>
  <c r="P18" i="15"/>
  <c r="R18" i="4"/>
  <c r="Q24" i="4"/>
  <c r="R18" i="1"/>
  <c r="Q24" i="1"/>
  <c r="R18" i="8"/>
  <c r="Q24" i="8"/>
  <c r="F18" i="5"/>
  <c r="E24" i="5"/>
  <c r="E24" i="9"/>
  <c r="F18" i="9"/>
  <c r="R18" i="3"/>
  <c r="Q24" i="3"/>
  <c r="I19" i="17"/>
  <c r="I20" i="17"/>
  <c r="R19" i="18"/>
  <c r="R20" i="18"/>
  <c r="F23" i="17" l="1"/>
  <c r="F25" i="17" s="1"/>
  <c r="F30" i="17" s="1"/>
  <c r="F32" i="17" s="1"/>
  <c r="G23" i="17"/>
  <c r="G25" i="17" s="1"/>
  <c r="G30" i="17" s="1"/>
  <c r="G31" i="17" s="1"/>
  <c r="G18" i="7"/>
  <c r="F24" i="7"/>
  <c r="Q18" i="10"/>
  <c r="P24" i="10"/>
  <c r="T24" i="11"/>
  <c r="U18" i="11"/>
  <c r="Q24" i="13"/>
  <c r="R18" i="13"/>
  <c r="Q24" i="12"/>
  <c r="R18" i="12"/>
  <c r="R22" i="18"/>
  <c r="R21" i="18"/>
  <c r="B32" i="17"/>
  <c r="B31" i="17"/>
  <c r="C31" i="17"/>
  <c r="C32" i="17"/>
  <c r="S24" i="18"/>
  <c r="Q23" i="18"/>
  <c r="Q25" i="18" s="1"/>
  <c r="P28" i="18"/>
  <c r="P27" i="18"/>
  <c r="P26" i="18"/>
  <c r="N28" i="18"/>
  <c r="N27" i="18"/>
  <c r="N26" i="18"/>
  <c r="E28" i="18"/>
  <c r="E27" i="18"/>
  <c r="E26" i="18"/>
  <c r="I28" i="18"/>
  <c r="I27" i="18"/>
  <c r="I26" i="18"/>
  <c r="M28" i="18"/>
  <c r="M27" i="18"/>
  <c r="M26" i="18"/>
  <c r="AC28" i="18"/>
  <c r="AC27" i="18"/>
  <c r="AC26" i="18"/>
  <c r="B28" i="18"/>
  <c r="B27" i="18"/>
  <c r="B26" i="18"/>
  <c r="F28" i="18"/>
  <c r="F27" i="18"/>
  <c r="F26" i="18"/>
  <c r="J28" i="18"/>
  <c r="J27" i="18"/>
  <c r="J26" i="18"/>
  <c r="AB28" i="18"/>
  <c r="AB27" i="18"/>
  <c r="AB26" i="18"/>
  <c r="O28" i="18"/>
  <c r="O27" i="18"/>
  <c r="O26" i="18"/>
  <c r="C28" i="18"/>
  <c r="C27" i="18"/>
  <c r="C26" i="18"/>
  <c r="G28" i="18"/>
  <c r="G27" i="18"/>
  <c r="G26" i="18"/>
  <c r="K28" i="18"/>
  <c r="K27" i="18"/>
  <c r="K26" i="18"/>
  <c r="AA28" i="18"/>
  <c r="AA27" i="18"/>
  <c r="AA26" i="18"/>
  <c r="AE28" i="18"/>
  <c r="AE27" i="18"/>
  <c r="AE26" i="18"/>
  <c r="D28" i="18"/>
  <c r="D27" i="18"/>
  <c r="D26" i="18"/>
  <c r="H28" i="18"/>
  <c r="H27" i="18"/>
  <c r="H26" i="18"/>
  <c r="L28" i="18"/>
  <c r="L27" i="18"/>
  <c r="L26" i="18"/>
  <c r="AD28" i="18"/>
  <c r="AD27" i="18"/>
  <c r="AD26" i="18"/>
  <c r="D23" i="17"/>
  <c r="D25" i="17" s="1"/>
  <c r="D30" i="17" s="1"/>
  <c r="H23" i="17"/>
  <c r="H25" i="17" s="1"/>
  <c r="H30" i="17" s="1"/>
  <c r="E23" i="17"/>
  <c r="E25" i="17" s="1"/>
  <c r="E30" i="17" s="1"/>
  <c r="I21" i="17"/>
  <c r="I22" i="17"/>
  <c r="I24" i="17"/>
  <c r="Q18" i="16"/>
  <c r="P24" i="16"/>
  <c r="P24" i="15"/>
  <c r="Q18" i="15"/>
  <c r="G18" i="9"/>
  <c r="F24" i="9"/>
  <c r="S18" i="3"/>
  <c r="R24" i="3"/>
  <c r="G18" i="5"/>
  <c r="F24" i="5"/>
  <c r="S18" i="8"/>
  <c r="R24" i="8"/>
  <c r="S18" i="1"/>
  <c r="R24" i="1"/>
  <c r="S18" i="4"/>
  <c r="R24" i="4"/>
  <c r="G32" i="17" l="1"/>
  <c r="F31" i="17"/>
  <c r="Q24" i="10"/>
  <c r="R18" i="10"/>
  <c r="R24" i="12"/>
  <c r="S18" i="12"/>
  <c r="U24" i="11"/>
  <c r="V18" i="11"/>
  <c r="R24" i="13"/>
  <c r="S18" i="13"/>
  <c r="G24" i="7"/>
  <c r="H18" i="7"/>
  <c r="R23" i="18"/>
  <c r="R25" i="18" s="1"/>
  <c r="I23" i="17"/>
  <c r="I25" i="17" s="1"/>
  <c r="I30" i="17" s="1"/>
  <c r="J24" i="17"/>
  <c r="D66" i="17"/>
  <c r="D65" i="17"/>
  <c r="D28" i="17"/>
  <c r="D27" i="17"/>
  <c r="D26" i="17"/>
  <c r="H66" i="17"/>
  <c r="H65" i="17"/>
  <c r="H28" i="17"/>
  <c r="H27" i="17"/>
  <c r="H26" i="17"/>
  <c r="C66" i="17"/>
  <c r="C65" i="17"/>
  <c r="C28" i="17"/>
  <c r="C27" i="17"/>
  <c r="C26" i="17"/>
  <c r="G66" i="17"/>
  <c r="G65" i="17"/>
  <c r="G28" i="17"/>
  <c r="G27" i="17"/>
  <c r="G26" i="17"/>
  <c r="B66" i="17"/>
  <c r="B65" i="17"/>
  <c r="B28" i="17"/>
  <c r="B27" i="17"/>
  <c r="B26" i="17"/>
  <c r="F66" i="17"/>
  <c r="F65" i="17"/>
  <c r="F28" i="17"/>
  <c r="F27" i="17"/>
  <c r="F26" i="17"/>
  <c r="E66" i="17"/>
  <c r="E65" i="17"/>
  <c r="E28" i="17"/>
  <c r="E27" i="17"/>
  <c r="E26" i="17"/>
  <c r="Q24" i="16"/>
  <c r="R18" i="16"/>
  <c r="Q24" i="15"/>
  <c r="R18" i="15"/>
  <c r="T18" i="4"/>
  <c r="S24" i="4"/>
  <c r="T18" i="1"/>
  <c r="S24" i="1"/>
  <c r="T18" i="8"/>
  <c r="S24" i="8"/>
  <c r="H18" i="5"/>
  <c r="G24" i="5"/>
  <c r="T18" i="3"/>
  <c r="S24" i="3"/>
  <c r="G24" i="9"/>
  <c r="H18" i="9"/>
  <c r="I18" i="7" l="1"/>
  <c r="H24" i="7"/>
  <c r="V24" i="11"/>
  <c r="W18" i="11"/>
  <c r="S18" i="10"/>
  <c r="R24" i="10"/>
  <c r="S24" i="13"/>
  <c r="T18" i="13"/>
  <c r="S24" i="12"/>
  <c r="T18" i="12"/>
  <c r="I31" i="17"/>
  <c r="I32" i="17"/>
  <c r="E31" i="17"/>
  <c r="E32" i="17"/>
  <c r="D32" i="17"/>
  <c r="D31" i="17"/>
  <c r="T24" i="18"/>
  <c r="R28" i="18"/>
  <c r="R27" i="18"/>
  <c r="R26" i="18"/>
  <c r="H32" i="17"/>
  <c r="H31" i="17"/>
  <c r="Q28" i="18"/>
  <c r="Q27" i="18"/>
  <c r="Q26" i="18"/>
  <c r="I66" i="17"/>
  <c r="I28" i="17"/>
  <c r="I26" i="17"/>
  <c r="I65" i="17"/>
  <c r="I27" i="17"/>
  <c r="K24" i="17"/>
  <c r="R24" i="16"/>
  <c r="S18" i="16"/>
  <c r="R24" i="15"/>
  <c r="S18" i="15"/>
  <c r="U18" i="3"/>
  <c r="T24" i="3"/>
  <c r="I18" i="5"/>
  <c r="H24" i="5"/>
  <c r="I18" i="9"/>
  <c r="H24" i="9"/>
  <c r="U18" i="8"/>
  <c r="T24" i="8"/>
  <c r="U18" i="1"/>
  <c r="T24" i="1"/>
  <c r="U18" i="4"/>
  <c r="T24" i="4"/>
  <c r="X18" i="11" l="1"/>
  <c r="W24" i="11"/>
  <c r="U18" i="13"/>
  <c r="T24" i="13"/>
  <c r="U18" i="12"/>
  <c r="T24" i="12"/>
  <c r="S24" i="10"/>
  <c r="T18" i="10"/>
  <c r="J18" i="7"/>
  <c r="I24" i="7"/>
  <c r="U24" i="18"/>
  <c r="L24" i="17"/>
  <c r="S24" i="16"/>
  <c r="T18" i="16"/>
  <c r="S24" i="15"/>
  <c r="T18" i="15"/>
  <c r="V18" i="4"/>
  <c r="U24" i="4"/>
  <c r="V18" i="1"/>
  <c r="U24" i="1"/>
  <c r="V18" i="8"/>
  <c r="U24" i="8"/>
  <c r="I24" i="9"/>
  <c r="J18" i="9"/>
  <c r="J18" i="5"/>
  <c r="I24" i="5"/>
  <c r="V18" i="3"/>
  <c r="U24" i="3"/>
  <c r="E20" i="16"/>
  <c r="AB20" i="15"/>
  <c r="E19" i="11"/>
  <c r="B19" i="1"/>
  <c r="B19" i="13"/>
  <c r="AE20" i="14"/>
  <c r="J20" i="11"/>
  <c r="D20" i="5"/>
  <c r="O20" i="10"/>
  <c r="K19" i="1"/>
  <c r="J19" i="8"/>
  <c r="T20" i="12"/>
  <c r="H20" i="11"/>
  <c r="F19" i="3"/>
  <c r="D19" i="3"/>
  <c r="AE20" i="16"/>
  <c r="F20" i="15"/>
  <c r="AC19" i="3"/>
  <c r="J19" i="4"/>
  <c r="O19" i="10"/>
  <c r="C20" i="11"/>
  <c r="F20" i="12"/>
  <c r="I19" i="15"/>
  <c r="B19" i="7"/>
  <c r="M20" i="4"/>
  <c r="B20" i="8"/>
  <c r="C20" i="15"/>
  <c r="D19" i="1"/>
  <c r="K20" i="16"/>
  <c r="X19" i="14"/>
  <c r="I19" i="8"/>
  <c r="E19" i="1"/>
  <c r="AA19" i="8"/>
  <c r="N20" i="8"/>
  <c r="C20" i="13"/>
  <c r="D20" i="12"/>
  <c r="AE19" i="10"/>
  <c r="AB19" i="10"/>
  <c r="U20" i="14"/>
  <c r="F20" i="4"/>
  <c r="Y19" i="14"/>
  <c r="D19" i="5"/>
  <c r="C20" i="8"/>
  <c r="D20" i="9"/>
  <c r="L20" i="13"/>
  <c r="Q20" i="4"/>
  <c r="B20" i="14"/>
  <c r="O20" i="15"/>
  <c r="Q19" i="1"/>
  <c r="F19" i="9"/>
  <c r="M19" i="16"/>
  <c r="G19" i="15"/>
  <c r="B19" i="14"/>
  <c r="D19" i="14"/>
  <c r="N19" i="13"/>
  <c r="R20" i="14"/>
  <c r="AB20" i="1"/>
  <c r="AD19" i="16"/>
  <c r="AC20" i="15"/>
  <c r="F19" i="7"/>
  <c r="H19" i="1"/>
  <c r="AA19" i="11"/>
  <c r="P20" i="14"/>
  <c r="K20" i="11"/>
  <c r="D20" i="7"/>
  <c r="O20" i="16"/>
  <c r="AE19" i="8"/>
  <c r="N20" i="14"/>
  <c r="F20" i="3"/>
  <c r="U19" i="14"/>
  <c r="L19" i="10"/>
  <c r="O19" i="16"/>
  <c r="H20" i="16"/>
  <c r="H19" i="14"/>
  <c r="K19" i="12"/>
  <c r="AC19" i="11"/>
  <c r="AD20" i="14"/>
  <c r="M20" i="3"/>
  <c r="D20" i="4"/>
  <c r="D19" i="12"/>
  <c r="AC19" i="1"/>
  <c r="E20" i="14"/>
  <c r="E19" i="15"/>
  <c r="C19" i="9"/>
  <c r="J19" i="12"/>
  <c r="B20" i="16"/>
  <c r="P19" i="14"/>
  <c r="C19" i="8"/>
  <c r="D19" i="11"/>
  <c r="C19" i="13"/>
  <c r="G20" i="11"/>
  <c r="G20" i="14"/>
  <c r="AE20" i="4"/>
  <c r="S19" i="12"/>
  <c r="K20" i="4"/>
  <c r="G20" i="10"/>
  <c r="K20" i="15"/>
  <c r="I19" i="12"/>
  <c r="L20" i="8"/>
  <c r="Q20" i="13"/>
  <c r="Q19" i="3"/>
  <c r="AE20" i="11"/>
  <c r="M20" i="1"/>
  <c r="F19" i="5"/>
  <c r="R20" i="8"/>
  <c r="N20" i="16"/>
  <c r="B20" i="15"/>
  <c r="D19" i="7"/>
  <c r="I19" i="3"/>
  <c r="P19" i="8"/>
  <c r="N20" i="1"/>
  <c r="C20" i="7"/>
  <c r="L20" i="15"/>
  <c r="AD19" i="10"/>
  <c r="E20" i="8"/>
  <c r="F20" i="11"/>
  <c r="M19" i="1"/>
  <c r="M19" i="10"/>
  <c r="H20" i="14"/>
  <c r="I20" i="13"/>
  <c r="P20" i="3"/>
  <c r="Q20" i="11"/>
  <c r="M20" i="12"/>
  <c r="K20" i="10"/>
  <c r="K20" i="17"/>
  <c r="S19" i="8"/>
  <c r="S19" i="3"/>
  <c r="J19" i="17"/>
  <c r="C19" i="15"/>
  <c r="D19" i="10"/>
  <c r="Q19" i="10"/>
  <c r="AD19" i="13"/>
  <c r="AC20" i="12"/>
  <c r="D20" i="1"/>
  <c r="AE19" i="14"/>
  <c r="K19" i="10"/>
  <c r="H20" i="1"/>
  <c r="AE20" i="15"/>
  <c r="R19" i="11"/>
  <c r="AC20" i="16"/>
  <c r="J19" i="14"/>
  <c r="B19" i="8"/>
  <c r="Z20" i="14"/>
  <c r="AA20" i="14"/>
  <c r="D20" i="11"/>
  <c r="AC19" i="8"/>
  <c r="B20" i="5"/>
  <c r="G20" i="3"/>
  <c r="N19" i="16"/>
  <c r="AA19" i="15"/>
  <c r="B19" i="9"/>
  <c r="F19" i="11"/>
  <c r="S19" i="13"/>
  <c r="O20" i="1"/>
  <c r="AC20" i="4"/>
  <c r="AB19" i="13"/>
  <c r="K19" i="3"/>
  <c r="G20" i="12"/>
  <c r="B19" i="5"/>
  <c r="W20" i="14"/>
  <c r="AA20" i="10"/>
  <c r="AD20" i="3"/>
  <c r="AC20" i="11"/>
  <c r="N19" i="10"/>
  <c r="R20" i="3"/>
  <c r="AD19" i="4"/>
  <c r="E20" i="15"/>
  <c r="E19" i="7"/>
  <c r="B19" i="4"/>
  <c r="AC20" i="8"/>
  <c r="C19" i="16"/>
  <c r="AE19" i="15"/>
  <c r="C19" i="11"/>
  <c r="L19" i="1"/>
  <c r="O19" i="13"/>
  <c r="O20" i="4"/>
  <c r="M20" i="11"/>
  <c r="H19" i="3"/>
  <c r="G20" i="8"/>
  <c r="AA20" i="11"/>
  <c r="K19" i="14"/>
  <c r="AA19" i="16"/>
  <c r="I20" i="15"/>
  <c r="AD19" i="12"/>
  <c r="G19" i="10"/>
  <c r="F20" i="14"/>
  <c r="L20" i="3"/>
  <c r="B19" i="11"/>
  <c r="K19" i="11"/>
  <c r="I20" i="3"/>
  <c r="N19" i="14"/>
  <c r="F19" i="16"/>
  <c r="J20" i="15"/>
  <c r="P19" i="12"/>
  <c r="E19" i="13"/>
  <c r="R20" i="12"/>
  <c r="F20" i="8"/>
  <c r="AC19" i="15"/>
  <c r="AC19" i="4"/>
  <c r="O20" i="11"/>
  <c r="AB19" i="11"/>
  <c r="AE20" i="10"/>
  <c r="W20" i="11"/>
  <c r="AD20" i="4"/>
  <c r="G19" i="13"/>
  <c r="F20" i="5"/>
  <c r="E19" i="16"/>
  <c r="D19" i="15"/>
  <c r="G19" i="14"/>
  <c r="K19" i="8"/>
  <c r="AE20" i="3"/>
  <c r="AE20" i="1"/>
  <c r="AC19" i="12"/>
  <c r="AE20" i="12"/>
  <c r="J20" i="1"/>
  <c r="Q19" i="12"/>
  <c r="Y20" i="14"/>
  <c r="P20" i="11"/>
  <c r="AB20" i="12"/>
  <c r="H20" i="8"/>
  <c r="D20" i="13"/>
  <c r="Q19" i="15"/>
  <c r="S19" i="4"/>
  <c r="C20" i="10"/>
  <c r="AC19" i="14"/>
  <c r="T19" i="11"/>
  <c r="T20" i="14"/>
  <c r="H20" i="4"/>
  <c r="O19" i="12"/>
  <c r="P19" i="13"/>
  <c r="P20" i="4"/>
  <c r="O19" i="15"/>
  <c r="J20" i="3"/>
  <c r="I20" i="7"/>
  <c r="Q19" i="8"/>
  <c r="G19" i="5"/>
  <c r="S20" i="8"/>
  <c r="T19" i="18"/>
  <c r="H19" i="9"/>
  <c r="T19" i="8"/>
  <c r="T19" i="1"/>
  <c r="T20" i="3"/>
  <c r="K19" i="16"/>
  <c r="AD19" i="15"/>
  <c r="P19" i="11"/>
  <c r="F19" i="1"/>
  <c r="L19" i="8"/>
  <c r="B20" i="12"/>
  <c r="F20" i="7"/>
  <c r="AE19" i="12"/>
  <c r="M19" i="11"/>
  <c r="AA20" i="8"/>
  <c r="E19" i="8"/>
  <c r="J20" i="17"/>
  <c r="H19" i="16"/>
  <c r="AD19" i="11"/>
  <c r="L20" i="11"/>
  <c r="N20" i="11"/>
  <c r="O19" i="14"/>
  <c r="N19" i="3"/>
  <c r="AD20" i="16"/>
  <c r="O19" i="8"/>
  <c r="F19" i="10"/>
  <c r="N20" i="3"/>
  <c r="V19" i="11"/>
  <c r="AD20" i="8"/>
  <c r="G19" i="1"/>
  <c r="AB19" i="16"/>
  <c r="E19" i="14"/>
  <c r="K19" i="13"/>
  <c r="G20" i="1"/>
  <c r="AB20" i="11"/>
  <c r="C19" i="10"/>
  <c r="E20" i="4"/>
  <c r="M19" i="14"/>
  <c r="Q20" i="12"/>
  <c r="E20" i="13"/>
  <c r="AD20" i="11"/>
  <c r="S20" i="14"/>
  <c r="R19" i="4"/>
  <c r="F20" i="16"/>
  <c r="L19" i="11"/>
  <c r="G19" i="4"/>
  <c r="S19" i="18"/>
  <c r="V19" i="14"/>
  <c r="AA19" i="14"/>
  <c r="F19" i="8"/>
  <c r="AD20" i="13"/>
  <c r="D20" i="15"/>
  <c r="I19" i="7"/>
  <c r="B19" i="15"/>
  <c r="O19" i="1"/>
  <c r="K19" i="15"/>
  <c r="F19" i="12"/>
  <c r="L19" i="13"/>
  <c r="P20" i="12"/>
  <c r="S19" i="11"/>
  <c r="E20" i="1"/>
  <c r="N19" i="11"/>
  <c r="C20" i="16"/>
  <c r="AB19" i="8"/>
  <c r="C19" i="7"/>
  <c r="AC20" i="3"/>
  <c r="R20" i="11"/>
  <c r="H19" i="8"/>
  <c r="J20" i="12"/>
  <c r="J19" i="3"/>
  <c r="O20" i="8"/>
  <c r="D20" i="10"/>
  <c r="S20" i="13"/>
  <c r="R19" i="1"/>
  <c r="T19" i="14"/>
  <c r="AB19" i="3"/>
  <c r="B20" i="11"/>
  <c r="B20" i="3"/>
  <c r="M19" i="13"/>
  <c r="AD20" i="10"/>
  <c r="H19" i="4"/>
  <c r="C20" i="3"/>
  <c r="E19" i="9"/>
  <c r="Q19" i="4"/>
  <c r="R20" i="4"/>
  <c r="S20" i="4"/>
  <c r="C20" i="9"/>
  <c r="I19" i="4"/>
  <c r="AA19" i="3"/>
  <c r="I20" i="8"/>
  <c r="P19" i="4"/>
  <c r="N20" i="10"/>
  <c r="Q20" i="1"/>
  <c r="U20" i="11"/>
  <c r="P20" i="1"/>
  <c r="Q19" i="16"/>
  <c r="S20" i="1"/>
  <c r="H20" i="9"/>
  <c r="R19" i="16"/>
  <c r="T20" i="1"/>
  <c r="T20" i="4"/>
  <c r="D20" i="16"/>
  <c r="AA19" i="12"/>
  <c r="O20" i="3"/>
  <c r="F19" i="15"/>
  <c r="AC20" i="10"/>
  <c r="AD19" i="3"/>
  <c r="H19" i="15"/>
  <c r="F19" i="4"/>
  <c r="AB20" i="14"/>
  <c r="B20" i="4"/>
  <c r="AA19" i="1"/>
  <c r="D20" i="14"/>
  <c r="G19" i="7"/>
  <c r="J20" i="16"/>
  <c r="AC19" i="13"/>
  <c r="C19" i="5"/>
  <c r="AB20" i="4"/>
  <c r="F20" i="13"/>
  <c r="R19" i="13"/>
  <c r="AE20" i="13"/>
  <c r="J19" i="10"/>
  <c r="T20" i="11"/>
  <c r="M20" i="13"/>
  <c r="H20" i="3"/>
  <c r="H20" i="7"/>
  <c r="R20" i="1"/>
  <c r="R19" i="14"/>
  <c r="F19" i="14"/>
  <c r="AA19" i="13"/>
  <c r="AE19" i="16"/>
  <c r="AE19" i="3"/>
  <c r="C19" i="4"/>
  <c r="Q20" i="10"/>
  <c r="K20" i="12"/>
  <c r="AD19" i="1"/>
  <c r="C20" i="1"/>
  <c r="AB19" i="14"/>
  <c r="S20" i="18"/>
  <c r="Z19" i="14"/>
  <c r="D19" i="4"/>
  <c r="B20" i="10"/>
  <c r="S20" i="12"/>
  <c r="R19" i="12"/>
  <c r="F20" i="1"/>
  <c r="L19" i="3"/>
  <c r="N19" i="15"/>
  <c r="AB19" i="12"/>
  <c r="P19" i="10"/>
  <c r="L20" i="12"/>
  <c r="B20" i="9"/>
  <c r="AB20" i="8"/>
  <c r="J20" i="4"/>
  <c r="Q19" i="11"/>
  <c r="AB20" i="3"/>
  <c r="I20" i="10"/>
  <c r="Q20" i="3"/>
  <c r="B19" i="16"/>
  <c r="G19" i="11"/>
  <c r="O19" i="3"/>
  <c r="R20" i="13"/>
  <c r="N20" i="15"/>
  <c r="AE19" i="13"/>
  <c r="J19" i="15"/>
  <c r="E19" i="4"/>
  <c r="N20" i="12"/>
  <c r="S20" i="11"/>
  <c r="L19" i="4"/>
  <c r="Q20" i="15"/>
  <c r="S20" i="10"/>
  <c r="AC20" i="1"/>
  <c r="L19" i="12"/>
  <c r="AD20" i="1"/>
  <c r="L20" i="1"/>
  <c r="D19" i="9"/>
  <c r="M20" i="8"/>
  <c r="M20" i="10"/>
  <c r="E20" i="5"/>
  <c r="R19" i="8"/>
  <c r="S19" i="1"/>
  <c r="G19" i="9"/>
  <c r="T20" i="18"/>
  <c r="L20" i="17"/>
  <c r="R20" i="15"/>
  <c r="I19" i="14"/>
  <c r="B19" i="12"/>
  <c r="AB20" i="13"/>
  <c r="C19" i="14"/>
  <c r="K20" i="8"/>
  <c r="G19" i="16"/>
  <c r="S19" i="14"/>
  <c r="M19" i="8"/>
  <c r="AA20" i="3"/>
  <c r="B20" i="7"/>
  <c r="H19" i="12"/>
  <c r="D20" i="3"/>
  <c r="L19" i="14"/>
  <c r="M20" i="15"/>
  <c r="H19" i="13"/>
  <c r="C19" i="1"/>
  <c r="O20" i="12"/>
  <c r="AA20" i="15"/>
  <c r="P19" i="3"/>
  <c r="L20" i="4"/>
  <c r="AE19" i="1"/>
  <c r="E20" i="3"/>
  <c r="V20" i="11"/>
  <c r="E20" i="7"/>
  <c r="P20" i="15"/>
  <c r="J19" i="16"/>
  <c r="M19" i="4"/>
  <c r="C19" i="3"/>
  <c r="M20" i="14"/>
  <c r="M20" i="16"/>
  <c r="N19" i="12"/>
  <c r="I19" i="13"/>
  <c r="C20" i="12"/>
  <c r="B20" i="1"/>
  <c r="D19" i="8"/>
  <c r="R20" i="10"/>
  <c r="AE19" i="11"/>
  <c r="L19" i="16"/>
  <c r="M19" i="3"/>
  <c r="AA19" i="4"/>
  <c r="I20" i="4"/>
  <c r="C20" i="5"/>
  <c r="E19" i="12"/>
  <c r="AD20" i="15"/>
  <c r="J19" i="13"/>
  <c r="L19" i="15"/>
  <c r="H19" i="11"/>
  <c r="I19" i="1"/>
  <c r="N20" i="4"/>
  <c r="W19" i="14"/>
  <c r="AE20" i="8"/>
  <c r="T19" i="12"/>
  <c r="K20" i="14"/>
  <c r="O20" i="13"/>
  <c r="Q20" i="8"/>
  <c r="P19" i="15"/>
  <c r="AA20" i="16"/>
  <c r="AC19" i="10"/>
  <c r="M19" i="12"/>
  <c r="L20" i="10"/>
  <c r="N19" i="4"/>
  <c r="C20" i="4"/>
  <c r="Q19" i="14"/>
  <c r="N19" i="1"/>
  <c r="N20" i="13"/>
  <c r="E20" i="11"/>
  <c r="AC20" i="14"/>
  <c r="S20" i="3"/>
  <c r="AA20" i="1"/>
  <c r="AB19" i="15"/>
  <c r="AE19" i="4"/>
  <c r="AA20" i="12"/>
  <c r="H20" i="15"/>
  <c r="K20" i="1"/>
  <c r="H20" i="10"/>
  <c r="J20" i="10"/>
  <c r="J20" i="8"/>
  <c r="R19" i="3"/>
  <c r="K19" i="17"/>
  <c r="R19" i="15"/>
  <c r="R20" i="16"/>
  <c r="T19" i="4"/>
  <c r="T20" i="8"/>
  <c r="J19" i="1"/>
  <c r="O19" i="11"/>
  <c r="J20" i="14"/>
  <c r="G19" i="3"/>
  <c r="G20" i="7"/>
  <c r="K20" i="3"/>
  <c r="AC19" i="16"/>
  <c r="D20" i="8"/>
  <c r="U19" i="11"/>
  <c r="P19" i="16"/>
  <c r="I20" i="1"/>
  <c r="G20" i="4"/>
  <c r="F19" i="13"/>
  <c r="AA20" i="4"/>
  <c r="I19" i="16"/>
  <c r="I20" i="11"/>
  <c r="I20" i="12"/>
  <c r="AB20" i="16"/>
  <c r="E19" i="10"/>
  <c r="P20" i="13"/>
  <c r="L20" i="14"/>
  <c r="H19" i="7"/>
  <c r="AA20" i="13"/>
  <c r="H20" i="5"/>
  <c r="D19" i="16"/>
  <c r="AD19" i="14"/>
  <c r="I19" i="11"/>
  <c r="G19" i="8"/>
  <c r="AB20" i="10"/>
  <c r="G20" i="16"/>
  <c r="L20" i="16"/>
  <c r="E20" i="12"/>
  <c r="I20" i="16"/>
  <c r="G20" i="15"/>
  <c r="AB19" i="1"/>
  <c r="O19" i="4"/>
  <c r="E20" i="9"/>
  <c r="E19" i="3"/>
  <c r="C20" i="14"/>
  <c r="E20" i="10"/>
  <c r="K19" i="4"/>
  <c r="F20" i="10"/>
  <c r="Q20" i="16"/>
  <c r="T19" i="3"/>
  <c r="B19" i="10"/>
  <c r="D19" i="13"/>
  <c r="J19" i="11"/>
  <c r="AD20" i="12"/>
  <c r="E19" i="5"/>
  <c r="AA19" i="10"/>
  <c r="C19" i="12"/>
  <c r="S19" i="10"/>
  <c r="B19" i="3"/>
  <c r="Q20" i="14"/>
  <c r="P19" i="1"/>
  <c r="H20" i="12"/>
  <c r="K20" i="13"/>
  <c r="I20" i="14"/>
  <c r="N19" i="8"/>
  <c r="P20" i="16"/>
  <c r="R19" i="10"/>
  <c r="J20" i="13"/>
  <c r="G20" i="9"/>
  <c r="L19" i="17"/>
  <c r="AB19" i="4"/>
  <c r="O20" i="14"/>
  <c r="X20" i="14"/>
  <c r="M19" i="15"/>
  <c r="G20" i="13"/>
  <c r="Q19" i="13"/>
  <c r="I19" i="10"/>
  <c r="H20" i="13"/>
  <c r="H19" i="10"/>
  <c r="AD19" i="8"/>
  <c r="V20" i="14"/>
  <c r="G19" i="12"/>
  <c r="F20" i="9"/>
  <c r="P20" i="10"/>
  <c r="P20" i="8"/>
  <c r="G20" i="5"/>
  <c r="AC20" i="13"/>
  <c r="B20" i="13"/>
  <c r="H19" i="5"/>
  <c r="W19" i="11"/>
  <c r="U20" i="4"/>
  <c r="U20" i="3"/>
  <c r="U19" i="4"/>
  <c r="S20" i="15"/>
  <c r="U19" i="8"/>
  <c r="T19" i="13"/>
  <c r="S19" i="16"/>
  <c r="M19" i="17"/>
  <c r="U20" i="8"/>
  <c r="I20" i="9"/>
  <c r="T20" i="13"/>
  <c r="U20" i="1"/>
  <c r="S19" i="15"/>
  <c r="U20" i="18"/>
  <c r="U19" i="18"/>
  <c r="U19" i="3"/>
  <c r="I20" i="5"/>
  <c r="S20" i="16"/>
  <c r="I19" i="9"/>
  <c r="M20" i="17"/>
  <c r="I19" i="5"/>
  <c r="U19" i="1"/>
  <c r="T22" i="13" l="1"/>
  <c r="T21" i="13"/>
  <c r="W21" i="11"/>
  <c r="H21" i="5"/>
  <c r="B22" i="13"/>
  <c r="AC22" i="13"/>
  <c r="G22" i="5"/>
  <c r="P22" i="8"/>
  <c r="P22" i="10"/>
  <c r="F22" i="9"/>
  <c r="G21" i="12"/>
  <c r="V22" i="14"/>
  <c r="AD21" i="8"/>
  <c r="H21" i="10"/>
  <c r="H22" i="13"/>
  <c r="I21" i="10"/>
  <c r="Q21" i="13"/>
  <c r="G22" i="13"/>
  <c r="M21" i="15"/>
  <c r="X22" i="14"/>
  <c r="O22" i="14"/>
  <c r="AB21" i="4"/>
  <c r="L21" i="17"/>
  <c r="G22" i="9"/>
  <c r="J22" i="13"/>
  <c r="R21" i="10"/>
  <c r="P22" i="16"/>
  <c r="N21" i="8"/>
  <c r="I22" i="14"/>
  <c r="K22" i="13"/>
  <c r="H22" i="12"/>
  <c r="P21" i="1"/>
  <c r="Q22" i="14"/>
  <c r="B21" i="3"/>
  <c r="S21" i="10"/>
  <c r="C21" i="12"/>
  <c r="AA21" i="10"/>
  <c r="E21" i="5"/>
  <c r="AD22" i="12"/>
  <c r="J21" i="11"/>
  <c r="D21" i="13"/>
  <c r="B21" i="10"/>
  <c r="T21" i="3"/>
  <c r="Q22" i="16"/>
  <c r="F22" i="10"/>
  <c r="K21" i="4"/>
  <c r="E22" i="10"/>
  <c r="C22" i="14"/>
  <c r="E21" i="3"/>
  <c r="E22" i="9"/>
  <c r="O21" i="4"/>
  <c r="AB21" i="1"/>
  <c r="G22" i="15"/>
  <c r="I22" i="16"/>
  <c r="E22" i="12"/>
  <c r="L22" i="16"/>
  <c r="G22" i="16"/>
  <c r="AB22" i="10"/>
  <c r="G21" i="8"/>
  <c r="I21" i="11"/>
  <c r="AD21" i="14"/>
  <c r="D21" i="16"/>
  <c r="H22" i="5"/>
  <c r="AA22" i="13"/>
  <c r="H21" i="7"/>
  <c r="L22" i="14"/>
  <c r="P22" i="13"/>
  <c r="E21" i="10"/>
  <c r="AB22" i="16"/>
  <c r="I22" i="12"/>
  <c r="I22" i="11"/>
  <c r="I21" i="16"/>
  <c r="AA22" i="4"/>
  <c r="F21" i="13"/>
  <c r="G22" i="4"/>
  <c r="I22" i="1"/>
  <c r="P21" i="16"/>
  <c r="U21" i="11"/>
  <c r="D22" i="8"/>
  <c r="AC21" i="16"/>
  <c r="K22" i="3"/>
  <c r="G22" i="7"/>
  <c r="G21" i="3"/>
  <c r="J22" i="14"/>
  <c r="O21" i="11"/>
  <c r="J21" i="1"/>
  <c r="T22" i="8"/>
  <c r="T21" i="4"/>
  <c r="R22" i="16"/>
  <c r="R21" i="15"/>
  <c r="K21" i="17"/>
  <c r="R21" i="3"/>
  <c r="J22" i="8"/>
  <c r="J22" i="10"/>
  <c r="H22" i="10"/>
  <c r="K22" i="1"/>
  <c r="H22" i="15"/>
  <c r="AA22" i="12"/>
  <c r="AE21" i="4"/>
  <c r="AB21" i="15"/>
  <c r="AA22" i="1"/>
  <c r="S22" i="3"/>
  <c r="AC22" i="14"/>
  <c r="E22" i="11"/>
  <c r="N22" i="13"/>
  <c r="N21" i="1"/>
  <c r="Q21" i="14"/>
  <c r="C22" i="4"/>
  <c r="N21" i="4"/>
  <c r="L22" i="10"/>
  <c r="M21" i="12"/>
  <c r="AC21" i="10"/>
  <c r="AA22" i="16"/>
  <c r="P21" i="15"/>
  <c r="Q22" i="8"/>
  <c r="O22" i="13"/>
  <c r="K22" i="14"/>
  <c r="T21" i="12"/>
  <c r="AE22" i="8"/>
  <c r="W21" i="14"/>
  <c r="N22" i="4"/>
  <c r="I21" i="1"/>
  <c r="H21" i="11"/>
  <c r="L21" i="15"/>
  <c r="J21" i="13"/>
  <c r="J23" i="13" s="1"/>
  <c r="J25" i="13" s="1"/>
  <c r="J28" i="13" s="1"/>
  <c r="AD22" i="15"/>
  <c r="E21" i="12"/>
  <c r="E23" i="12" s="1"/>
  <c r="E25" i="12" s="1"/>
  <c r="E27" i="12" s="1"/>
  <c r="C22" i="5"/>
  <c r="I22" i="4"/>
  <c r="AA21" i="4"/>
  <c r="M21" i="3"/>
  <c r="L21" i="16"/>
  <c r="L23" i="16" s="1"/>
  <c r="L25" i="16" s="1"/>
  <c r="AE21" i="11"/>
  <c r="R22" i="10"/>
  <c r="R23" i="10" s="1"/>
  <c r="R25" i="10" s="1"/>
  <c r="D21" i="8"/>
  <c r="B22" i="1"/>
  <c r="C22" i="12"/>
  <c r="I21" i="13"/>
  <c r="N21" i="12"/>
  <c r="M22" i="16"/>
  <c r="M22" i="14"/>
  <c r="C21" i="3"/>
  <c r="M21" i="4"/>
  <c r="J21" i="16"/>
  <c r="P22" i="15"/>
  <c r="E22" i="7"/>
  <c r="V22" i="11"/>
  <c r="E22" i="3"/>
  <c r="E23" i="3" s="1"/>
  <c r="E25" i="3" s="1"/>
  <c r="AE21" i="1"/>
  <c r="L22" i="4"/>
  <c r="P21" i="3"/>
  <c r="AA22" i="15"/>
  <c r="O22" i="12"/>
  <c r="C21" i="1"/>
  <c r="H21" i="13"/>
  <c r="H23" i="13" s="1"/>
  <c r="H25" i="13" s="1"/>
  <c r="M22" i="15"/>
  <c r="L21" i="14"/>
  <c r="D22" i="3"/>
  <c r="H21" i="12"/>
  <c r="H23" i="12" s="1"/>
  <c r="H25" i="12" s="1"/>
  <c r="H28" i="12" s="1"/>
  <c r="B22" i="7"/>
  <c r="AA22" i="3"/>
  <c r="M21" i="8"/>
  <c r="S21" i="14"/>
  <c r="G21" i="16"/>
  <c r="G23" i="16" s="1"/>
  <c r="G25" i="16" s="1"/>
  <c r="K22" i="8"/>
  <c r="C21" i="14"/>
  <c r="AB22" i="13"/>
  <c r="B21" i="12"/>
  <c r="I21" i="14"/>
  <c r="I23" i="14" s="1"/>
  <c r="I25" i="14" s="1"/>
  <c r="R22" i="15"/>
  <c r="L22" i="17"/>
  <c r="L23" i="17" s="1"/>
  <c r="L25" i="17" s="1"/>
  <c r="T22" i="18"/>
  <c r="G21" i="9"/>
  <c r="S21" i="1"/>
  <c r="R21" i="8"/>
  <c r="E22" i="5"/>
  <c r="M22" i="10"/>
  <c r="M22" i="8"/>
  <c r="D21" i="9"/>
  <c r="L22" i="1"/>
  <c r="AD22" i="1"/>
  <c r="L21" i="12"/>
  <c r="AC22" i="1"/>
  <c r="S22" i="10"/>
  <c r="Q22" i="15"/>
  <c r="L21" i="4"/>
  <c r="L23" i="4" s="1"/>
  <c r="L25" i="4" s="1"/>
  <c r="L26" i="4" s="1"/>
  <c r="S22" i="11"/>
  <c r="N22" i="12"/>
  <c r="E21" i="4"/>
  <c r="J21" i="15"/>
  <c r="AE21" i="13"/>
  <c r="N22" i="15"/>
  <c r="R22" i="13"/>
  <c r="O21" i="3"/>
  <c r="G21" i="11"/>
  <c r="B21" i="16"/>
  <c r="Q22" i="3"/>
  <c r="I22" i="10"/>
  <c r="AB22" i="3"/>
  <c r="Q21" i="11"/>
  <c r="J22" i="4"/>
  <c r="AB22" i="8"/>
  <c r="B22" i="9"/>
  <c r="L22" i="12"/>
  <c r="P21" i="10"/>
  <c r="P23" i="10" s="1"/>
  <c r="P25" i="10" s="1"/>
  <c r="P27" i="10" s="1"/>
  <c r="AB21" i="12"/>
  <c r="N21" i="15"/>
  <c r="L21" i="3"/>
  <c r="F22" i="1"/>
  <c r="R21" i="12"/>
  <c r="S22" i="12"/>
  <c r="B22" i="10"/>
  <c r="D21" i="4"/>
  <c r="Z21" i="14"/>
  <c r="S22" i="18"/>
  <c r="AB21" i="14"/>
  <c r="C22" i="1"/>
  <c r="AD21" i="1"/>
  <c r="K22" i="12"/>
  <c r="Q22" i="10"/>
  <c r="C21" i="4"/>
  <c r="AE21" i="3"/>
  <c r="AE21" i="16"/>
  <c r="AA21" i="13"/>
  <c r="AA23" i="13" s="1"/>
  <c r="AA25" i="13" s="1"/>
  <c r="F21" i="14"/>
  <c r="R21" i="14"/>
  <c r="R22" i="1"/>
  <c r="H22" i="7"/>
  <c r="H22" i="3"/>
  <c r="M22" i="13"/>
  <c r="T22" i="11"/>
  <c r="J21" i="10"/>
  <c r="J23" i="10" s="1"/>
  <c r="J25" i="10" s="1"/>
  <c r="AE22" i="13"/>
  <c r="R21" i="13"/>
  <c r="F22" i="13"/>
  <c r="F23" i="13" s="1"/>
  <c r="F25" i="13" s="1"/>
  <c r="AB22" i="4"/>
  <c r="C21" i="5"/>
  <c r="AC21" i="13"/>
  <c r="AC23" i="13" s="1"/>
  <c r="AC25" i="13" s="1"/>
  <c r="J22" i="16"/>
  <c r="G21" i="7"/>
  <c r="G23" i="7" s="1"/>
  <c r="G25" i="7" s="1"/>
  <c r="D22" i="14"/>
  <c r="AA21" i="1"/>
  <c r="AA23" i="1" s="1"/>
  <c r="AA25" i="1" s="1"/>
  <c r="AA28" i="1" s="1"/>
  <c r="B22" i="4"/>
  <c r="AB22" i="14"/>
  <c r="F21" i="4"/>
  <c r="H21" i="15"/>
  <c r="H23" i="15" s="1"/>
  <c r="H25" i="15" s="1"/>
  <c r="H26" i="15" s="1"/>
  <c r="AD21" i="3"/>
  <c r="AC22" i="10"/>
  <c r="F21" i="15"/>
  <c r="O22" i="3"/>
  <c r="AA21" i="12"/>
  <c r="AA23" i="12" s="1"/>
  <c r="AA25" i="12" s="1"/>
  <c r="D22" i="16"/>
  <c r="T22" i="4"/>
  <c r="T22" i="1"/>
  <c r="R21" i="16"/>
  <c r="R23" i="16" s="1"/>
  <c r="R25" i="16" s="1"/>
  <c r="H22" i="9"/>
  <c r="S22" i="1"/>
  <c r="Q21" i="16"/>
  <c r="P22" i="1"/>
  <c r="U22" i="11"/>
  <c r="Q22" i="1"/>
  <c r="N22" i="10"/>
  <c r="P21" i="4"/>
  <c r="I22" i="8"/>
  <c r="AA21" i="3"/>
  <c r="AA23" i="3" s="1"/>
  <c r="AA25" i="3" s="1"/>
  <c r="I21" i="4"/>
  <c r="I23" i="4" s="1"/>
  <c r="I25" i="4" s="1"/>
  <c r="C22" i="9"/>
  <c r="S22" i="4"/>
  <c r="R22" i="4"/>
  <c r="Q21" i="4"/>
  <c r="E21" i="9"/>
  <c r="E23" i="9" s="1"/>
  <c r="E25" i="9" s="1"/>
  <c r="E28" i="9" s="1"/>
  <c r="C22" i="3"/>
  <c r="H21" i="4"/>
  <c r="AD22" i="10"/>
  <c r="M21" i="13"/>
  <c r="M23" i="13" s="1"/>
  <c r="M25" i="13" s="1"/>
  <c r="B22" i="3"/>
  <c r="B22" i="11"/>
  <c r="AB21" i="3"/>
  <c r="T21" i="14"/>
  <c r="R21" i="1"/>
  <c r="S22" i="13"/>
  <c r="D22" i="10"/>
  <c r="O22" i="8"/>
  <c r="J21" i="3"/>
  <c r="J22" i="12"/>
  <c r="H21" i="8"/>
  <c r="R22" i="11"/>
  <c r="AC22" i="3"/>
  <c r="C21" i="7"/>
  <c r="AB21" i="8"/>
  <c r="AB23" i="8" s="1"/>
  <c r="AB25" i="8" s="1"/>
  <c r="C22" i="16"/>
  <c r="N21" i="11"/>
  <c r="N23" i="11" s="1"/>
  <c r="N25" i="11" s="1"/>
  <c r="E22" i="1"/>
  <c r="S21" i="11"/>
  <c r="P22" i="12"/>
  <c r="L21" i="13"/>
  <c r="F21" i="12"/>
  <c r="K21" i="15"/>
  <c r="O21" i="1"/>
  <c r="B21" i="15"/>
  <c r="I21" i="7"/>
  <c r="D22" i="15"/>
  <c r="AD22" i="13"/>
  <c r="F21" i="8"/>
  <c r="AA21" i="14"/>
  <c r="V21" i="14"/>
  <c r="S21" i="18"/>
  <c r="S23" i="18" s="1"/>
  <c r="S25" i="18" s="1"/>
  <c r="G21" i="4"/>
  <c r="L21" i="11"/>
  <c r="F22" i="16"/>
  <c r="R21" i="4"/>
  <c r="R23" i="4" s="1"/>
  <c r="R25" i="4" s="1"/>
  <c r="S22" i="14"/>
  <c r="AD22" i="11"/>
  <c r="E22" i="13"/>
  <c r="Q22" i="12"/>
  <c r="M21" i="14"/>
  <c r="M23" i="14" s="1"/>
  <c r="M25" i="14" s="1"/>
  <c r="E22" i="4"/>
  <c r="C21" i="10"/>
  <c r="AB22" i="11"/>
  <c r="G22" i="1"/>
  <c r="K21" i="13"/>
  <c r="E21" i="14"/>
  <c r="AB21" i="16"/>
  <c r="AB23" i="16" s="1"/>
  <c r="AB25" i="16" s="1"/>
  <c r="AB27" i="16" s="1"/>
  <c r="G21" i="1"/>
  <c r="G23" i="1" s="1"/>
  <c r="G25" i="1" s="1"/>
  <c r="AD22" i="8"/>
  <c r="V21" i="11"/>
  <c r="N22" i="3"/>
  <c r="F21" i="10"/>
  <c r="F23" i="10" s="1"/>
  <c r="F25" i="10" s="1"/>
  <c r="O21" i="8"/>
  <c r="AD22" i="16"/>
  <c r="N21" i="3"/>
  <c r="N23" i="3" s="1"/>
  <c r="N25" i="3" s="1"/>
  <c r="N27" i="3" s="1"/>
  <c r="O21" i="14"/>
  <c r="O23" i="14" s="1"/>
  <c r="O25" i="14" s="1"/>
  <c r="N22" i="11"/>
  <c r="L22" i="11"/>
  <c r="L23" i="11" s="1"/>
  <c r="L25" i="11" s="1"/>
  <c r="AD21" i="11"/>
  <c r="AD23" i="11" s="1"/>
  <c r="AD25" i="11" s="1"/>
  <c r="H21" i="16"/>
  <c r="J22" i="17"/>
  <c r="E21" i="8"/>
  <c r="AA22" i="8"/>
  <c r="M21" i="11"/>
  <c r="AE21" i="12"/>
  <c r="F22" i="7"/>
  <c r="B22" i="12"/>
  <c r="L21" i="8"/>
  <c r="F21" i="1"/>
  <c r="F23" i="1" s="1"/>
  <c r="F25" i="1" s="1"/>
  <c r="P21" i="11"/>
  <c r="P23" i="11" s="1"/>
  <c r="P25" i="11" s="1"/>
  <c r="AD21" i="15"/>
  <c r="AD23" i="15" s="1"/>
  <c r="AD25" i="15" s="1"/>
  <c r="AD28" i="15" s="1"/>
  <c r="K21" i="16"/>
  <c r="T22" i="3"/>
  <c r="T21" i="1"/>
  <c r="T23" i="1" s="1"/>
  <c r="T25" i="1" s="1"/>
  <c r="T27" i="1" s="1"/>
  <c r="T21" i="8"/>
  <c r="T23" i="8" s="1"/>
  <c r="T25" i="8" s="1"/>
  <c r="H21" i="9"/>
  <c r="T21" i="18"/>
  <c r="S22" i="8"/>
  <c r="G21" i="5"/>
  <c r="G23" i="5" s="1"/>
  <c r="G25" i="5" s="1"/>
  <c r="Q21" i="8"/>
  <c r="I22" i="7"/>
  <c r="J22" i="3"/>
  <c r="O21" i="15"/>
  <c r="P22" i="4"/>
  <c r="P21" i="13"/>
  <c r="O21" i="12"/>
  <c r="O23" i="12" s="1"/>
  <c r="O25" i="12" s="1"/>
  <c r="O28" i="12" s="1"/>
  <c r="H22" i="4"/>
  <c r="T22" i="14"/>
  <c r="T21" i="11"/>
  <c r="AC21" i="14"/>
  <c r="AC23" i="14" s="1"/>
  <c r="AC25" i="14" s="1"/>
  <c r="AC26" i="14" s="1"/>
  <c r="C22" i="10"/>
  <c r="S21" i="4"/>
  <c r="S23" i="4" s="1"/>
  <c r="S25" i="4" s="1"/>
  <c r="Q21" i="15"/>
  <c r="Q23" i="15" s="1"/>
  <c r="Q25" i="15" s="1"/>
  <c r="D22" i="13"/>
  <c r="H22" i="8"/>
  <c r="AB22" i="12"/>
  <c r="P22" i="11"/>
  <c r="Y22" i="14"/>
  <c r="Q21" i="12"/>
  <c r="Q23" i="12" s="1"/>
  <c r="Q25" i="12" s="1"/>
  <c r="Q26" i="12" s="1"/>
  <c r="J22" i="1"/>
  <c r="AE22" i="12"/>
  <c r="AC21" i="12"/>
  <c r="AE22" i="1"/>
  <c r="AE22" i="3"/>
  <c r="K21" i="8"/>
  <c r="G21" i="14"/>
  <c r="D21" i="15"/>
  <c r="E21" i="16"/>
  <c r="F22" i="5"/>
  <c r="G21" i="13"/>
  <c r="AD22" i="4"/>
  <c r="W22" i="11"/>
  <c r="AE22" i="10"/>
  <c r="AB21" i="11"/>
  <c r="O22" i="11"/>
  <c r="AC21" i="4"/>
  <c r="AC21" i="15"/>
  <c r="F22" i="8"/>
  <c r="R22" i="12"/>
  <c r="E21" i="13"/>
  <c r="P21" i="12"/>
  <c r="J22" i="15"/>
  <c r="F21" i="16"/>
  <c r="F23" i="16" s="1"/>
  <c r="F25" i="16" s="1"/>
  <c r="N21" i="14"/>
  <c r="I22" i="3"/>
  <c r="K21" i="11"/>
  <c r="B21" i="11"/>
  <c r="B23" i="11" s="1"/>
  <c r="B25" i="11" s="1"/>
  <c r="B27" i="11" s="1"/>
  <c r="L22" i="3"/>
  <c r="F22" i="14"/>
  <c r="G21" i="10"/>
  <c r="AD21" i="12"/>
  <c r="AD23" i="12" s="1"/>
  <c r="AD25" i="12" s="1"/>
  <c r="I22" i="15"/>
  <c r="AA21" i="16"/>
  <c r="AA23" i="16" s="1"/>
  <c r="AA25" i="16" s="1"/>
  <c r="K21" i="14"/>
  <c r="K23" i="14" s="1"/>
  <c r="K25" i="14" s="1"/>
  <c r="AA22" i="11"/>
  <c r="G22" i="8"/>
  <c r="H21" i="3"/>
  <c r="M22" i="11"/>
  <c r="O22" i="4"/>
  <c r="O23" i="4" s="1"/>
  <c r="O25" i="4" s="1"/>
  <c r="O21" i="13"/>
  <c r="O23" i="13" s="1"/>
  <c r="O25" i="13" s="1"/>
  <c r="L21" i="1"/>
  <c r="C21" i="11"/>
  <c r="AE21" i="15"/>
  <c r="AE23" i="15" s="1"/>
  <c r="AE25" i="15" s="1"/>
  <c r="C21" i="16"/>
  <c r="AC22" i="8"/>
  <c r="B21" i="4"/>
  <c r="E21" i="7"/>
  <c r="E23" i="7" s="1"/>
  <c r="E25" i="7" s="1"/>
  <c r="E28" i="7" s="1"/>
  <c r="E22" i="15"/>
  <c r="AD21" i="4"/>
  <c r="R22" i="3"/>
  <c r="N21" i="10"/>
  <c r="N23" i="10" s="1"/>
  <c r="N25" i="10" s="1"/>
  <c r="AC22" i="11"/>
  <c r="AD22" i="3"/>
  <c r="AA22" i="10"/>
  <c r="W22" i="14"/>
  <c r="B21" i="5"/>
  <c r="G22" i="12"/>
  <c r="K21" i="3"/>
  <c r="K23" i="3" s="1"/>
  <c r="K25" i="3" s="1"/>
  <c r="K27" i="3" s="1"/>
  <c r="AB21" i="13"/>
  <c r="AB23" i="13" s="1"/>
  <c r="AB25" i="13" s="1"/>
  <c r="AC22" i="4"/>
  <c r="O22" i="1"/>
  <c r="S21" i="13"/>
  <c r="S23" i="13" s="1"/>
  <c r="S25" i="13" s="1"/>
  <c r="S26" i="13" s="1"/>
  <c r="F21" i="11"/>
  <c r="B21" i="9"/>
  <c r="AA21" i="15"/>
  <c r="N21" i="16"/>
  <c r="N23" i="16" s="1"/>
  <c r="N25" i="16" s="1"/>
  <c r="N61" i="16" s="1"/>
  <c r="G22" i="3"/>
  <c r="B22" i="5"/>
  <c r="AC21" i="8"/>
  <c r="AC23" i="8" s="1"/>
  <c r="AC25" i="8" s="1"/>
  <c r="D22" i="11"/>
  <c r="AA22" i="14"/>
  <c r="AA23" i="14" s="1"/>
  <c r="AA25" i="14" s="1"/>
  <c r="Z22" i="14"/>
  <c r="B21" i="8"/>
  <c r="J21" i="14"/>
  <c r="AC22" i="16"/>
  <c r="R21" i="11"/>
  <c r="AE22" i="15"/>
  <c r="H22" i="1"/>
  <c r="K21" i="10"/>
  <c r="AE21" i="14"/>
  <c r="AE23" i="14" s="1"/>
  <c r="AE25" i="14" s="1"/>
  <c r="D22" i="1"/>
  <c r="AC22" i="12"/>
  <c r="AD21" i="13"/>
  <c r="AD23" i="13" s="1"/>
  <c r="AD25" i="13" s="1"/>
  <c r="AD28" i="13" s="1"/>
  <c r="Q21" i="10"/>
  <c r="Q23" i="10" s="1"/>
  <c r="Q25" i="10" s="1"/>
  <c r="Q27" i="10" s="1"/>
  <c r="D21" i="10"/>
  <c r="C21" i="15"/>
  <c r="J21" i="17"/>
  <c r="S21" i="3"/>
  <c r="S23" i="3" s="1"/>
  <c r="S25" i="3" s="1"/>
  <c r="S26" i="3" s="1"/>
  <c r="S21" i="8"/>
  <c r="K22" i="17"/>
  <c r="K22" i="10"/>
  <c r="M22" i="12"/>
  <c r="Q22" i="11"/>
  <c r="P22" i="3"/>
  <c r="I22" i="13"/>
  <c r="H22" i="14"/>
  <c r="M21" i="10"/>
  <c r="M23" i="10" s="1"/>
  <c r="M25" i="10" s="1"/>
  <c r="M21" i="1"/>
  <c r="F22" i="11"/>
  <c r="E22" i="8"/>
  <c r="AD21" i="10"/>
  <c r="L22" i="15"/>
  <c r="C22" i="7"/>
  <c r="N22" i="1"/>
  <c r="P21" i="8"/>
  <c r="I21" i="3"/>
  <c r="I23" i="3" s="1"/>
  <c r="I25" i="3" s="1"/>
  <c r="D21" i="7"/>
  <c r="B22" i="15"/>
  <c r="N22" i="16"/>
  <c r="R22" i="8"/>
  <c r="F21" i="5"/>
  <c r="F23" i="5" s="1"/>
  <c r="F25" i="5" s="1"/>
  <c r="M22" i="1"/>
  <c r="AE22" i="11"/>
  <c r="Q21" i="3"/>
  <c r="Q23" i="3" s="1"/>
  <c r="Q25" i="3" s="1"/>
  <c r="Q22" i="13"/>
  <c r="L22" i="8"/>
  <c r="I21" i="12"/>
  <c r="K22" i="15"/>
  <c r="G22" i="10"/>
  <c r="K22" i="4"/>
  <c r="S21" i="12"/>
  <c r="AE22" i="4"/>
  <c r="G22" i="14"/>
  <c r="G23" i="14" s="1"/>
  <c r="G25" i="14" s="1"/>
  <c r="G22" i="11"/>
  <c r="C21" i="13"/>
  <c r="D21" i="11"/>
  <c r="D23" i="11" s="1"/>
  <c r="D25" i="11" s="1"/>
  <c r="C21" i="8"/>
  <c r="P21" i="14"/>
  <c r="B22" i="16"/>
  <c r="J21" i="12"/>
  <c r="J23" i="12" s="1"/>
  <c r="J25" i="12" s="1"/>
  <c r="J26" i="12" s="1"/>
  <c r="C21" i="9"/>
  <c r="C23" i="9" s="1"/>
  <c r="C25" i="9" s="1"/>
  <c r="E21" i="15"/>
  <c r="E23" i="15" s="1"/>
  <c r="E25" i="15" s="1"/>
  <c r="E22" i="14"/>
  <c r="AC21" i="1"/>
  <c r="D21" i="12"/>
  <c r="D23" i="12" s="1"/>
  <c r="D25" i="12" s="1"/>
  <c r="D22" i="4"/>
  <c r="M22" i="3"/>
  <c r="AD22" i="14"/>
  <c r="AC21" i="11"/>
  <c r="K21" i="12"/>
  <c r="H21" i="14"/>
  <c r="H22" i="16"/>
  <c r="O21" i="16"/>
  <c r="O23" i="16" s="1"/>
  <c r="O25" i="16" s="1"/>
  <c r="O27" i="16" s="1"/>
  <c r="L21" i="10"/>
  <c r="L23" i="10" s="1"/>
  <c r="L25" i="10" s="1"/>
  <c r="U21" i="14"/>
  <c r="F22" i="3"/>
  <c r="N22" i="14"/>
  <c r="AE21" i="8"/>
  <c r="AE23" i="8" s="1"/>
  <c r="AE25" i="8" s="1"/>
  <c r="O22" i="16"/>
  <c r="D22" i="7"/>
  <c r="K22" i="11"/>
  <c r="P22" i="14"/>
  <c r="AA21" i="11"/>
  <c r="H21" i="1"/>
  <c r="F21" i="7"/>
  <c r="F23" i="7" s="1"/>
  <c r="F25" i="7" s="1"/>
  <c r="AC22" i="15"/>
  <c r="AC23" i="15" s="1"/>
  <c r="AC25" i="15" s="1"/>
  <c r="AD21" i="16"/>
  <c r="AB22" i="1"/>
  <c r="R22" i="14"/>
  <c r="N21" i="13"/>
  <c r="N23" i="13" s="1"/>
  <c r="N25" i="13" s="1"/>
  <c r="D21" i="14"/>
  <c r="B21" i="14"/>
  <c r="G21" i="15"/>
  <c r="G23" i="15" s="1"/>
  <c r="G25" i="15" s="1"/>
  <c r="M21" i="16"/>
  <c r="M23" i="16" s="1"/>
  <c r="M25" i="16" s="1"/>
  <c r="M26" i="16" s="1"/>
  <c r="F21" i="9"/>
  <c r="F23" i="9" s="1"/>
  <c r="F25" i="9" s="1"/>
  <c r="F27" i="9" s="1"/>
  <c r="Q21" i="1"/>
  <c r="Q23" i="1" s="1"/>
  <c r="Q25" i="1" s="1"/>
  <c r="O22" i="15"/>
  <c r="B22" i="14"/>
  <c r="Q22" i="4"/>
  <c r="L22" i="13"/>
  <c r="D22" i="9"/>
  <c r="C22" i="8"/>
  <c r="D21" i="5"/>
  <c r="Y21" i="14"/>
  <c r="Y23" i="14" s="1"/>
  <c r="Y25" i="14" s="1"/>
  <c r="F22" i="4"/>
  <c r="U22" i="14"/>
  <c r="U23" i="14" s="1"/>
  <c r="U25" i="14" s="1"/>
  <c r="AB21" i="10"/>
  <c r="AB23" i="10" s="1"/>
  <c r="AB25" i="10" s="1"/>
  <c r="AE21" i="10"/>
  <c r="AE23" i="10" s="1"/>
  <c r="AE25" i="10" s="1"/>
  <c r="AE26" i="10" s="1"/>
  <c r="D22" i="12"/>
  <c r="C22" i="13"/>
  <c r="C23" i="13" s="1"/>
  <c r="C25" i="13" s="1"/>
  <c r="N22" i="8"/>
  <c r="AA21" i="8"/>
  <c r="E21" i="1"/>
  <c r="E23" i="1" s="1"/>
  <c r="E25" i="1" s="1"/>
  <c r="I21" i="8"/>
  <c r="I23" i="8" s="1"/>
  <c r="I25" i="8" s="1"/>
  <c r="X21" i="14"/>
  <c r="K22" i="16"/>
  <c r="D21" i="1"/>
  <c r="D23" i="1" s="1"/>
  <c r="D25" i="1" s="1"/>
  <c r="D26" i="1" s="1"/>
  <c r="C22" i="15"/>
  <c r="B22" i="8"/>
  <c r="M22" i="4"/>
  <c r="M23" i="4" s="1"/>
  <c r="M25" i="4" s="1"/>
  <c r="B21" i="7"/>
  <c r="I21" i="15"/>
  <c r="I23" i="15" s="1"/>
  <c r="I25" i="15" s="1"/>
  <c r="F22" i="12"/>
  <c r="C22" i="11"/>
  <c r="O21" i="10"/>
  <c r="O23" i="10" s="1"/>
  <c r="O25" i="10" s="1"/>
  <c r="J21" i="4"/>
  <c r="J23" i="4" s="1"/>
  <c r="J25" i="4" s="1"/>
  <c r="AC21" i="3"/>
  <c r="F22" i="15"/>
  <c r="AE22" i="16"/>
  <c r="D21" i="3"/>
  <c r="D23" i="3" s="1"/>
  <c r="D25" i="3" s="1"/>
  <c r="F21" i="3"/>
  <c r="H22" i="11"/>
  <c r="T22" i="12"/>
  <c r="T23" i="12" s="1"/>
  <c r="T25" i="12" s="1"/>
  <c r="J21" i="8"/>
  <c r="J23" i="8" s="1"/>
  <c r="J25" i="8" s="1"/>
  <c r="K21" i="1"/>
  <c r="O22" i="10"/>
  <c r="D22" i="5"/>
  <c r="J22" i="11"/>
  <c r="J23" i="11" s="1"/>
  <c r="J25" i="11" s="1"/>
  <c r="AE22" i="14"/>
  <c r="B21" i="13"/>
  <c r="B23" i="13" s="1"/>
  <c r="B25" i="13" s="1"/>
  <c r="B21" i="1"/>
  <c r="E21" i="11"/>
  <c r="E23" i="11" s="1"/>
  <c r="E25" i="11" s="1"/>
  <c r="E26" i="11" s="1"/>
  <c r="AB22" i="15"/>
  <c r="E22" i="16"/>
  <c r="Q27" i="15"/>
  <c r="Q26" i="15"/>
  <c r="J27" i="13"/>
  <c r="J26" i="13"/>
  <c r="H26" i="13"/>
  <c r="K18" i="7"/>
  <c r="J24" i="7"/>
  <c r="U24" i="13"/>
  <c r="V18" i="13"/>
  <c r="T24" i="10"/>
  <c r="U18" i="10"/>
  <c r="U24" i="12"/>
  <c r="V18" i="12"/>
  <c r="M26" i="10"/>
  <c r="X24" i="11"/>
  <c r="Y18" i="11"/>
  <c r="Q28" i="15"/>
  <c r="AA26" i="1"/>
  <c r="AA27" i="1"/>
  <c r="D23" i="14"/>
  <c r="D25" i="14" s="1"/>
  <c r="B23" i="4"/>
  <c r="B25" i="4" s="1"/>
  <c r="F23" i="12"/>
  <c r="F25" i="12" s="1"/>
  <c r="AA23" i="4"/>
  <c r="AA25" i="4" s="1"/>
  <c r="AD23" i="8"/>
  <c r="AD25" i="8" s="1"/>
  <c r="J28" i="12"/>
  <c r="P23" i="12"/>
  <c r="P25" i="12" s="1"/>
  <c r="P26" i="10"/>
  <c r="P28" i="10"/>
  <c r="D23" i="7"/>
  <c r="D25" i="7" s="1"/>
  <c r="K23" i="8"/>
  <c r="K25" i="8" s="1"/>
  <c r="AC23" i="12"/>
  <c r="AC25" i="12" s="1"/>
  <c r="Q23" i="14"/>
  <c r="Q25" i="14" s="1"/>
  <c r="Q23" i="4"/>
  <c r="Q25" i="4" s="1"/>
  <c r="G61" i="16"/>
  <c r="AC28" i="8"/>
  <c r="AC26" i="8"/>
  <c r="AC27" i="8"/>
  <c r="F28" i="9"/>
  <c r="F26" i="9"/>
  <c r="H23" i="1"/>
  <c r="H25" i="1" s="1"/>
  <c r="H23" i="3"/>
  <c r="H25" i="3" s="1"/>
  <c r="D23" i="8"/>
  <c r="D25" i="8" s="1"/>
  <c r="AA61" i="16"/>
  <c r="AA28" i="16"/>
  <c r="AA26" i="16"/>
  <c r="AA60" i="16"/>
  <c r="AA27" i="16"/>
  <c r="H23" i="11"/>
  <c r="H25" i="11" s="1"/>
  <c r="G23" i="12"/>
  <c r="G25" i="12" s="1"/>
  <c r="G23" i="13"/>
  <c r="G25" i="13" s="1"/>
  <c r="P23" i="15"/>
  <c r="P25" i="15" s="1"/>
  <c r="O23" i="3"/>
  <c r="O25" i="3" s="1"/>
  <c r="K23" i="4"/>
  <c r="K25" i="4" s="1"/>
  <c r="T23" i="13"/>
  <c r="T25" i="13" s="1"/>
  <c r="U22" i="18"/>
  <c r="U21" i="18"/>
  <c r="O26" i="12"/>
  <c r="O27" i="12"/>
  <c r="S28" i="13"/>
  <c r="AB61" i="16"/>
  <c r="N26" i="16"/>
  <c r="N60" i="16"/>
  <c r="G28" i="7"/>
  <c r="AD26" i="15"/>
  <c r="V24" i="18"/>
  <c r="Q28" i="12"/>
  <c r="L26" i="16"/>
  <c r="L60" i="16"/>
  <c r="AA28" i="3"/>
  <c r="AA26" i="3"/>
  <c r="AA27" i="3"/>
  <c r="AC27" i="14"/>
  <c r="AC28" i="14"/>
  <c r="K26" i="3"/>
  <c r="AE27" i="10"/>
  <c r="H26" i="12"/>
  <c r="F28" i="1"/>
  <c r="F27" i="1"/>
  <c r="F26" i="1"/>
  <c r="L28" i="4"/>
  <c r="L27" i="4"/>
  <c r="E26" i="12"/>
  <c r="E28" i="12"/>
  <c r="M21" i="17"/>
  <c r="M22" i="17"/>
  <c r="M24" i="17"/>
  <c r="S21" i="16"/>
  <c r="S22" i="16"/>
  <c r="T23" i="3"/>
  <c r="T25" i="3" s="1"/>
  <c r="T26" i="3" s="1"/>
  <c r="T23" i="4"/>
  <c r="T25" i="4" s="1"/>
  <c r="T27" i="4" s="1"/>
  <c r="R23" i="15"/>
  <c r="R25" i="15" s="1"/>
  <c r="R27" i="15" s="1"/>
  <c r="U18" i="16"/>
  <c r="T24" i="16"/>
  <c r="S22" i="15"/>
  <c r="S21" i="15"/>
  <c r="S28" i="3"/>
  <c r="T24" i="15"/>
  <c r="U18" i="15"/>
  <c r="H23" i="9"/>
  <c r="H25" i="9" s="1"/>
  <c r="H27" i="9" s="1"/>
  <c r="U22" i="3"/>
  <c r="I21" i="5"/>
  <c r="U21" i="1"/>
  <c r="U21" i="4"/>
  <c r="U21" i="3"/>
  <c r="U23" i="3" s="1"/>
  <c r="U25" i="3" s="1"/>
  <c r="I22" i="5"/>
  <c r="I22" i="9"/>
  <c r="U21" i="8"/>
  <c r="U22" i="1"/>
  <c r="U22" i="4"/>
  <c r="I21" i="9"/>
  <c r="I23" i="9" s="1"/>
  <c r="I25" i="9" s="1"/>
  <c r="U22" i="8"/>
  <c r="T28" i="1"/>
  <c r="W18" i="3"/>
  <c r="V24" i="3"/>
  <c r="K18" i="5"/>
  <c r="J24" i="5"/>
  <c r="K18" i="9"/>
  <c r="J24" i="9"/>
  <c r="T28" i="3"/>
  <c r="W18" i="8"/>
  <c r="V24" i="8"/>
  <c r="W18" i="1"/>
  <c r="V24" i="1"/>
  <c r="W18" i="4"/>
  <c r="V24" i="4"/>
  <c r="J20" i="7"/>
  <c r="U19" i="13"/>
  <c r="X19" i="11"/>
  <c r="V19" i="3"/>
  <c r="V20" i="18"/>
  <c r="V19" i="1"/>
  <c r="J20" i="5"/>
  <c r="V19" i="8"/>
  <c r="U20" i="13"/>
  <c r="X20" i="11"/>
  <c r="T20" i="10"/>
  <c r="U19" i="12"/>
  <c r="J19" i="7"/>
  <c r="T19" i="10"/>
  <c r="U20" i="12"/>
  <c r="V20" i="8"/>
  <c r="J19" i="5"/>
  <c r="T19" i="16"/>
  <c r="T20" i="16"/>
  <c r="V19" i="4"/>
  <c r="V20" i="1"/>
  <c r="V19" i="18"/>
  <c r="N19" i="17"/>
  <c r="J19" i="9"/>
  <c r="T19" i="15"/>
  <c r="T20" i="15"/>
  <c r="J20" i="9"/>
  <c r="N20" i="17"/>
  <c r="V20" i="4"/>
  <c r="V20" i="3"/>
  <c r="J23" i="17" l="1"/>
  <c r="J25" i="17" s="1"/>
  <c r="J30" i="17" s="1"/>
  <c r="AB23" i="11"/>
  <c r="AB25" i="11" s="1"/>
  <c r="O23" i="1"/>
  <c r="O25" i="1" s="1"/>
  <c r="AD23" i="3"/>
  <c r="AD25" i="3" s="1"/>
  <c r="S23" i="12"/>
  <c r="S25" i="12" s="1"/>
  <c r="AE23" i="13"/>
  <c r="AE25" i="13" s="1"/>
  <c r="R23" i="8"/>
  <c r="R25" i="8" s="1"/>
  <c r="M23" i="3"/>
  <c r="M25" i="3" s="1"/>
  <c r="E28" i="11"/>
  <c r="AD23" i="16"/>
  <c r="AD25" i="16" s="1"/>
  <c r="E23" i="14"/>
  <c r="E25" i="14" s="1"/>
  <c r="R23" i="13"/>
  <c r="R25" i="13" s="1"/>
  <c r="AD23" i="1"/>
  <c r="AD25" i="1" s="1"/>
  <c r="S23" i="1"/>
  <c r="S25" i="1" s="1"/>
  <c r="C23" i="1"/>
  <c r="C25" i="1" s="1"/>
  <c r="AD27" i="13"/>
  <c r="S27" i="3"/>
  <c r="H23" i="10"/>
  <c r="H25" i="10" s="1"/>
  <c r="AE23" i="16"/>
  <c r="AE25" i="16" s="1"/>
  <c r="C23" i="11"/>
  <c r="C25" i="11" s="1"/>
  <c r="V23" i="11"/>
  <c r="V25" i="11" s="1"/>
  <c r="J23" i="15"/>
  <c r="J25" i="15" s="1"/>
  <c r="O60" i="16"/>
  <c r="H27" i="12"/>
  <c r="K28" i="3"/>
  <c r="E27" i="9"/>
  <c r="N27" i="16"/>
  <c r="S27" i="13"/>
  <c r="J27" i="12"/>
  <c r="R26" i="13"/>
  <c r="H27" i="15"/>
  <c r="E27" i="14"/>
  <c r="P23" i="13"/>
  <c r="P25" i="13" s="1"/>
  <c r="P23" i="16"/>
  <c r="P25" i="16" s="1"/>
  <c r="AD26" i="13"/>
  <c r="E26" i="9"/>
  <c r="AD27" i="15"/>
  <c r="T28" i="4"/>
  <c r="AE28" i="10"/>
  <c r="D28" i="1"/>
  <c r="N26" i="3"/>
  <c r="K23" i="12"/>
  <c r="K25" i="12" s="1"/>
  <c r="R23" i="11"/>
  <c r="R25" i="11" s="1"/>
  <c r="Z23" i="14"/>
  <c r="Z25" i="14" s="1"/>
  <c r="B23" i="9"/>
  <c r="B25" i="9" s="1"/>
  <c r="B27" i="9" s="1"/>
  <c r="C23" i="16"/>
  <c r="C25" i="16" s="1"/>
  <c r="G23" i="8"/>
  <c r="G25" i="8" s="1"/>
  <c r="N23" i="14"/>
  <c r="N25" i="14" s="1"/>
  <c r="E23" i="13"/>
  <c r="E25" i="13" s="1"/>
  <c r="E23" i="16"/>
  <c r="E25" i="16" s="1"/>
  <c r="E26" i="16" s="1"/>
  <c r="Q23" i="8"/>
  <c r="Q25" i="8" s="1"/>
  <c r="K23" i="16"/>
  <c r="K25" i="16" s="1"/>
  <c r="K27" i="16" s="1"/>
  <c r="M23" i="11"/>
  <c r="M25" i="11" s="1"/>
  <c r="M27" i="11" s="1"/>
  <c r="H23" i="16"/>
  <c r="H25" i="16" s="1"/>
  <c r="G23" i="4"/>
  <c r="G25" i="4" s="1"/>
  <c r="F23" i="8"/>
  <c r="F25" i="8" s="1"/>
  <c r="F26" i="8" s="1"/>
  <c r="L23" i="13"/>
  <c r="L25" i="13" s="1"/>
  <c r="L26" i="13" s="1"/>
  <c r="J23" i="3"/>
  <c r="J25" i="3" s="1"/>
  <c r="R23" i="1"/>
  <c r="R25" i="1" s="1"/>
  <c r="Q23" i="11"/>
  <c r="Q25" i="11" s="1"/>
  <c r="Q27" i="11" s="1"/>
  <c r="B23" i="16"/>
  <c r="B25" i="16" s="1"/>
  <c r="B60" i="16" s="1"/>
  <c r="T23" i="18"/>
  <c r="T25" i="18" s="1"/>
  <c r="T28" i="18" s="1"/>
  <c r="B23" i="12"/>
  <c r="B25" i="12" s="1"/>
  <c r="M23" i="15"/>
  <c r="M25" i="15" s="1"/>
  <c r="M28" i="15" s="1"/>
  <c r="J23" i="16"/>
  <c r="J25" i="16" s="1"/>
  <c r="J27" i="16" s="1"/>
  <c r="L23" i="15"/>
  <c r="L25" i="15" s="1"/>
  <c r="W23" i="14"/>
  <c r="W25" i="14" s="1"/>
  <c r="AB23" i="15"/>
  <c r="AB25" i="15" s="1"/>
  <c r="AB26" i="15" s="1"/>
  <c r="R23" i="3"/>
  <c r="R25" i="3" s="1"/>
  <c r="R27" i="3" s="1"/>
  <c r="AC23" i="16"/>
  <c r="AC25" i="16" s="1"/>
  <c r="AC61" i="16" s="1"/>
  <c r="I23" i="1"/>
  <c r="I25" i="1" s="1"/>
  <c r="I23" i="16"/>
  <c r="I25" i="16" s="1"/>
  <c r="I60" i="16" s="1"/>
  <c r="E23" i="10"/>
  <c r="E25" i="10" s="1"/>
  <c r="E28" i="10" s="1"/>
  <c r="I23" i="11"/>
  <c r="I25" i="11" s="1"/>
  <c r="AB23" i="1"/>
  <c r="AB25" i="1" s="1"/>
  <c r="C23" i="12"/>
  <c r="C25" i="12" s="1"/>
  <c r="C26" i="12" s="1"/>
  <c r="P23" i="1"/>
  <c r="P25" i="1" s="1"/>
  <c r="P26" i="1" s="1"/>
  <c r="N23" i="8"/>
  <c r="N25" i="8" s="1"/>
  <c r="N26" i="8" s="1"/>
  <c r="X23" i="14"/>
  <c r="X25" i="14" s="1"/>
  <c r="I23" i="10"/>
  <c r="I25" i="10" s="1"/>
  <c r="I26" i="10" s="1"/>
  <c r="H23" i="5"/>
  <c r="H25" i="5" s="1"/>
  <c r="H27" i="5" s="1"/>
  <c r="U22" i="12"/>
  <c r="T21" i="10"/>
  <c r="J21" i="7"/>
  <c r="U21" i="12"/>
  <c r="T22" i="10"/>
  <c r="X22" i="11"/>
  <c r="U22" i="13"/>
  <c r="X21" i="11"/>
  <c r="U21" i="13"/>
  <c r="J22" i="7"/>
  <c r="J27" i="8"/>
  <c r="J26" i="8"/>
  <c r="J28" i="8"/>
  <c r="J26" i="4"/>
  <c r="J27" i="4"/>
  <c r="M27" i="16"/>
  <c r="M61" i="16"/>
  <c r="M60" i="16"/>
  <c r="N26" i="13"/>
  <c r="N28" i="13"/>
  <c r="AC27" i="15"/>
  <c r="AC28" i="15"/>
  <c r="AC26" i="15"/>
  <c r="AE27" i="8"/>
  <c r="AE28" i="8"/>
  <c r="AE26" i="8"/>
  <c r="L27" i="10"/>
  <c r="L26" i="10"/>
  <c r="L28" i="10"/>
  <c r="P23" i="14"/>
  <c r="P25" i="14" s="1"/>
  <c r="P27" i="14" s="1"/>
  <c r="AE26" i="14"/>
  <c r="AE28" i="14"/>
  <c r="B23" i="5"/>
  <c r="B25" i="5" s="1"/>
  <c r="C61" i="16"/>
  <c r="C60" i="16"/>
  <c r="C26" i="16"/>
  <c r="C28" i="16"/>
  <c r="C27" i="16"/>
  <c r="O27" i="13"/>
  <c r="O28" i="13"/>
  <c r="O26" i="13"/>
  <c r="AC23" i="4"/>
  <c r="AC25" i="4" s="1"/>
  <c r="AC26" i="4" s="1"/>
  <c r="E61" i="16"/>
  <c r="E27" i="16"/>
  <c r="S26" i="4"/>
  <c r="S27" i="4"/>
  <c r="S28" i="4"/>
  <c r="K61" i="16"/>
  <c r="K28" i="16"/>
  <c r="L23" i="8"/>
  <c r="L25" i="8" s="1"/>
  <c r="G60" i="16"/>
  <c r="G27" i="16"/>
  <c r="G28" i="16"/>
  <c r="G26" i="16"/>
  <c r="AC28" i="16"/>
  <c r="AC26" i="16"/>
  <c r="AC27" i="16"/>
  <c r="D27" i="3"/>
  <c r="D26" i="3"/>
  <c r="I27" i="8"/>
  <c r="I26" i="8"/>
  <c r="I28" i="8"/>
  <c r="R27" i="11"/>
  <c r="R28" i="11"/>
  <c r="M26" i="11"/>
  <c r="M28" i="11"/>
  <c r="O27" i="14"/>
  <c r="O26" i="14"/>
  <c r="O28" i="14"/>
  <c r="F28" i="10"/>
  <c r="F27" i="10"/>
  <c r="F26" i="10"/>
  <c r="G28" i="1"/>
  <c r="G26" i="1"/>
  <c r="G27" i="1"/>
  <c r="M27" i="14"/>
  <c r="M26" i="14"/>
  <c r="M28" i="14"/>
  <c r="F27" i="8"/>
  <c r="F28" i="8"/>
  <c r="B23" i="15"/>
  <c r="B25" i="15" s="1"/>
  <c r="J28" i="3"/>
  <c r="J27" i="3"/>
  <c r="J26" i="3"/>
  <c r="G27" i="7"/>
  <c r="G26" i="7"/>
  <c r="J26" i="10"/>
  <c r="J27" i="10"/>
  <c r="J28" i="10"/>
  <c r="AA28" i="13"/>
  <c r="AA27" i="13"/>
  <c r="AA26" i="13"/>
  <c r="AB23" i="14"/>
  <c r="AB25" i="14" s="1"/>
  <c r="AB28" i="14" s="1"/>
  <c r="L23" i="3"/>
  <c r="L25" i="3" s="1"/>
  <c r="Q26" i="11"/>
  <c r="L61" i="16"/>
  <c r="L27" i="16"/>
  <c r="L27" i="15"/>
  <c r="L26" i="15"/>
  <c r="L28" i="15"/>
  <c r="AC23" i="10"/>
  <c r="AC25" i="10" s="1"/>
  <c r="AC26" i="10" s="1"/>
  <c r="I27" i="16"/>
  <c r="I26" i="11"/>
  <c r="I28" i="11"/>
  <c r="C28" i="12"/>
  <c r="T27" i="8"/>
  <c r="T28" i="8"/>
  <c r="E60" i="16"/>
  <c r="N27" i="8"/>
  <c r="AE27" i="14"/>
  <c r="J28" i="4"/>
  <c r="AC60" i="16"/>
  <c r="M28" i="16"/>
  <c r="I26" i="16"/>
  <c r="Q26" i="10"/>
  <c r="R26" i="11"/>
  <c r="D28" i="3"/>
  <c r="C27" i="12"/>
  <c r="E27" i="11"/>
  <c r="AC23" i="11"/>
  <c r="AC25" i="11" s="1"/>
  <c r="AC28" i="11" s="1"/>
  <c r="T26" i="4"/>
  <c r="K26" i="12"/>
  <c r="E28" i="16"/>
  <c r="N28" i="8"/>
  <c r="L28" i="16"/>
  <c r="I61" i="16"/>
  <c r="Q28" i="10"/>
  <c r="I27" i="11"/>
  <c r="K26" i="16"/>
  <c r="I27" i="10"/>
  <c r="N27" i="13"/>
  <c r="B28" i="11"/>
  <c r="B26" i="11"/>
  <c r="B23" i="1"/>
  <c r="B25" i="1" s="1"/>
  <c r="B23" i="7"/>
  <c r="B25" i="7" s="1"/>
  <c r="E27" i="1"/>
  <c r="E28" i="1"/>
  <c r="E26" i="1"/>
  <c r="G27" i="15"/>
  <c r="G26" i="15"/>
  <c r="G28" i="15"/>
  <c r="O61" i="16"/>
  <c r="O26" i="16"/>
  <c r="C27" i="9"/>
  <c r="C28" i="9"/>
  <c r="C23" i="8"/>
  <c r="C25" i="8" s="1"/>
  <c r="C26" i="8" s="1"/>
  <c r="F27" i="5"/>
  <c r="F28" i="5"/>
  <c r="F26" i="5"/>
  <c r="J27" i="17"/>
  <c r="K23" i="10"/>
  <c r="K25" i="10" s="1"/>
  <c r="F23" i="11"/>
  <c r="F25" i="11" s="1"/>
  <c r="N27" i="10"/>
  <c r="N26" i="10"/>
  <c r="N28" i="10"/>
  <c r="O23" i="15"/>
  <c r="O25" i="15" s="1"/>
  <c r="G28" i="5"/>
  <c r="G27" i="5"/>
  <c r="G26" i="5"/>
  <c r="AD27" i="11"/>
  <c r="AD28" i="11"/>
  <c r="AD26" i="11"/>
  <c r="AB60" i="16"/>
  <c r="AB28" i="16"/>
  <c r="R27" i="4"/>
  <c r="R26" i="4"/>
  <c r="S27" i="18"/>
  <c r="S28" i="18"/>
  <c r="S26" i="18"/>
  <c r="T23" i="14"/>
  <c r="T25" i="14" s="1"/>
  <c r="P23" i="4"/>
  <c r="P25" i="4" s="1"/>
  <c r="AA27" i="12"/>
  <c r="AA26" i="12"/>
  <c r="AA28" i="12"/>
  <c r="AD28" i="3"/>
  <c r="AD26" i="3"/>
  <c r="AD27" i="3"/>
  <c r="N23" i="15"/>
  <c r="N25" i="15" s="1"/>
  <c r="G23" i="11"/>
  <c r="G25" i="11" s="1"/>
  <c r="D23" i="9"/>
  <c r="D25" i="9" s="1"/>
  <c r="S23" i="14"/>
  <c r="S25" i="14" s="1"/>
  <c r="O28" i="16"/>
  <c r="Q27" i="12"/>
  <c r="D27" i="1"/>
  <c r="AB26" i="16"/>
  <c r="E27" i="7"/>
  <c r="U23" i="18"/>
  <c r="U25" i="18" s="1"/>
  <c r="U28" i="18" s="1"/>
  <c r="C26" i="9"/>
  <c r="R28" i="4"/>
  <c r="AA23" i="8"/>
  <c r="AA25" i="8" s="1"/>
  <c r="AA28" i="8" s="1"/>
  <c r="E26" i="7"/>
  <c r="N28" i="3"/>
  <c r="H27" i="13"/>
  <c r="H28" i="13"/>
  <c r="P23" i="3"/>
  <c r="P25" i="3" s="1"/>
  <c r="N23" i="12"/>
  <c r="N25" i="12" s="1"/>
  <c r="Q28" i="3"/>
  <c r="Q26" i="3"/>
  <c r="Q27" i="3"/>
  <c r="M23" i="1"/>
  <c r="M25" i="1" s="1"/>
  <c r="J23" i="14"/>
  <c r="J25" i="14" s="1"/>
  <c r="C23" i="10"/>
  <c r="C25" i="10" s="1"/>
  <c r="V23" i="14"/>
  <c r="V25" i="14" s="1"/>
  <c r="D23" i="15"/>
  <c r="D25" i="15" s="1"/>
  <c r="K23" i="15"/>
  <c r="K25" i="15" s="1"/>
  <c r="S23" i="11"/>
  <c r="S25" i="11" s="1"/>
  <c r="AB23" i="3"/>
  <c r="AB25" i="3" s="1"/>
  <c r="C28" i="1"/>
  <c r="C27" i="1"/>
  <c r="C26" i="1"/>
  <c r="C23" i="3"/>
  <c r="C25" i="3" s="1"/>
  <c r="I23" i="13"/>
  <c r="I25" i="13" s="1"/>
  <c r="R27" i="10"/>
  <c r="R26" i="10"/>
  <c r="R28" i="10"/>
  <c r="N23" i="1"/>
  <c r="N25" i="1" s="1"/>
  <c r="J23" i="1"/>
  <c r="J25" i="1" s="1"/>
  <c r="U23" i="11"/>
  <c r="U25" i="11" s="1"/>
  <c r="B26" i="13"/>
  <c r="B27" i="13"/>
  <c r="Y28" i="14"/>
  <c r="Y27" i="14"/>
  <c r="Y26" i="14"/>
  <c r="Q27" i="1"/>
  <c r="Q28" i="1"/>
  <c r="Q26" i="1"/>
  <c r="B23" i="14"/>
  <c r="B25" i="14" s="1"/>
  <c r="AC23" i="1"/>
  <c r="AC25" i="1" s="1"/>
  <c r="C23" i="15"/>
  <c r="C25" i="15" s="1"/>
  <c r="K26" i="14"/>
  <c r="K27" i="14"/>
  <c r="K28" i="14"/>
  <c r="G23" i="10"/>
  <c r="G25" i="10" s="1"/>
  <c r="K23" i="11"/>
  <c r="K25" i="11" s="1"/>
  <c r="P28" i="11"/>
  <c r="P27" i="11"/>
  <c r="P26" i="11"/>
  <c r="E23" i="8"/>
  <c r="E25" i="8" s="1"/>
  <c r="V27" i="11"/>
  <c r="V28" i="11"/>
  <c r="V26" i="11"/>
  <c r="AB27" i="8"/>
  <c r="AB26" i="8"/>
  <c r="AB28" i="8"/>
  <c r="H23" i="8"/>
  <c r="H25" i="8" s="1"/>
  <c r="Q23" i="16"/>
  <c r="Q25" i="16" s="1"/>
  <c r="AC28" i="13"/>
  <c r="AC27" i="13"/>
  <c r="AC26" i="13"/>
  <c r="R23" i="14"/>
  <c r="R25" i="14" s="1"/>
  <c r="R28" i="14" s="1"/>
  <c r="AE23" i="3"/>
  <c r="AE25" i="3" s="1"/>
  <c r="AD26" i="1"/>
  <c r="AD27" i="1"/>
  <c r="AD28" i="1"/>
  <c r="R23" i="12"/>
  <c r="R25" i="12" s="1"/>
  <c r="AB23" i="12"/>
  <c r="AB25" i="12" s="1"/>
  <c r="L23" i="12"/>
  <c r="L25" i="12" s="1"/>
  <c r="S26" i="1"/>
  <c r="S27" i="1"/>
  <c r="C23" i="14"/>
  <c r="C25" i="14" s="1"/>
  <c r="M23" i="8"/>
  <c r="M25" i="8" s="1"/>
  <c r="N28" i="16"/>
  <c r="H28" i="15"/>
  <c r="S28" i="1"/>
  <c r="B28" i="13"/>
  <c r="M27" i="3"/>
  <c r="M28" i="3"/>
  <c r="M26" i="3"/>
  <c r="M23" i="12"/>
  <c r="M25" i="12" s="1"/>
  <c r="AE23" i="4"/>
  <c r="AE25" i="4" s="1"/>
  <c r="K23" i="17"/>
  <c r="K25" i="17" s="1"/>
  <c r="G23" i="3"/>
  <c r="G25" i="3" s="1"/>
  <c r="S23" i="10"/>
  <c r="S25" i="10" s="1"/>
  <c r="W23" i="11"/>
  <c r="W25" i="11" s="1"/>
  <c r="D23" i="16"/>
  <c r="D25" i="16" s="1"/>
  <c r="B23" i="10"/>
  <c r="B25" i="10" s="1"/>
  <c r="E23" i="5"/>
  <c r="E25" i="5" s="1"/>
  <c r="B23" i="3"/>
  <c r="B25" i="3" s="1"/>
  <c r="AB23" i="4"/>
  <c r="AB25" i="4" s="1"/>
  <c r="H28" i="10"/>
  <c r="H26" i="10"/>
  <c r="H27" i="10"/>
  <c r="K23" i="1"/>
  <c r="K25" i="1" s="1"/>
  <c r="F23" i="3"/>
  <c r="F25" i="3" s="1"/>
  <c r="AC23" i="3"/>
  <c r="AC25" i="3" s="1"/>
  <c r="AB26" i="10"/>
  <c r="AB27" i="10"/>
  <c r="AB28" i="10"/>
  <c r="D23" i="5"/>
  <c r="D25" i="5" s="1"/>
  <c r="AA23" i="11"/>
  <c r="AA25" i="11" s="1"/>
  <c r="H23" i="14"/>
  <c r="H25" i="14" s="1"/>
  <c r="I23" i="12"/>
  <c r="I25" i="12" s="1"/>
  <c r="P23" i="8"/>
  <c r="P25" i="8" s="1"/>
  <c r="AD23" i="10"/>
  <c r="AD25" i="10" s="1"/>
  <c r="M28" i="10"/>
  <c r="M27" i="10"/>
  <c r="S23" i="8"/>
  <c r="S25" i="8" s="1"/>
  <c r="D23" i="10"/>
  <c r="D25" i="10" s="1"/>
  <c r="B23" i="8"/>
  <c r="B25" i="8" s="1"/>
  <c r="AA23" i="15"/>
  <c r="AA25" i="15" s="1"/>
  <c r="AD23" i="4"/>
  <c r="AD25" i="4" s="1"/>
  <c r="L23" i="1"/>
  <c r="L25" i="1" s="1"/>
  <c r="T23" i="11"/>
  <c r="T25" i="11" s="1"/>
  <c r="AE23" i="12"/>
  <c r="AE25" i="12" s="1"/>
  <c r="O23" i="8"/>
  <c r="O25" i="8" s="1"/>
  <c r="K23" i="13"/>
  <c r="K25" i="13" s="1"/>
  <c r="I23" i="7"/>
  <c r="I25" i="7" s="1"/>
  <c r="C23" i="7"/>
  <c r="C25" i="7" s="1"/>
  <c r="H23" i="4"/>
  <c r="H25" i="4" s="1"/>
  <c r="F23" i="15"/>
  <c r="F25" i="15" s="1"/>
  <c r="F23" i="4"/>
  <c r="F25" i="4" s="1"/>
  <c r="C23" i="5"/>
  <c r="C25" i="5" s="1"/>
  <c r="F23" i="14"/>
  <c r="F25" i="14" s="1"/>
  <c r="C23" i="4"/>
  <c r="C25" i="4" s="1"/>
  <c r="D23" i="4"/>
  <c r="D25" i="4" s="1"/>
  <c r="E23" i="4"/>
  <c r="E25" i="4" s="1"/>
  <c r="G23" i="9"/>
  <c r="G25" i="9" s="1"/>
  <c r="I26" i="14"/>
  <c r="I27" i="14"/>
  <c r="I28" i="14"/>
  <c r="L23" i="14"/>
  <c r="L25" i="14" s="1"/>
  <c r="AE23" i="1"/>
  <c r="AE25" i="1" s="1"/>
  <c r="AE23" i="11"/>
  <c r="AE25" i="11" s="1"/>
  <c r="N23" i="4"/>
  <c r="N25" i="4" s="1"/>
  <c r="O23" i="11"/>
  <c r="O25" i="11" s="1"/>
  <c r="P26" i="16"/>
  <c r="P61" i="16"/>
  <c r="P27" i="16"/>
  <c r="P28" i="16"/>
  <c r="P60" i="16"/>
  <c r="H23" i="7"/>
  <c r="H25" i="7" s="1"/>
  <c r="AD23" i="14"/>
  <c r="AD25" i="14" s="1"/>
  <c r="D23" i="13"/>
  <c r="D25" i="13" s="1"/>
  <c r="AA23" i="10"/>
  <c r="AA25" i="10" s="1"/>
  <c r="Q23" i="13"/>
  <c r="Q25" i="13" s="1"/>
  <c r="W18" i="12"/>
  <c r="V24" i="12"/>
  <c r="U24" i="10"/>
  <c r="V18" i="10"/>
  <c r="Y24" i="11"/>
  <c r="Z18" i="11"/>
  <c r="T27" i="3"/>
  <c r="R26" i="15"/>
  <c r="V24" i="13"/>
  <c r="W18" i="13"/>
  <c r="L18" i="7"/>
  <c r="K24" i="7"/>
  <c r="T26" i="8"/>
  <c r="H28" i="9"/>
  <c r="R28" i="15"/>
  <c r="R26" i="14"/>
  <c r="R27" i="14"/>
  <c r="B27" i="12"/>
  <c r="B26" i="12"/>
  <c r="B28" i="12"/>
  <c r="R27" i="8"/>
  <c r="R26" i="8"/>
  <c r="R28" i="8"/>
  <c r="K26" i="4"/>
  <c r="K28" i="4"/>
  <c r="K27" i="4"/>
  <c r="J26" i="15"/>
  <c r="J27" i="15"/>
  <c r="J28" i="15"/>
  <c r="G28" i="14"/>
  <c r="G26" i="14"/>
  <c r="G27" i="14"/>
  <c r="P28" i="15"/>
  <c r="P26" i="15"/>
  <c r="P27" i="15"/>
  <c r="AB26" i="11"/>
  <c r="AB28" i="11"/>
  <c r="AB27" i="11"/>
  <c r="C27" i="13"/>
  <c r="C28" i="13"/>
  <c r="C26" i="13"/>
  <c r="D27" i="11"/>
  <c r="D26" i="11"/>
  <c r="D28" i="11"/>
  <c r="AB26" i="1"/>
  <c r="AB28" i="1"/>
  <c r="AB27" i="1"/>
  <c r="N27" i="11"/>
  <c r="N26" i="11"/>
  <c r="N28" i="11"/>
  <c r="AC26" i="11"/>
  <c r="AC27" i="11"/>
  <c r="AB27" i="14"/>
  <c r="H26" i="3"/>
  <c r="H28" i="3"/>
  <c r="H27" i="3"/>
  <c r="F28" i="7"/>
  <c r="F26" i="7"/>
  <c r="F27" i="7"/>
  <c r="M28" i="4"/>
  <c r="M26" i="4"/>
  <c r="M27" i="4"/>
  <c r="M26" i="15"/>
  <c r="M27" i="15"/>
  <c r="AA27" i="8"/>
  <c r="O26" i="10"/>
  <c r="O28" i="10"/>
  <c r="O27" i="10"/>
  <c r="Q27" i="8"/>
  <c r="Q28" i="8"/>
  <c r="Q26" i="8"/>
  <c r="Q28" i="4"/>
  <c r="Q26" i="4"/>
  <c r="Q27" i="4"/>
  <c r="Q27" i="14"/>
  <c r="Q26" i="14"/>
  <c r="Q28" i="14"/>
  <c r="AC26" i="12"/>
  <c r="AC27" i="12"/>
  <c r="AC28" i="12"/>
  <c r="I28" i="3"/>
  <c r="I27" i="3"/>
  <c r="I26" i="3"/>
  <c r="D27" i="7"/>
  <c r="D26" i="7"/>
  <c r="D28" i="7"/>
  <c r="O27" i="4"/>
  <c r="O26" i="4"/>
  <c r="O28" i="4"/>
  <c r="I26" i="1"/>
  <c r="I28" i="1"/>
  <c r="I27" i="1"/>
  <c r="AD28" i="8"/>
  <c r="AD26" i="8"/>
  <c r="AD27" i="8"/>
  <c r="D27" i="12"/>
  <c r="D28" i="12"/>
  <c r="D26" i="12"/>
  <c r="F26" i="12"/>
  <c r="F28" i="12"/>
  <c r="F27" i="12"/>
  <c r="I27" i="15"/>
  <c r="I26" i="15"/>
  <c r="I28" i="15"/>
  <c r="O28" i="1"/>
  <c r="O26" i="1"/>
  <c r="O27" i="1"/>
  <c r="U26" i="14"/>
  <c r="U28" i="14"/>
  <c r="U27" i="14"/>
  <c r="AA27" i="14"/>
  <c r="AA28" i="14"/>
  <c r="AA26" i="14"/>
  <c r="AE26" i="15"/>
  <c r="AE27" i="15"/>
  <c r="AE28" i="15"/>
  <c r="B26" i="4"/>
  <c r="B28" i="4"/>
  <c r="B27" i="4"/>
  <c r="J28" i="16"/>
  <c r="J61" i="16"/>
  <c r="J26" i="16"/>
  <c r="B28" i="5"/>
  <c r="B26" i="5"/>
  <c r="B27" i="5"/>
  <c r="T27" i="13"/>
  <c r="T26" i="13"/>
  <c r="T28" i="13"/>
  <c r="AB27" i="15"/>
  <c r="AB28" i="15"/>
  <c r="AE28" i="13"/>
  <c r="AE26" i="13"/>
  <c r="AE27" i="13"/>
  <c r="O26" i="3"/>
  <c r="O28" i="3"/>
  <c r="O27" i="3"/>
  <c r="AC27" i="10"/>
  <c r="B27" i="16"/>
  <c r="B61" i="16"/>
  <c r="B28" i="16"/>
  <c r="G28" i="13"/>
  <c r="G26" i="13"/>
  <c r="G27" i="13"/>
  <c r="G28" i="12"/>
  <c r="G26" i="12"/>
  <c r="G27" i="12"/>
  <c r="S27" i="12"/>
  <c r="S26" i="12"/>
  <c r="S28" i="12"/>
  <c r="E27" i="13"/>
  <c r="E28" i="13"/>
  <c r="E26" i="13"/>
  <c r="H28" i="11"/>
  <c r="H26" i="11"/>
  <c r="H27" i="11"/>
  <c r="L27" i="13"/>
  <c r="L28" i="13"/>
  <c r="Z28" i="14"/>
  <c r="Z27" i="14"/>
  <c r="Z26" i="14"/>
  <c r="F28" i="13"/>
  <c r="F27" i="13"/>
  <c r="F26" i="13"/>
  <c r="D27" i="8"/>
  <c r="D28" i="8"/>
  <c r="D26" i="8"/>
  <c r="H28" i="1"/>
  <c r="H26" i="1"/>
  <c r="H27" i="1"/>
  <c r="AD60" i="16"/>
  <c r="AD61" i="16"/>
  <c r="AD26" i="16"/>
  <c r="AD28" i="16"/>
  <c r="AD27" i="16"/>
  <c r="L26" i="11"/>
  <c r="L28" i="11"/>
  <c r="L27" i="11"/>
  <c r="AB26" i="13"/>
  <c r="AB28" i="13"/>
  <c r="AB27" i="13"/>
  <c r="J26" i="11"/>
  <c r="J27" i="11"/>
  <c r="J28" i="11"/>
  <c r="R28" i="3"/>
  <c r="I27" i="4"/>
  <c r="I28" i="4"/>
  <c r="I26" i="4"/>
  <c r="M28" i="13"/>
  <c r="M26" i="13"/>
  <c r="M27" i="13"/>
  <c r="K27" i="8"/>
  <c r="K26" i="8"/>
  <c r="K28" i="8"/>
  <c r="E27" i="3"/>
  <c r="E28" i="3"/>
  <c r="E26" i="3"/>
  <c r="R26" i="1"/>
  <c r="R27" i="1"/>
  <c r="R28" i="1"/>
  <c r="T28" i="12"/>
  <c r="T27" i="12"/>
  <c r="T26" i="12"/>
  <c r="AC28" i="4"/>
  <c r="W28" i="14"/>
  <c r="W26" i="14"/>
  <c r="W27" i="14"/>
  <c r="P27" i="12"/>
  <c r="P26" i="12"/>
  <c r="P28" i="12"/>
  <c r="P26" i="14"/>
  <c r="P28" i="14"/>
  <c r="F27" i="16"/>
  <c r="F60" i="16"/>
  <c r="F61" i="16"/>
  <c r="F26" i="16"/>
  <c r="F28" i="16"/>
  <c r="E27" i="15"/>
  <c r="E26" i="15"/>
  <c r="E28" i="15"/>
  <c r="AA28" i="4"/>
  <c r="AA27" i="4"/>
  <c r="AA26" i="4"/>
  <c r="AD28" i="12"/>
  <c r="AD26" i="12"/>
  <c r="AD27" i="12"/>
  <c r="H60" i="16"/>
  <c r="H61" i="16"/>
  <c r="H27" i="16"/>
  <c r="H26" i="16"/>
  <c r="H28" i="16"/>
  <c r="G27" i="8"/>
  <c r="G26" i="8"/>
  <c r="G28" i="8"/>
  <c r="G28" i="4"/>
  <c r="G27" i="4"/>
  <c r="G26" i="4"/>
  <c r="C26" i="11"/>
  <c r="C28" i="11"/>
  <c r="C27" i="11"/>
  <c r="AE27" i="16"/>
  <c r="AE60" i="16"/>
  <c r="AE61" i="16"/>
  <c r="AE26" i="16"/>
  <c r="AE28" i="16"/>
  <c r="D28" i="14"/>
  <c r="D26" i="14"/>
  <c r="D27" i="14"/>
  <c r="X28" i="14"/>
  <c r="X27" i="14"/>
  <c r="X26" i="14"/>
  <c r="T27" i="18"/>
  <c r="T26" i="18"/>
  <c r="V21" i="18"/>
  <c r="V22" i="18"/>
  <c r="L28" i="17"/>
  <c r="L30" i="17"/>
  <c r="U27" i="18"/>
  <c r="U26" i="18"/>
  <c r="W24" i="18"/>
  <c r="L26" i="17"/>
  <c r="L27" i="17"/>
  <c r="L66" i="17"/>
  <c r="L65" i="17"/>
  <c r="N21" i="17"/>
  <c r="N22" i="17"/>
  <c r="N24" i="17"/>
  <c r="M23" i="17"/>
  <c r="M25" i="17" s="1"/>
  <c r="M30" i="17" s="1"/>
  <c r="R27" i="16"/>
  <c r="R61" i="16"/>
  <c r="R60" i="16"/>
  <c r="R28" i="16"/>
  <c r="R26" i="16"/>
  <c r="S23" i="16"/>
  <c r="S25" i="16" s="1"/>
  <c r="T22" i="16"/>
  <c r="T21" i="16"/>
  <c r="U24" i="16"/>
  <c r="V18" i="16"/>
  <c r="H26" i="9"/>
  <c r="T21" i="15"/>
  <c r="T22" i="15"/>
  <c r="S23" i="15"/>
  <c r="S25" i="15" s="1"/>
  <c r="U24" i="15"/>
  <c r="V18" i="15"/>
  <c r="U23" i="8"/>
  <c r="U25" i="8" s="1"/>
  <c r="U27" i="8" s="1"/>
  <c r="U23" i="4"/>
  <c r="U25" i="4" s="1"/>
  <c r="U28" i="4" s="1"/>
  <c r="I23" i="5"/>
  <c r="I25" i="5" s="1"/>
  <c r="I28" i="5" s="1"/>
  <c r="T26" i="1"/>
  <c r="U23" i="1"/>
  <c r="U25" i="1" s="1"/>
  <c r="U26" i="1" s="1"/>
  <c r="V22" i="1"/>
  <c r="V22" i="8"/>
  <c r="J21" i="9"/>
  <c r="J21" i="5"/>
  <c r="V21" i="3"/>
  <c r="V22" i="4"/>
  <c r="V21" i="4"/>
  <c r="V21" i="1"/>
  <c r="V21" i="8"/>
  <c r="J22" i="9"/>
  <c r="J22" i="5"/>
  <c r="V22" i="3"/>
  <c r="K24" i="9"/>
  <c r="L18" i="9"/>
  <c r="L18" i="5"/>
  <c r="K24" i="5"/>
  <c r="X18" i="3"/>
  <c r="W24" i="3"/>
  <c r="U28" i="8"/>
  <c r="X18" i="4"/>
  <c r="W24" i="4"/>
  <c r="X18" i="1"/>
  <c r="W24" i="1"/>
  <c r="X18" i="8"/>
  <c r="W24" i="8"/>
  <c r="I27" i="9"/>
  <c r="I28" i="9"/>
  <c r="I26" i="9"/>
  <c r="U26" i="3"/>
  <c r="U28" i="3"/>
  <c r="U27" i="3"/>
  <c r="Y20" i="11"/>
  <c r="O20" i="17"/>
  <c r="W19" i="8"/>
  <c r="U20" i="15"/>
  <c r="W19" i="18"/>
  <c r="U19" i="16"/>
  <c r="V19" i="13"/>
  <c r="K19" i="7"/>
  <c r="K20" i="9"/>
  <c r="W20" i="1"/>
  <c r="W19" i="1"/>
  <c r="W20" i="4"/>
  <c r="W20" i="8"/>
  <c r="V19" i="12"/>
  <c r="U20" i="10"/>
  <c r="V20" i="13"/>
  <c r="K20" i="7"/>
  <c r="U20" i="16"/>
  <c r="W19" i="4"/>
  <c r="W20" i="18"/>
  <c r="W19" i="3"/>
  <c r="K19" i="5"/>
  <c r="V20" i="12"/>
  <c r="U19" i="10"/>
  <c r="Y19" i="11"/>
  <c r="O19" i="17"/>
  <c r="W20" i="3"/>
  <c r="K20" i="5"/>
  <c r="K19" i="9"/>
  <c r="U19" i="15"/>
  <c r="J65" i="17" l="1"/>
  <c r="J28" i="17"/>
  <c r="J26" i="17"/>
  <c r="J66" i="17"/>
  <c r="U23" i="12"/>
  <c r="U25" i="12" s="1"/>
  <c r="U26" i="8"/>
  <c r="J23" i="7"/>
  <c r="J25" i="7" s="1"/>
  <c r="J28" i="7" s="1"/>
  <c r="R28" i="13"/>
  <c r="R27" i="13"/>
  <c r="E28" i="14"/>
  <c r="E26" i="14"/>
  <c r="H28" i="5"/>
  <c r="J26" i="7"/>
  <c r="P27" i="1"/>
  <c r="Q28" i="11"/>
  <c r="AC27" i="4"/>
  <c r="R26" i="3"/>
  <c r="B26" i="16"/>
  <c r="AC28" i="10"/>
  <c r="J60" i="16"/>
  <c r="C28" i="8"/>
  <c r="I28" i="10"/>
  <c r="P28" i="1"/>
  <c r="E26" i="10"/>
  <c r="K60" i="16"/>
  <c r="C27" i="8"/>
  <c r="E27" i="10"/>
  <c r="H26" i="5"/>
  <c r="J27" i="7"/>
  <c r="I28" i="16"/>
  <c r="X23" i="11"/>
  <c r="X25" i="11" s="1"/>
  <c r="K28" i="12"/>
  <c r="K27" i="12"/>
  <c r="B28" i="9"/>
  <c r="B26" i="9"/>
  <c r="P27" i="13"/>
  <c r="P26" i="13"/>
  <c r="P28" i="13"/>
  <c r="N27" i="14"/>
  <c r="N28" i="14"/>
  <c r="N26" i="14"/>
  <c r="Y21" i="11"/>
  <c r="U21" i="10"/>
  <c r="V22" i="12"/>
  <c r="K22" i="7"/>
  <c r="V22" i="13"/>
  <c r="U22" i="10"/>
  <c r="V21" i="12"/>
  <c r="V23" i="12" s="1"/>
  <c r="V25" i="12" s="1"/>
  <c r="V26" i="12" s="1"/>
  <c r="K21" i="7"/>
  <c r="K23" i="7" s="1"/>
  <c r="K25" i="7" s="1"/>
  <c r="V21" i="13"/>
  <c r="V23" i="13" s="1"/>
  <c r="V25" i="13" s="1"/>
  <c r="V27" i="13" s="1"/>
  <c r="Y22" i="11"/>
  <c r="L28" i="8"/>
  <c r="L26" i="8"/>
  <c r="L27" i="8"/>
  <c r="U28" i="12"/>
  <c r="U26" i="12"/>
  <c r="U27" i="12"/>
  <c r="Q26" i="13"/>
  <c r="Q28" i="13"/>
  <c r="Q27" i="13"/>
  <c r="F28" i="4"/>
  <c r="F26" i="4"/>
  <c r="F27" i="4"/>
  <c r="AA27" i="11"/>
  <c r="AA26" i="11"/>
  <c r="AA28" i="11"/>
  <c r="W28" i="11"/>
  <c r="W27" i="11"/>
  <c r="W26" i="11"/>
  <c r="N26" i="15"/>
  <c r="N28" i="15"/>
  <c r="N27" i="15"/>
  <c r="B27" i="7"/>
  <c r="B28" i="7"/>
  <c r="B26" i="7"/>
  <c r="L27" i="14"/>
  <c r="L28" i="14"/>
  <c r="L26" i="14"/>
  <c r="J28" i="1"/>
  <c r="J26" i="1"/>
  <c r="J27" i="1"/>
  <c r="J27" i="14"/>
  <c r="J28" i="14"/>
  <c r="J26" i="14"/>
  <c r="J31" i="17"/>
  <c r="J32" i="17"/>
  <c r="B27" i="1"/>
  <c r="B28" i="1"/>
  <c r="B26" i="1"/>
  <c r="H27" i="7"/>
  <c r="H28" i="7"/>
  <c r="H26" i="7"/>
  <c r="AE27" i="11"/>
  <c r="AE28" i="11"/>
  <c r="AE26" i="11"/>
  <c r="D26" i="4"/>
  <c r="D28" i="4"/>
  <c r="D27" i="4"/>
  <c r="I26" i="7"/>
  <c r="I27" i="7"/>
  <c r="I28" i="7"/>
  <c r="T27" i="11"/>
  <c r="T28" i="11"/>
  <c r="T26" i="11"/>
  <c r="H27" i="14"/>
  <c r="H28" i="14"/>
  <c r="H26" i="14"/>
  <c r="K28" i="1"/>
  <c r="K27" i="1"/>
  <c r="K26" i="1"/>
  <c r="AB28" i="4"/>
  <c r="AB26" i="4"/>
  <c r="AB27" i="4"/>
  <c r="D60" i="16"/>
  <c r="D28" i="16"/>
  <c r="D26" i="16"/>
  <c r="D61" i="16"/>
  <c r="D27" i="16"/>
  <c r="K30" i="17"/>
  <c r="K66" i="17"/>
  <c r="K27" i="17"/>
  <c r="K28" i="17"/>
  <c r="K26" i="17"/>
  <c r="K65" i="17"/>
  <c r="R26" i="12"/>
  <c r="R27" i="12"/>
  <c r="R28" i="12"/>
  <c r="AE28" i="3"/>
  <c r="AE27" i="3"/>
  <c r="AE26" i="3"/>
  <c r="AA27" i="10"/>
  <c r="AA28" i="10"/>
  <c r="AA26" i="10"/>
  <c r="AE28" i="1"/>
  <c r="AE26" i="1"/>
  <c r="AE27" i="1"/>
  <c r="C28" i="4"/>
  <c r="C26" i="4"/>
  <c r="C27" i="4"/>
  <c r="F26" i="15"/>
  <c r="F27" i="15"/>
  <c r="F28" i="15"/>
  <c r="K27" i="13"/>
  <c r="K26" i="13"/>
  <c r="K28" i="13"/>
  <c r="L26" i="1"/>
  <c r="L28" i="1"/>
  <c r="L27" i="1"/>
  <c r="D26" i="10"/>
  <c r="D27" i="10"/>
  <c r="D28" i="10"/>
  <c r="AD28" i="10"/>
  <c r="AD27" i="10"/>
  <c r="AD26" i="10"/>
  <c r="B26" i="3"/>
  <c r="B27" i="3"/>
  <c r="B28" i="3"/>
  <c r="AE27" i="4"/>
  <c r="AE26" i="4"/>
  <c r="AE28" i="4"/>
  <c r="Q28" i="16"/>
  <c r="Q61" i="16"/>
  <c r="Q27" i="16"/>
  <c r="Q60" i="16"/>
  <c r="Q26" i="16"/>
  <c r="E28" i="8"/>
  <c r="E27" i="8"/>
  <c r="E26" i="8"/>
  <c r="K28" i="11"/>
  <c r="K26" i="11"/>
  <c r="K27" i="11"/>
  <c r="U27" i="11"/>
  <c r="U26" i="11"/>
  <c r="U28" i="11"/>
  <c r="S27" i="11"/>
  <c r="S28" i="11"/>
  <c r="S26" i="11"/>
  <c r="C26" i="10"/>
  <c r="C27" i="10"/>
  <c r="C28" i="10"/>
  <c r="T28" i="14"/>
  <c r="T27" i="14"/>
  <c r="T26" i="14"/>
  <c r="B27" i="15"/>
  <c r="B26" i="15"/>
  <c r="B28" i="15"/>
  <c r="AA26" i="8"/>
  <c r="AB26" i="14"/>
  <c r="D26" i="13"/>
  <c r="D28" i="13"/>
  <c r="D27" i="13"/>
  <c r="O27" i="11"/>
  <c r="O28" i="11"/>
  <c r="O26" i="11"/>
  <c r="G28" i="9"/>
  <c r="G27" i="9"/>
  <c r="G26" i="9"/>
  <c r="F27" i="14"/>
  <c r="F26" i="14"/>
  <c r="F28" i="14"/>
  <c r="H27" i="4"/>
  <c r="H26" i="4"/>
  <c r="H28" i="4"/>
  <c r="O28" i="8"/>
  <c r="O26" i="8"/>
  <c r="O27" i="8"/>
  <c r="AD26" i="4"/>
  <c r="AD27" i="4"/>
  <c r="AD28" i="4"/>
  <c r="S26" i="8"/>
  <c r="S27" i="8"/>
  <c r="S28" i="8"/>
  <c r="P27" i="8"/>
  <c r="P28" i="8"/>
  <c r="P26" i="8"/>
  <c r="D27" i="5"/>
  <c r="D26" i="5"/>
  <c r="D28" i="5"/>
  <c r="AC27" i="3"/>
  <c r="AC28" i="3"/>
  <c r="AC26" i="3"/>
  <c r="E26" i="5"/>
  <c r="E27" i="5"/>
  <c r="E28" i="5"/>
  <c r="S27" i="10"/>
  <c r="S26" i="10"/>
  <c r="S28" i="10"/>
  <c r="M27" i="12"/>
  <c r="M28" i="12"/>
  <c r="M26" i="12"/>
  <c r="M28" i="8"/>
  <c r="M26" i="8"/>
  <c r="M27" i="8"/>
  <c r="L28" i="12"/>
  <c r="L27" i="12"/>
  <c r="L26" i="12"/>
  <c r="H26" i="8"/>
  <c r="H28" i="8"/>
  <c r="H27" i="8"/>
  <c r="G27" i="10"/>
  <c r="G28" i="10"/>
  <c r="G26" i="10"/>
  <c r="C28" i="15"/>
  <c r="C27" i="15"/>
  <c r="C26" i="15"/>
  <c r="K26" i="15"/>
  <c r="K28" i="15"/>
  <c r="K27" i="15"/>
  <c r="S26" i="14"/>
  <c r="S27" i="14"/>
  <c r="S28" i="14"/>
  <c r="AD26" i="14"/>
  <c r="AD28" i="14"/>
  <c r="AD27" i="14"/>
  <c r="N26" i="4"/>
  <c r="N28" i="4"/>
  <c r="N27" i="4"/>
  <c r="E26" i="4"/>
  <c r="E28" i="4"/>
  <c r="E27" i="4"/>
  <c r="C27" i="5"/>
  <c r="C26" i="5"/>
  <c r="C28" i="5"/>
  <c r="C26" i="7"/>
  <c r="C27" i="7"/>
  <c r="C28" i="7"/>
  <c r="AE28" i="12"/>
  <c r="AE26" i="12"/>
  <c r="AE27" i="12"/>
  <c r="AA27" i="15"/>
  <c r="AA26" i="15"/>
  <c r="AA28" i="15"/>
  <c r="I26" i="12"/>
  <c r="I28" i="12"/>
  <c r="I27" i="12"/>
  <c r="F26" i="3"/>
  <c r="F27" i="3"/>
  <c r="F28" i="3"/>
  <c r="B26" i="10"/>
  <c r="B28" i="10"/>
  <c r="B27" i="10"/>
  <c r="G28" i="3"/>
  <c r="G27" i="3"/>
  <c r="G26" i="3"/>
  <c r="C26" i="14"/>
  <c r="C28" i="14"/>
  <c r="C27" i="14"/>
  <c r="AB28" i="12"/>
  <c r="AB27" i="12"/>
  <c r="AB26" i="12"/>
  <c r="AC27" i="1"/>
  <c r="AC28" i="1"/>
  <c r="AC26" i="1"/>
  <c r="N26" i="1"/>
  <c r="N27" i="1"/>
  <c r="N28" i="1"/>
  <c r="I26" i="13"/>
  <c r="I27" i="13"/>
  <c r="I28" i="13"/>
  <c r="D26" i="15"/>
  <c r="D28" i="15"/>
  <c r="D27" i="15"/>
  <c r="M27" i="1"/>
  <c r="M28" i="1"/>
  <c r="M26" i="1"/>
  <c r="N28" i="12"/>
  <c r="N26" i="12"/>
  <c r="N27" i="12"/>
  <c r="D27" i="9"/>
  <c r="D28" i="9"/>
  <c r="D26" i="9"/>
  <c r="O28" i="15"/>
  <c r="O27" i="15"/>
  <c r="O26" i="15"/>
  <c r="F27" i="11"/>
  <c r="F28" i="11"/>
  <c r="F26" i="11"/>
  <c r="T23" i="10"/>
  <c r="T25" i="10" s="1"/>
  <c r="I27" i="5"/>
  <c r="B26" i="8"/>
  <c r="B28" i="8"/>
  <c r="B27" i="8"/>
  <c r="B27" i="14"/>
  <c r="B28" i="14"/>
  <c r="B26" i="14"/>
  <c r="C27" i="3"/>
  <c r="C26" i="3"/>
  <c r="C28" i="3"/>
  <c r="AB26" i="3"/>
  <c r="AB27" i="3"/>
  <c r="AB28" i="3"/>
  <c r="V26" i="14"/>
  <c r="V28" i="14"/>
  <c r="V27" i="14"/>
  <c r="P27" i="3"/>
  <c r="P28" i="3"/>
  <c r="P26" i="3"/>
  <c r="G28" i="11"/>
  <c r="G27" i="11"/>
  <c r="G26" i="11"/>
  <c r="P27" i="4"/>
  <c r="P26" i="4"/>
  <c r="P28" i="4"/>
  <c r="K26" i="10"/>
  <c r="K27" i="10"/>
  <c r="K28" i="10"/>
  <c r="L27" i="3"/>
  <c r="L28" i="3"/>
  <c r="L26" i="3"/>
  <c r="U23" i="13"/>
  <c r="U25" i="13" s="1"/>
  <c r="M18" i="7"/>
  <c r="L24" i="7"/>
  <c r="Z24" i="11"/>
  <c r="V27" i="12"/>
  <c r="V28" i="12"/>
  <c r="K28" i="7"/>
  <c r="K26" i="7"/>
  <c r="K27" i="7"/>
  <c r="V26" i="13"/>
  <c r="V28" i="13"/>
  <c r="V24" i="10"/>
  <c r="W18" i="10"/>
  <c r="W24" i="13"/>
  <c r="X18" i="13"/>
  <c r="W24" i="12"/>
  <c r="X18" i="12"/>
  <c r="V23" i="18"/>
  <c r="V25" i="18" s="1"/>
  <c r="V28" i="18" s="1"/>
  <c r="W21" i="18"/>
  <c r="W22" i="18"/>
  <c r="U27" i="1"/>
  <c r="U27" i="4"/>
  <c r="L32" i="17"/>
  <c r="L31" i="17"/>
  <c r="M31" i="17"/>
  <c r="M32" i="17"/>
  <c r="X24" i="18"/>
  <c r="N23" i="17"/>
  <c r="N25" i="17" s="1"/>
  <c r="N28" i="17" s="1"/>
  <c r="O21" i="17"/>
  <c r="O22" i="17"/>
  <c r="M65" i="17"/>
  <c r="M27" i="17"/>
  <c r="M66" i="17"/>
  <c r="M28" i="17"/>
  <c r="M26" i="17"/>
  <c r="O24" i="17"/>
  <c r="U28" i="1"/>
  <c r="U26" i="4"/>
  <c r="S28" i="16"/>
  <c r="S61" i="16"/>
  <c r="S60" i="16"/>
  <c r="S27" i="16"/>
  <c r="S26" i="16"/>
  <c r="T23" i="16"/>
  <c r="T25" i="16" s="1"/>
  <c r="U22" i="16"/>
  <c r="U21" i="16"/>
  <c r="V24" i="16"/>
  <c r="W18" i="16"/>
  <c r="I26" i="5"/>
  <c r="V23" i="1"/>
  <c r="V25" i="1" s="1"/>
  <c r="V26" i="1" s="1"/>
  <c r="J23" i="5"/>
  <c r="J25" i="5" s="1"/>
  <c r="J26" i="5" s="1"/>
  <c r="T23" i="15"/>
  <c r="T25" i="15" s="1"/>
  <c r="T27" i="15" s="1"/>
  <c r="U21" i="15"/>
  <c r="U22" i="15"/>
  <c r="V24" i="15"/>
  <c r="W18" i="15"/>
  <c r="S28" i="15"/>
  <c r="S27" i="15"/>
  <c r="S26" i="15"/>
  <c r="V23" i="8"/>
  <c r="V25" i="8" s="1"/>
  <c r="V27" i="8" s="1"/>
  <c r="V23" i="4"/>
  <c r="V25" i="4" s="1"/>
  <c r="V27" i="4" s="1"/>
  <c r="V23" i="3"/>
  <c r="V25" i="3" s="1"/>
  <c r="V26" i="3" s="1"/>
  <c r="J23" i="9"/>
  <c r="J25" i="9" s="1"/>
  <c r="J26" i="9" s="1"/>
  <c r="W21" i="8"/>
  <c r="W22" i="1"/>
  <c r="W21" i="4"/>
  <c r="W22" i="3"/>
  <c r="K22" i="5"/>
  <c r="K22" i="9"/>
  <c r="W22" i="8"/>
  <c r="W21" i="1"/>
  <c r="W22" i="4"/>
  <c r="W21" i="3"/>
  <c r="K21" i="5"/>
  <c r="K21" i="9"/>
  <c r="X24" i="8"/>
  <c r="Y18" i="8"/>
  <c r="X24" i="1"/>
  <c r="Y18" i="1"/>
  <c r="X24" i="4"/>
  <c r="Y18" i="4"/>
  <c r="L24" i="9"/>
  <c r="M18" i="9"/>
  <c r="V27" i="1"/>
  <c r="X24" i="3"/>
  <c r="Y18" i="3"/>
  <c r="L24" i="5"/>
  <c r="M18" i="5"/>
  <c r="V26" i="4"/>
  <c r="W19" i="13"/>
  <c r="Z19" i="11"/>
  <c r="V20" i="10"/>
  <c r="W20" i="13"/>
  <c r="W20" i="12"/>
  <c r="X19" i="8"/>
  <c r="X19" i="18"/>
  <c r="L20" i="5"/>
  <c r="V20" i="16"/>
  <c r="X19" i="1"/>
  <c r="L19" i="7"/>
  <c r="V19" i="10"/>
  <c r="X20" i="1"/>
  <c r="X20" i="3"/>
  <c r="V20" i="15"/>
  <c r="L20" i="9"/>
  <c r="V19" i="15"/>
  <c r="X20" i="4"/>
  <c r="P20" i="17"/>
  <c r="Z20" i="11"/>
  <c r="W19" i="12"/>
  <c r="L19" i="5"/>
  <c r="P19" i="17"/>
  <c r="L19" i="9"/>
  <c r="X20" i="18"/>
  <c r="X19" i="4"/>
  <c r="X20" i="8"/>
  <c r="L20" i="7"/>
  <c r="X19" i="3"/>
  <c r="V19" i="16"/>
  <c r="K23" i="9" l="1"/>
  <c r="K25" i="9" s="1"/>
  <c r="K27" i="9" s="1"/>
  <c r="W23" i="1"/>
  <c r="W25" i="1" s="1"/>
  <c r="V26" i="8"/>
  <c r="Y23" i="11"/>
  <c r="Y25" i="11" s="1"/>
  <c r="K23" i="5"/>
  <c r="K25" i="5" s="1"/>
  <c r="K27" i="5" s="1"/>
  <c r="V28" i="1"/>
  <c r="X26" i="11"/>
  <c r="X28" i="11"/>
  <c r="X27" i="11"/>
  <c r="L22" i="7"/>
  <c r="W21" i="12"/>
  <c r="Z22" i="11"/>
  <c r="V21" i="10"/>
  <c r="L21" i="7"/>
  <c r="L23" i="7" s="1"/>
  <c r="L25" i="7" s="1"/>
  <c r="L27" i="7" s="1"/>
  <c r="W22" i="12"/>
  <c r="W22" i="13"/>
  <c r="V22" i="10"/>
  <c r="Z21" i="11"/>
  <c r="Z23" i="11" s="1"/>
  <c r="Z25" i="11" s="1"/>
  <c r="Z28" i="11" s="1"/>
  <c r="W21" i="13"/>
  <c r="J28" i="9"/>
  <c r="W23" i="3"/>
  <c r="W25" i="3" s="1"/>
  <c r="W27" i="3" s="1"/>
  <c r="J27" i="9"/>
  <c r="K31" i="17"/>
  <c r="K32" i="17"/>
  <c r="U27" i="13"/>
  <c r="U28" i="13"/>
  <c r="U26" i="13"/>
  <c r="T27" i="10"/>
  <c r="T26" i="10"/>
  <c r="T28" i="10"/>
  <c r="V28" i="4"/>
  <c r="U23" i="10"/>
  <c r="U25" i="10" s="1"/>
  <c r="T28" i="15"/>
  <c r="Y18" i="13"/>
  <c r="X24" i="13"/>
  <c r="L28" i="7"/>
  <c r="L26" i="7"/>
  <c r="X24" i="12"/>
  <c r="Y18" i="12"/>
  <c r="Z26" i="11"/>
  <c r="V28" i="3"/>
  <c r="J27" i="5"/>
  <c r="W24" i="10"/>
  <c r="X18" i="10"/>
  <c r="M24" i="7"/>
  <c r="N18" i="7"/>
  <c r="V27" i="18"/>
  <c r="V26" i="18"/>
  <c r="W23" i="18"/>
  <c r="W25" i="18" s="1"/>
  <c r="W27" i="18" s="1"/>
  <c r="X22" i="18"/>
  <c r="X21" i="18"/>
  <c r="T26" i="15"/>
  <c r="N65" i="17"/>
  <c r="N30" i="17"/>
  <c r="Y24" i="18"/>
  <c r="N27" i="17"/>
  <c r="N26" i="17"/>
  <c r="N66" i="17"/>
  <c r="O23" i="17"/>
  <c r="O25" i="17" s="1"/>
  <c r="O65" i="17" s="1"/>
  <c r="P21" i="17"/>
  <c r="P22" i="17"/>
  <c r="P24" i="17"/>
  <c r="U23" i="15"/>
  <c r="U25" i="15" s="1"/>
  <c r="U27" i="15" s="1"/>
  <c r="T28" i="16"/>
  <c r="T61" i="16"/>
  <c r="T60" i="16"/>
  <c r="T26" i="16"/>
  <c r="T27" i="16"/>
  <c r="U23" i="16"/>
  <c r="U25" i="16" s="1"/>
  <c r="V22" i="16"/>
  <c r="V21" i="16"/>
  <c r="W24" i="16"/>
  <c r="X18" i="16"/>
  <c r="J28" i="5"/>
  <c r="V21" i="15"/>
  <c r="V22" i="15"/>
  <c r="V27" i="3"/>
  <c r="V28" i="8"/>
  <c r="W24" i="15"/>
  <c r="X18" i="15"/>
  <c r="W23" i="4"/>
  <c r="W25" i="4" s="1"/>
  <c r="W26" i="4" s="1"/>
  <c r="W23" i="8"/>
  <c r="W25" i="8" s="1"/>
  <c r="W26" i="8" s="1"/>
  <c r="X21" i="3"/>
  <c r="L21" i="9"/>
  <c r="L22" i="5"/>
  <c r="X22" i="3"/>
  <c r="L22" i="9"/>
  <c r="X22" i="4"/>
  <c r="X22" i="1"/>
  <c r="X21" i="8"/>
  <c r="L21" i="5"/>
  <c r="X21" i="4"/>
  <c r="X23" i="4" s="1"/>
  <c r="X25" i="4" s="1"/>
  <c r="X21" i="1"/>
  <c r="X23" i="1" s="1"/>
  <c r="X25" i="1" s="1"/>
  <c r="X22" i="8"/>
  <c r="M24" i="5"/>
  <c r="N18" i="5"/>
  <c r="Y24" i="3"/>
  <c r="Z18" i="3"/>
  <c r="N18" i="9"/>
  <c r="M24" i="9"/>
  <c r="Y24" i="4"/>
  <c r="Z18" i="4"/>
  <c r="Y24" i="1"/>
  <c r="Z18" i="1"/>
  <c r="Y24" i="8"/>
  <c r="Z18" i="8"/>
  <c r="W27" i="1"/>
  <c r="W28" i="1"/>
  <c r="W26" i="1"/>
  <c r="K26" i="5"/>
  <c r="W28" i="4"/>
  <c r="X20" i="12"/>
  <c r="Q19" i="17"/>
  <c r="M20" i="5"/>
  <c r="W20" i="15"/>
  <c r="Y20" i="3"/>
  <c r="Y20" i="1"/>
  <c r="Y20" i="4"/>
  <c r="Y19" i="8"/>
  <c r="Y20" i="18"/>
  <c r="Y19" i="4"/>
  <c r="W19" i="16"/>
  <c r="X19" i="13"/>
  <c r="W19" i="10"/>
  <c r="M19" i="7"/>
  <c r="M20" i="9"/>
  <c r="W19" i="15"/>
  <c r="Y19" i="3"/>
  <c r="Q20" i="17"/>
  <c r="Y20" i="8"/>
  <c r="X19" i="12"/>
  <c r="W20" i="10"/>
  <c r="M20" i="7"/>
  <c r="Y19" i="18"/>
  <c r="Y19" i="1"/>
  <c r="X20" i="13"/>
  <c r="M19" i="9"/>
  <c r="M19" i="5"/>
  <c r="W20" i="16"/>
  <c r="K26" i="9" l="1"/>
  <c r="K28" i="5"/>
  <c r="K28" i="9"/>
  <c r="L23" i="5"/>
  <c r="L25" i="5" s="1"/>
  <c r="W27" i="4"/>
  <c r="W26" i="3"/>
  <c r="Y28" i="11"/>
  <c r="Y26" i="11"/>
  <c r="Y27" i="11"/>
  <c r="W28" i="3"/>
  <c r="U26" i="15"/>
  <c r="X22" i="13"/>
  <c r="M22" i="7"/>
  <c r="W22" i="10"/>
  <c r="X21" i="12"/>
  <c r="M21" i="7"/>
  <c r="W21" i="10"/>
  <c r="X21" i="13"/>
  <c r="X22" i="12"/>
  <c r="Z27" i="11"/>
  <c r="U28" i="10"/>
  <c r="U27" i="10"/>
  <c r="U26" i="10"/>
  <c r="V23" i="10"/>
  <c r="V25" i="10" s="1"/>
  <c r="X23" i="18"/>
  <c r="X25" i="18" s="1"/>
  <c r="X28" i="18" s="1"/>
  <c r="W23" i="13"/>
  <c r="W25" i="13" s="1"/>
  <c r="W23" i="12"/>
  <c r="W25" i="12" s="1"/>
  <c r="W27" i="8"/>
  <c r="N24" i="7"/>
  <c r="O18" i="7"/>
  <c r="X24" i="10"/>
  <c r="Y18" i="10"/>
  <c r="Y24" i="12"/>
  <c r="Z18" i="12"/>
  <c r="U28" i="15"/>
  <c r="Y24" i="13"/>
  <c r="Z18" i="13"/>
  <c r="W28" i="18"/>
  <c r="W26" i="18"/>
  <c r="Y21" i="18"/>
  <c r="Y22" i="18"/>
  <c r="O27" i="17"/>
  <c r="O30" i="17"/>
  <c r="W28" i="8"/>
  <c r="O26" i="17"/>
  <c r="Z24" i="18"/>
  <c r="N32" i="17"/>
  <c r="N31" i="17"/>
  <c r="O66" i="17"/>
  <c r="O28" i="17"/>
  <c r="Q21" i="17"/>
  <c r="Q22" i="17"/>
  <c r="Q24" i="17"/>
  <c r="P23" i="17"/>
  <c r="P25" i="17" s="1"/>
  <c r="P30" i="17" s="1"/>
  <c r="U28" i="16"/>
  <c r="U61" i="16"/>
  <c r="U60" i="16"/>
  <c r="U27" i="16"/>
  <c r="U26" i="16"/>
  <c r="V23" i="16"/>
  <c r="V25" i="16" s="1"/>
  <c r="W22" i="16"/>
  <c r="W21" i="16"/>
  <c r="Y18" i="16"/>
  <c r="X24" i="16"/>
  <c r="V23" i="15"/>
  <c r="V25" i="15" s="1"/>
  <c r="V28" i="15" s="1"/>
  <c r="W21" i="15"/>
  <c r="W22" i="15"/>
  <c r="X24" i="15"/>
  <c r="Y18" i="15"/>
  <c r="X23" i="8"/>
  <c r="X25" i="8" s="1"/>
  <c r="X26" i="8" s="1"/>
  <c r="L23" i="9"/>
  <c r="L25" i="9" s="1"/>
  <c r="L27" i="9" s="1"/>
  <c r="X23" i="3"/>
  <c r="X25" i="3" s="1"/>
  <c r="X27" i="3" s="1"/>
  <c r="Y22" i="8"/>
  <c r="Y22" i="1"/>
  <c r="Y22" i="4"/>
  <c r="M22" i="9"/>
  <c r="Y22" i="3"/>
  <c r="M22" i="5"/>
  <c r="Y21" i="8"/>
  <c r="Y23" i="8" s="1"/>
  <c r="Y25" i="8" s="1"/>
  <c r="Y21" i="1"/>
  <c r="Y21" i="4"/>
  <c r="M21" i="9"/>
  <c r="Y21" i="3"/>
  <c r="Y23" i="3" s="1"/>
  <c r="Y25" i="3" s="1"/>
  <c r="M21" i="5"/>
  <c r="Z24" i="8"/>
  <c r="Z24" i="1"/>
  <c r="Z24" i="4"/>
  <c r="Z24" i="3"/>
  <c r="O18" i="5"/>
  <c r="N24" i="5"/>
  <c r="X26" i="4"/>
  <c r="X28" i="4"/>
  <c r="X27" i="4"/>
  <c r="X28" i="8"/>
  <c r="L26" i="9"/>
  <c r="O18" i="9"/>
  <c r="N24" i="9"/>
  <c r="X26" i="1"/>
  <c r="X28" i="1"/>
  <c r="X27" i="1"/>
  <c r="L26" i="5"/>
  <c r="L27" i="5"/>
  <c r="L28" i="5"/>
  <c r="Y19" i="12"/>
  <c r="Y20" i="13"/>
  <c r="R20" i="17"/>
  <c r="Z20" i="4"/>
  <c r="X20" i="15"/>
  <c r="N20" i="9"/>
  <c r="X20" i="16"/>
  <c r="Z19" i="8"/>
  <c r="Z19" i="3"/>
  <c r="X19" i="16"/>
  <c r="R19" i="17"/>
  <c r="Z20" i="1"/>
  <c r="N19" i="7"/>
  <c r="X20" i="10"/>
  <c r="Z20" i="8"/>
  <c r="N19" i="9"/>
  <c r="Y20" i="12"/>
  <c r="Y19" i="13"/>
  <c r="N20" i="7"/>
  <c r="X19" i="10"/>
  <c r="Z19" i="18"/>
  <c r="Z19" i="1"/>
  <c r="X19" i="15"/>
  <c r="Z19" i="4"/>
  <c r="Z20" i="3"/>
  <c r="N19" i="5"/>
  <c r="Z20" i="18"/>
  <c r="N20" i="5"/>
  <c r="X26" i="18" l="1"/>
  <c r="X23" i="13"/>
  <c r="X25" i="13" s="1"/>
  <c r="X26" i="13" s="1"/>
  <c r="X27" i="18"/>
  <c r="L28" i="9"/>
  <c r="M23" i="5"/>
  <c r="M25" i="5" s="1"/>
  <c r="M27" i="5" s="1"/>
  <c r="Y23" i="1"/>
  <c r="Y25" i="1" s="1"/>
  <c r="X21" i="10"/>
  <c r="N22" i="7"/>
  <c r="Y21" i="13"/>
  <c r="Y22" i="12"/>
  <c r="X22" i="10"/>
  <c r="N21" i="7"/>
  <c r="N23" i="7" s="1"/>
  <c r="N25" i="7" s="1"/>
  <c r="N28" i="7" s="1"/>
  <c r="Y22" i="13"/>
  <c r="Y21" i="12"/>
  <c r="Y23" i="12" s="1"/>
  <c r="Y25" i="12" s="1"/>
  <c r="Y26" i="12" s="1"/>
  <c r="W26" i="12"/>
  <c r="W28" i="12"/>
  <c r="W27" i="12"/>
  <c r="X23" i="12"/>
  <c r="X25" i="12" s="1"/>
  <c r="W23" i="10"/>
  <c r="W25" i="10" s="1"/>
  <c r="X28" i="13"/>
  <c r="W27" i="13"/>
  <c r="W28" i="13"/>
  <c r="W26" i="13"/>
  <c r="M23" i="9"/>
  <c r="M25" i="9" s="1"/>
  <c r="Y23" i="4"/>
  <c r="Y25" i="4" s="1"/>
  <c r="Y27" i="4" s="1"/>
  <c r="V27" i="10"/>
  <c r="V28" i="10"/>
  <c r="V26" i="10"/>
  <c r="M23" i="7"/>
  <c r="M25" i="7" s="1"/>
  <c r="N27" i="7"/>
  <c r="Z24" i="13"/>
  <c r="Z24" i="12"/>
  <c r="Z18" i="10"/>
  <c r="Y24" i="10"/>
  <c r="O24" i="7"/>
  <c r="P18" i="7"/>
  <c r="X28" i="3"/>
  <c r="V27" i="15"/>
  <c r="Y23" i="18"/>
  <c r="Y25" i="18" s="1"/>
  <c r="Y28" i="18" s="1"/>
  <c r="Z21" i="18"/>
  <c r="Z22" i="18"/>
  <c r="P32" i="17"/>
  <c r="P31" i="17"/>
  <c r="O31" i="17"/>
  <c r="O32" i="17"/>
  <c r="Q23" i="17"/>
  <c r="Q25" i="17" s="1"/>
  <c r="Q65" i="17" s="1"/>
  <c r="R21" i="17"/>
  <c r="R22" i="17"/>
  <c r="P65" i="17"/>
  <c r="P27" i="17"/>
  <c r="P66" i="17"/>
  <c r="P28" i="17"/>
  <c r="P26" i="17"/>
  <c r="R24" i="17"/>
  <c r="V27" i="16"/>
  <c r="V61" i="16"/>
  <c r="V60" i="16"/>
  <c r="V28" i="16"/>
  <c r="V26" i="16"/>
  <c r="W23" i="16"/>
  <c r="W25" i="16" s="1"/>
  <c r="X21" i="16"/>
  <c r="X22" i="16"/>
  <c r="X26" i="3"/>
  <c r="X27" i="8"/>
  <c r="V26" i="15"/>
  <c r="Y24" i="16"/>
  <c r="Z18" i="16"/>
  <c r="X22" i="15"/>
  <c r="X21" i="15"/>
  <c r="Y24" i="15"/>
  <c r="Z18" i="15"/>
  <c r="W23" i="15"/>
  <c r="W25" i="15" s="1"/>
  <c r="N21" i="9"/>
  <c r="N22" i="5"/>
  <c r="Z22" i="3"/>
  <c r="Z21" i="4"/>
  <c r="Z22" i="1"/>
  <c r="Z21" i="8"/>
  <c r="N22" i="9"/>
  <c r="N21" i="5"/>
  <c r="Z21" i="3"/>
  <c r="Z22" i="4"/>
  <c r="Z21" i="1"/>
  <c r="Z22" i="8"/>
  <c r="O24" i="9"/>
  <c r="P18" i="9"/>
  <c r="M28" i="5"/>
  <c r="M26" i="5"/>
  <c r="M28" i="9"/>
  <c r="M26" i="9"/>
  <c r="M27" i="9"/>
  <c r="Y26" i="1"/>
  <c r="Y27" i="1"/>
  <c r="Y28" i="1"/>
  <c r="P18" i="5"/>
  <c r="O24" i="5"/>
  <c r="Y26" i="3"/>
  <c r="Y27" i="3"/>
  <c r="Y28" i="3"/>
  <c r="Y26" i="4"/>
  <c r="Y26" i="8"/>
  <c r="Y27" i="8"/>
  <c r="Y28" i="8"/>
  <c r="Z20" i="13"/>
  <c r="S20" i="17"/>
  <c r="Y20" i="15"/>
  <c r="O20" i="5"/>
  <c r="Y20" i="16"/>
  <c r="Y19" i="10"/>
  <c r="O20" i="7"/>
  <c r="O19" i="9"/>
  <c r="O20" i="9"/>
  <c r="Y19" i="16"/>
  <c r="O19" i="5"/>
  <c r="S19" i="17"/>
  <c r="Z19" i="13"/>
  <c r="Z19" i="12"/>
  <c r="Y19" i="15"/>
  <c r="Z20" i="12"/>
  <c r="Y20" i="10"/>
  <c r="O19" i="7"/>
  <c r="Y28" i="4" l="1"/>
  <c r="N26" i="7"/>
  <c r="X27" i="13"/>
  <c r="Z23" i="1"/>
  <c r="Z25" i="1" s="1"/>
  <c r="O21" i="7"/>
  <c r="Y22" i="10"/>
  <c r="Z22" i="12"/>
  <c r="Z21" i="12"/>
  <c r="Z21" i="13"/>
  <c r="O22" i="7"/>
  <c r="Y21" i="10"/>
  <c r="Z22" i="13"/>
  <c r="Y28" i="12"/>
  <c r="Y23" i="13"/>
  <c r="Y25" i="13" s="1"/>
  <c r="M27" i="7"/>
  <c r="M26" i="7"/>
  <c r="M28" i="7"/>
  <c r="X26" i="12"/>
  <c r="X28" i="12"/>
  <c r="X27" i="12"/>
  <c r="Z23" i="3"/>
  <c r="Z25" i="3" s="1"/>
  <c r="Z28" i="3" s="1"/>
  <c r="N23" i="5"/>
  <c r="N25" i="5" s="1"/>
  <c r="Y27" i="12"/>
  <c r="W28" i="10"/>
  <c r="W26" i="10"/>
  <c r="W27" i="10"/>
  <c r="X23" i="10"/>
  <c r="X25" i="10" s="1"/>
  <c r="Z24" i="10"/>
  <c r="P24" i="7"/>
  <c r="Q18" i="7"/>
  <c r="Y27" i="18"/>
  <c r="Y26" i="18"/>
  <c r="Z23" i="18"/>
  <c r="Z25" i="18" s="1"/>
  <c r="Z28" i="18" s="1"/>
  <c r="Q66" i="17"/>
  <c r="Q30" i="17"/>
  <c r="Q28" i="17"/>
  <c r="Q27" i="17"/>
  <c r="Q26" i="17"/>
  <c r="R23" i="17"/>
  <c r="R25" i="17" s="1"/>
  <c r="R30" i="17" s="1"/>
  <c r="S21" i="17"/>
  <c r="S22" i="17"/>
  <c r="S24" i="17"/>
  <c r="W28" i="16"/>
  <c r="W61" i="16"/>
  <c r="W60" i="16"/>
  <c r="W27" i="16"/>
  <c r="W26" i="16"/>
  <c r="X23" i="16"/>
  <c r="X25" i="16" s="1"/>
  <c r="Y22" i="16"/>
  <c r="Y21" i="16"/>
  <c r="X23" i="15"/>
  <c r="X25" i="15" s="1"/>
  <c r="X28" i="15" s="1"/>
  <c r="Z24" i="16"/>
  <c r="Y22" i="15"/>
  <c r="Y21" i="15"/>
  <c r="Z24" i="15"/>
  <c r="W28" i="15"/>
  <c r="W27" i="15"/>
  <c r="W26" i="15"/>
  <c r="Z23" i="8"/>
  <c r="Z25" i="8" s="1"/>
  <c r="Z26" i="8" s="1"/>
  <c r="Z23" i="4"/>
  <c r="Z25" i="4" s="1"/>
  <c r="Z26" i="4" s="1"/>
  <c r="N23" i="9"/>
  <c r="N25" i="9" s="1"/>
  <c r="N27" i="9" s="1"/>
  <c r="O22" i="5"/>
  <c r="O22" i="9"/>
  <c r="O21" i="5"/>
  <c r="O21" i="9"/>
  <c r="Z28" i="1"/>
  <c r="Z27" i="1"/>
  <c r="Z26" i="1"/>
  <c r="Q18" i="5"/>
  <c r="P24" i="5"/>
  <c r="Q18" i="9"/>
  <c r="P24" i="9"/>
  <c r="N28" i="5"/>
  <c r="N26" i="5"/>
  <c r="N27" i="5"/>
  <c r="Z27" i="4"/>
  <c r="P20" i="7"/>
  <c r="P19" i="7"/>
  <c r="T19" i="17"/>
  <c r="P20" i="9"/>
  <c r="Z20" i="16"/>
  <c r="P19" i="9"/>
  <c r="Z20" i="15"/>
  <c r="Z19" i="15"/>
  <c r="Z19" i="10"/>
  <c r="P19" i="5"/>
  <c r="P20" i="5"/>
  <c r="Z20" i="10"/>
  <c r="T20" i="17"/>
  <c r="Z19" i="16"/>
  <c r="Z28" i="4" l="1"/>
  <c r="Z27" i="3"/>
  <c r="O23" i="9"/>
  <c r="O25" i="9" s="1"/>
  <c r="O27" i="9" s="1"/>
  <c r="O23" i="5"/>
  <c r="O25" i="5" s="1"/>
  <c r="Z23" i="12"/>
  <c r="Z25" i="12" s="1"/>
  <c r="Z28" i="12" s="1"/>
  <c r="Z22" i="10"/>
  <c r="Z21" i="10"/>
  <c r="P21" i="7"/>
  <c r="P22" i="7"/>
  <c r="X26" i="10"/>
  <c r="X27" i="10"/>
  <c r="X28" i="10"/>
  <c r="Y23" i="10"/>
  <c r="Y25" i="10" s="1"/>
  <c r="Z26" i="3"/>
  <c r="Y26" i="13"/>
  <c r="Y28" i="13"/>
  <c r="Y27" i="13"/>
  <c r="Z23" i="13"/>
  <c r="Z25" i="13" s="1"/>
  <c r="O23" i="7"/>
  <c r="O25" i="7" s="1"/>
  <c r="Q24" i="7"/>
  <c r="R18" i="7"/>
  <c r="Z27" i="18"/>
  <c r="Z26" i="18"/>
  <c r="X27" i="15"/>
  <c r="Q31" i="17"/>
  <c r="Q32" i="17"/>
  <c r="R32" i="17"/>
  <c r="R31" i="17"/>
  <c r="S23" i="17"/>
  <c r="S25" i="17" s="1"/>
  <c r="T22" i="17"/>
  <c r="T21" i="17"/>
  <c r="R66" i="17"/>
  <c r="R28" i="17"/>
  <c r="R26" i="17"/>
  <c r="R65" i="17"/>
  <c r="R27" i="17"/>
  <c r="T24" i="17"/>
  <c r="X28" i="16"/>
  <c r="X61" i="16"/>
  <c r="X60" i="16"/>
  <c r="Y23" i="16"/>
  <c r="Y25" i="16" s="1"/>
  <c r="X26" i="16"/>
  <c r="X27" i="16"/>
  <c r="Z22" i="16"/>
  <c r="Z21" i="16"/>
  <c r="X26" i="15"/>
  <c r="Y23" i="15"/>
  <c r="Y25" i="15" s="1"/>
  <c r="Y28" i="15" s="1"/>
  <c r="Z22" i="15"/>
  <c r="Z21" i="15"/>
  <c r="Z27" i="8"/>
  <c r="N28" i="9"/>
  <c r="Z28" i="8"/>
  <c r="N26" i="9"/>
  <c r="P22" i="9"/>
  <c r="P22" i="5"/>
  <c r="P21" i="9"/>
  <c r="P21" i="5"/>
  <c r="O27" i="5"/>
  <c r="O26" i="5"/>
  <c r="O28" i="5"/>
  <c r="Q24" i="9"/>
  <c r="R18" i="9"/>
  <c r="R18" i="5"/>
  <c r="Q24" i="5"/>
  <c r="U20" i="17"/>
  <c r="U19" i="17"/>
  <c r="Q20" i="7"/>
  <c r="Q20" i="9"/>
  <c r="Q20" i="5"/>
  <c r="Q19" i="9"/>
  <c r="Q19" i="7"/>
  <c r="Q19" i="5"/>
  <c r="Z27" i="12" l="1"/>
  <c r="Z26" i="12"/>
  <c r="O26" i="9"/>
  <c r="O28" i="9"/>
  <c r="Z23" i="15"/>
  <c r="Z25" i="15" s="1"/>
  <c r="Z23" i="10"/>
  <c r="Z25" i="10" s="1"/>
  <c r="Z28" i="10" s="1"/>
  <c r="Q21" i="7"/>
  <c r="Q22" i="7"/>
  <c r="O27" i="7"/>
  <c r="O28" i="7"/>
  <c r="O26" i="7"/>
  <c r="Y26" i="10"/>
  <c r="Y28" i="10"/>
  <c r="Y27" i="10"/>
  <c r="Z27" i="13"/>
  <c r="Z28" i="13"/>
  <c r="Z26" i="13"/>
  <c r="P23" i="7"/>
  <c r="P25" i="7" s="1"/>
  <c r="P23" i="5"/>
  <c r="P25" i="5" s="1"/>
  <c r="P28" i="5" s="1"/>
  <c r="R24" i="7"/>
  <c r="S18" i="7"/>
  <c r="S66" i="17"/>
  <c r="S30" i="17"/>
  <c r="S65" i="17"/>
  <c r="S27" i="17"/>
  <c r="S28" i="17"/>
  <c r="S26" i="17"/>
  <c r="T23" i="17"/>
  <c r="T25" i="17" s="1"/>
  <c r="T30" i="17" s="1"/>
  <c r="U21" i="17"/>
  <c r="U22" i="17"/>
  <c r="U24" i="17"/>
  <c r="Y27" i="15"/>
  <c r="P23" i="9"/>
  <c r="P25" i="9" s="1"/>
  <c r="P28" i="9" s="1"/>
  <c r="Y28" i="16"/>
  <c r="Y61" i="16"/>
  <c r="Y60" i="16"/>
  <c r="Y27" i="16"/>
  <c r="Y26" i="16"/>
  <c r="Y26" i="15"/>
  <c r="Z23" i="16"/>
  <c r="Z25" i="16" s="1"/>
  <c r="Z28" i="15"/>
  <c r="Z27" i="15"/>
  <c r="Z26" i="15"/>
  <c r="Q22" i="5"/>
  <c r="Q22" i="9"/>
  <c r="Q21" i="5"/>
  <c r="Q21" i="9"/>
  <c r="S18" i="9"/>
  <c r="R24" i="9"/>
  <c r="P26" i="9"/>
  <c r="S18" i="5"/>
  <c r="R24" i="5"/>
  <c r="P26" i="5"/>
  <c r="R20" i="7"/>
  <c r="R20" i="9"/>
  <c r="R19" i="9"/>
  <c r="R19" i="7"/>
  <c r="V20" i="17"/>
  <c r="R19" i="5"/>
  <c r="R20" i="5"/>
  <c r="V19" i="17"/>
  <c r="P27" i="5" l="1"/>
  <c r="Q23" i="7"/>
  <c r="Q25" i="7" s="1"/>
  <c r="Q27" i="7" s="1"/>
  <c r="Q23" i="9"/>
  <c r="Q25" i="9" s="1"/>
  <c r="Q27" i="9" s="1"/>
  <c r="Z27" i="10"/>
  <c r="Z26" i="10"/>
  <c r="R21" i="7"/>
  <c r="R22" i="7"/>
  <c r="P28" i="7"/>
  <c r="P27" i="7"/>
  <c r="P26" i="7"/>
  <c r="P27" i="9"/>
  <c r="Q23" i="5"/>
  <c r="Q25" i="5" s="1"/>
  <c r="Q27" i="5" s="1"/>
  <c r="Q26" i="7"/>
  <c r="S24" i="7"/>
  <c r="T18" i="7"/>
  <c r="S31" i="17"/>
  <c r="S32" i="17"/>
  <c r="T32" i="17"/>
  <c r="T31" i="17"/>
  <c r="U23" i="17"/>
  <c r="U25" i="17" s="1"/>
  <c r="U28" i="17" s="1"/>
  <c r="V21" i="17"/>
  <c r="V22" i="17"/>
  <c r="T66" i="17"/>
  <c r="T65" i="17"/>
  <c r="T28" i="17"/>
  <c r="T27" i="17"/>
  <c r="T26" i="17"/>
  <c r="V24" i="17"/>
  <c r="Z61" i="16"/>
  <c r="Z60" i="16"/>
  <c r="Z27" i="16"/>
  <c r="Z28" i="16"/>
  <c r="Z26" i="16"/>
  <c r="R22" i="5"/>
  <c r="R21" i="9"/>
  <c r="R21" i="5"/>
  <c r="R22" i="9"/>
  <c r="S24" i="9"/>
  <c r="T18" i="9"/>
  <c r="T18" i="5"/>
  <c r="S24" i="5"/>
  <c r="S19" i="5"/>
  <c r="S20" i="9"/>
  <c r="W20" i="17"/>
  <c r="S19" i="9"/>
  <c r="W19" i="17"/>
  <c r="S19" i="7"/>
  <c r="S20" i="5"/>
  <c r="S20" i="7"/>
  <c r="Q26" i="5" l="1"/>
  <c r="Q28" i="5"/>
  <c r="R23" i="5"/>
  <c r="R25" i="5" s="1"/>
  <c r="R27" i="5" s="1"/>
  <c r="Q28" i="7"/>
  <c r="Q26" i="9"/>
  <c r="Q28" i="9"/>
  <c r="S22" i="7"/>
  <c r="S21" i="7"/>
  <c r="S23" i="7" s="1"/>
  <c r="S25" i="7" s="1"/>
  <c r="S28" i="7" s="1"/>
  <c r="R23" i="7"/>
  <c r="R25" i="7" s="1"/>
  <c r="T24" i="7"/>
  <c r="U18" i="7"/>
  <c r="U65" i="17"/>
  <c r="U30" i="17"/>
  <c r="U27" i="17"/>
  <c r="U26" i="17"/>
  <c r="U66" i="17"/>
  <c r="V23" i="17"/>
  <c r="V25" i="17" s="1"/>
  <c r="V30" i="17" s="1"/>
  <c r="W22" i="17"/>
  <c r="W21" i="17"/>
  <c r="W24" i="17"/>
  <c r="R23" i="9"/>
  <c r="R25" i="9" s="1"/>
  <c r="R27" i="9" s="1"/>
  <c r="S22" i="5"/>
  <c r="S21" i="9"/>
  <c r="S21" i="5"/>
  <c r="S22" i="9"/>
  <c r="R26" i="5"/>
  <c r="U18" i="5"/>
  <c r="T24" i="5"/>
  <c r="U18" i="9"/>
  <c r="T24" i="9"/>
  <c r="T20" i="7"/>
  <c r="X20" i="17"/>
  <c r="X19" i="17"/>
  <c r="T19" i="7"/>
  <c r="T19" i="9"/>
  <c r="T19" i="5"/>
  <c r="T20" i="5"/>
  <c r="T20" i="9"/>
  <c r="R28" i="5" l="1"/>
  <c r="S23" i="5"/>
  <c r="S25" i="5" s="1"/>
  <c r="S27" i="5" s="1"/>
  <c r="T21" i="7"/>
  <c r="T22" i="7"/>
  <c r="R27" i="7"/>
  <c r="R28" i="7"/>
  <c r="R26" i="7"/>
  <c r="S27" i="7"/>
  <c r="S26" i="7"/>
  <c r="U24" i="7"/>
  <c r="V18" i="7"/>
  <c r="R26" i="9"/>
  <c r="V32" i="17"/>
  <c r="V31" i="17"/>
  <c r="U31" i="17"/>
  <c r="U32" i="17"/>
  <c r="R28" i="9"/>
  <c r="W23" i="17"/>
  <c r="W25" i="17" s="1"/>
  <c r="W30" i="17" s="1"/>
  <c r="X22" i="17"/>
  <c r="X21" i="17"/>
  <c r="V66" i="17"/>
  <c r="V28" i="17"/>
  <c r="V26" i="17"/>
  <c r="V27" i="17"/>
  <c r="V65" i="17"/>
  <c r="X24" i="17"/>
  <c r="S23" i="9"/>
  <c r="S25" i="9" s="1"/>
  <c r="S26" i="9" s="1"/>
  <c r="T21" i="9"/>
  <c r="T21" i="5"/>
  <c r="T22" i="9"/>
  <c r="T22" i="5"/>
  <c r="U24" i="9"/>
  <c r="V18" i="9"/>
  <c r="V18" i="5"/>
  <c r="U24" i="5"/>
  <c r="U19" i="7"/>
  <c r="U20" i="7"/>
  <c r="U19" i="5"/>
  <c r="U20" i="5"/>
  <c r="U19" i="9"/>
  <c r="U20" i="9"/>
  <c r="Y19" i="17"/>
  <c r="Y20" i="17"/>
  <c r="S26" i="5" l="1"/>
  <c r="S28" i="5"/>
  <c r="X23" i="17"/>
  <c r="X25" i="17" s="1"/>
  <c r="X30" i="17" s="1"/>
  <c r="U22" i="7"/>
  <c r="U21" i="7"/>
  <c r="T23" i="7"/>
  <c r="T25" i="7" s="1"/>
  <c r="V24" i="7"/>
  <c r="W18" i="7"/>
  <c r="W31" i="17"/>
  <c r="W32" i="17"/>
  <c r="Y21" i="17"/>
  <c r="Y22" i="17"/>
  <c r="Y24" i="17"/>
  <c r="W66" i="17"/>
  <c r="W65" i="17"/>
  <c r="W28" i="17"/>
  <c r="W27" i="17"/>
  <c r="W26" i="17"/>
  <c r="S27" i="9"/>
  <c r="T23" i="5"/>
  <c r="T25" i="5" s="1"/>
  <c r="T28" i="5" s="1"/>
  <c r="S28" i="9"/>
  <c r="T23" i="9"/>
  <c r="T25" i="9" s="1"/>
  <c r="T27" i="9" s="1"/>
  <c r="U22" i="5"/>
  <c r="U22" i="9"/>
  <c r="U21" i="5"/>
  <c r="U23" i="5" s="1"/>
  <c r="U25" i="5" s="1"/>
  <c r="U21" i="9"/>
  <c r="W18" i="9"/>
  <c r="V24" i="9"/>
  <c r="W18" i="5"/>
  <c r="V24" i="5"/>
  <c r="V19" i="7"/>
  <c r="Z20" i="17"/>
  <c r="V20" i="7"/>
  <c r="V20" i="9"/>
  <c r="V19" i="9"/>
  <c r="Z19" i="17"/>
  <c r="V19" i="5"/>
  <c r="V20" i="5"/>
  <c r="U23" i="7" l="1"/>
  <c r="U25" i="7" s="1"/>
  <c r="U28" i="7" s="1"/>
  <c r="V22" i="7"/>
  <c r="V21" i="7"/>
  <c r="T27" i="7"/>
  <c r="T26" i="7"/>
  <c r="T28" i="7"/>
  <c r="U23" i="9"/>
  <c r="U25" i="9" s="1"/>
  <c r="U27" i="9" s="1"/>
  <c r="W24" i="7"/>
  <c r="X18" i="7"/>
  <c r="T26" i="9"/>
  <c r="T26" i="5"/>
  <c r="X32" i="17"/>
  <c r="X31" i="17"/>
  <c r="Y23" i="17"/>
  <c r="Y25" i="17" s="1"/>
  <c r="Y30" i="17" s="1"/>
  <c r="Z21" i="17"/>
  <c r="Z22" i="17"/>
  <c r="Z24" i="17"/>
  <c r="X65" i="17"/>
  <c r="X26" i="17"/>
  <c r="X66" i="17"/>
  <c r="X28" i="17"/>
  <c r="X27" i="17"/>
  <c r="T28" i="9"/>
  <c r="T27" i="5"/>
  <c r="V21" i="5"/>
  <c r="V22" i="9"/>
  <c r="V22" i="5"/>
  <c r="V21" i="9"/>
  <c r="X18" i="5"/>
  <c r="W24" i="5"/>
  <c r="U26" i="9"/>
  <c r="U28" i="9"/>
  <c r="W24" i="9"/>
  <c r="X18" i="9"/>
  <c r="U28" i="5"/>
  <c r="U26" i="5"/>
  <c r="U27" i="5"/>
  <c r="W20" i="7"/>
  <c r="W20" i="5"/>
  <c r="W19" i="9"/>
  <c r="W20" i="9"/>
  <c r="W19" i="7"/>
  <c r="W19" i="5"/>
  <c r="AA20" i="17"/>
  <c r="AA19" i="17"/>
  <c r="U26" i="7" l="1"/>
  <c r="U27" i="7"/>
  <c r="V23" i="7"/>
  <c r="V25" i="7" s="1"/>
  <c r="V26" i="7" s="1"/>
  <c r="V28" i="7"/>
  <c r="W21" i="7"/>
  <c r="W22" i="7"/>
  <c r="V23" i="9"/>
  <c r="V25" i="9" s="1"/>
  <c r="V27" i="9" s="1"/>
  <c r="X24" i="7"/>
  <c r="Y18" i="7"/>
  <c r="Y31" i="17"/>
  <c r="Y32" i="17"/>
  <c r="Z23" i="17"/>
  <c r="Z25" i="17" s="1"/>
  <c r="AA21" i="17"/>
  <c r="AA22" i="17"/>
  <c r="Y66" i="17"/>
  <c r="Y65" i="17"/>
  <c r="Y28" i="17"/>
  <c r="Y27" i="17"/>
  <c r="Y26" i="17"/>
  <c r="AA24" i="17"/>
  <c r="V23" i="5"/>
  <c r="V25" i="5" s="1"/>
  <c r="V27" i="5" s="1"/>
  <c r="W22" i="5"/>
  <c r="W21" i="9"/>
  <c r="W22" i="9"/>
  <c r="W21" i="5"/>
  <c r="Y18" i="9"/>
  <c r="X24" i="9"/>
  <c r="Y18" i="5"/>
  <c r="X24" i="5"/>
  <c r="X19" i="7"/>
  <c r="X19" i="9"/>
  <c r="AB19" i="17"/>
  <c r="X19" i="5"/>
  <c r="X20" i="5"/>
  <c r="X20" i="9"/>
  <c r="AB20" i="17"/>
  <c r="X20" i="7"/>
  <c r="V27" i="7" l="1"/>
  <c r="X22" i="7"/>
  <c r="X21" i="7"/>
  <c r="V26" i="9"/>
  <c r="V28" i="9"/>
  <c r="W23" i="7"/>
  <c r="W25" i="7" s="1"/>
  <c r="Y24" i="7"/>
  <c r="Z18" i="7"/>
  <c r="Z66" i="17"/>
  <c r="Z30" i="17"/>
  <c r="Z27" i="17"/>
  <c r="Z28" i="17"/>
  <c r="Z65" i="17"/>
  <c r="Z26" i="17"/>
  <c r="AA23" i="17"/>
  <c r="AA25" i="17" s="1"/>
  <c r="AA30" i="17" s="1"/>
  <c r="AB21" i="17"/>
  <c r="AB22" i="17"/>
  <c r="AB24" i="17"/>
  <c r="V28" i="5"/>
  <c r="V26" i="5"/>
  <c r="W23" i="5"/>
  <c r="W25" i="5" s="1"/>
  <c r="W26" i="5" s="1"/>
  <c r="W23" i="9"/>
  <c r="W25" i="9" s="1"/>
  <c r="W27" i="9" s="1"/>
  <c r="X21" i="5"/>
  <c r="X21" i="9"/>
  <c r="X22" i="5"/>
  <c r="X22" i="9"/>
  <c r="Z18" i="5"/>
  <c r="Y24" i="5"/>
  <c r="Y24" i="9"/>
  <c r="Z18" i="9"/>
  <c r="AC19" i="17"/>
  <c r="Y19" i="9"/>
  <c r="Y19" i="7"/>
  <c r="Y20" i="7"/>
  <c r="AC20" i="17"/>
  <c r="Y19" i="5"/>
  <c r="Y20" i="5"/>
  <c r="Y20" i="9"/>
  <c r="W28" i="9" l="1"/>
  <c r="Y22" i="7"/>
  <c r="Y21" i="7"/>
  <c r="X23" i="7"/>
  <c r="X25" i="7" s="1"/>
  <c r="W28" i="7"/>
  <c r="W26" i="7"/>
  <c r="W27" i="7"/>
  <c r="Z24" i="7"/>
  <c r="AA18" i="7"/>
  <c r="W27" i="5"/>
  <c r="W28" i="5"/>
  <c r="Z32" i="17"/>
  <c r="Z31" i="17"/>
  <c r="AA31" i="17"/>
  <c r="AA32" i="17"/>
  <c r="AB23" i="17"/>
  <c r="AB25" i="17" s="1"/>
  <c r="AC21" i="17"/>
  <c r="AC22" i="17"/>
  <c r="AA65" i="17"/>
  <c r="AA27" i="17"/>
  <c r="AA66" i="17"/>
  <c r="AA28" i="17"/>
  <c r="AA26" i="17"/>
  <c r="AC24" i="17"/>
  <c r="W26" i="9"/>
  <c r="X23" i="5"/>
  <c r="X25" i="5" s="1"/>
  <c r="X27" i="5" s="1"/>
  <c r="X23" i="9"/>
  <c r="X25" i="9" s="1"/>
  <c r="X27" i="9" s="1"/>
  <c r="Y22" i="9"/>
  <c r="Y22" i="5"/>
  <c r="Y21" i="9"/>
  <c r="Y21" i="5"/>
  <c r="AA18" i="9"/>
  <c r="Z24" i="9"/>
  <c r="AA18" i="5"/>
  <c r="Z24" i="5"/>
  <c r="Z19" i="7"/>
  <c r="Z19" i="5"/>
  <c r="AD19" i="17"/>
  <c r="Z20" i="5"/>
  <c r="AD20" i="17"/>
  <c r="Z20" i="9"/>
  <c r="Z20" i="7"/>
  <c r="Z19" i="9"/>
  <c r="X28" i="9" l="1"/>
  <c r="Y23" i="7"/>
  <c r="Y25" i="7" s="1"/>
  <c r="Z22" i="7"/>
  <c r="Z21" i="7"/>
  <c r="Z23" i="7" s="1"/>
  <c r="Z25" i="7" s="1"/>
  <c r="Z28" i="7" s="1"/>
  <c r="Y23" i="5"/>
  <c r="Y25" i="5" s="1"/>
  <c r="Y27" i="7"/>
  <c r="X26" i="7"/>
  <c r="X28" i="7"/>
  <c r="X27" i="7"/>
  <c r="Y23" i="9"/>
  <c r="Y25" i="9" s="1"/>
  <c r="Y27" i="9" s="1"/>
  <c r="X28" i="5"/>
  <c r="AA24" i="7"/>
  <c r="AB18" i="7"/>
  <c r="AB65" i="17"/>
  <c r="AB30" i="17"/>
  <c r="AB28" i="17"/>
  <c r="AB27" i="17"/>
  <c r="AB26" i="17"/>
  <c r="AB66" i="17"/>
  <c r="AC23" i="17"/>
  <c r="AC25" i="17" s="1"/>
  <c r="AD21" i="17"/>
  <c r="AD22" i="17"/>
  <c r="AD24" i="17"/>
  <c r="X26" i="5"/>
  <c r="X26" i="9"/>
  <c r="Z22" i="5"/>
  <c r="Z21" i="9"/>
  <c r="Z21" i="5"/>
  <c r="Z22" i="9"/>
  <c r="AA24" i="9"/>
  <c r="AB18" i="9"/>
  <c r="Y26" i="9"/>
  <c r="AB18" i="5"/>
  <c r="AA24" i="5"/>
  <c r="Y27" i="5"/>
  <c r="Y28" i="5"/>
  <c r="Y26" i="5"/>
  <c r="AA19" i="9"/>
  <c r="AE20" i="17"/>
  <c r="AE19" i="17"/>
  <c r="AA20" i="9"/>
  <c r="AA20" i="5"/>
  <c r="AA20" i="7"/>
  <c r="AA19" i="7"/>
  <c r="AA19" i="5"/>
  <c r="Z27" i="7" l="1"/>
  <c r="Z26" i="7"/>
  <c r="Y28" i="7"/>
  <c r="Y26" i="7"/>
  <c r="AA21" i="7"/>
  <c r="AA22" i="7"/>
  <c r="Y28" i="9"/>
  <c r="Z23" i="5"/>
  <c r="Z25" i="5" s="1"/>
  <c r="Z27" i="5" s="1"/>
  <c r="AB24" i="7"/>
  <c r="AC18" i="7"/>
  <c r="AB32" i="17"/>
  <c r="AB31" i="17"/>
  <c r="AC28" i="17"/>
  <c r="AC30" i="17"/>
  <c r="AC26" i="17"/>
  <c r="AC27" i="17"/>
  <c r="AC66" i="17"/>
  <c r="AC65" i="17"/>
  <c r="AD23" i="17"/>
  <c r="AD25" i="17" s="1"/>
  <c r="AE21" i="17"/>
  <c r="AE22" i="17"/>
  <c r="AE24" i="17"/>
  <c r="Z23" i="9"/>
  <c r="Z25" i="9" s="1"/>
  <c r="Z26" i="9" s="1"/>
  <c r="AA22" i="5"/>
  <c r="AA21" i="9"/>
  <c r="AA21" i="5"/>
  <c r="AA22" i="9"/>
  <c r="AC18" i="5"/>
  <c r="AB24" i="5"/>
  <c r="AC18" i="9"/>
  <c r="AB24" i="9"/>
  <c r="AB20" i="5"/>
  <c r="AB20" i="7"/>
  <c r="AB19" i="9"/>
  <c r="AB19" i="5"/>
  <c r="AB19" i="7"/>
  <c r="AB20" i="9"/>
  <c r="AA23" i="7" l="1"/>
  <c r="AA25" i="7" s="1"/>
  <c r="AA27" i="7" s="1"/>
  <c r="Z28" i="5"/>
  <c r="AA26" i="7"/>
  <c r="AB21" i="7"/>
  <c r="AB22" i="7"/>
  <c r="Z26" i="5"/>
  <c r="AA23" i="5"/>
  <c r="AA25" i="5" s="1"/>
  <c r="AA26" i="5" s="1"/>
  <c r="AC24" i="7"/>
  <c r="AD18" i="7"/>
  <c r="Z27" i="9"/>
  <c r="AC31" i="17"/>
  <c r="AC32" i="17"/>
  <c r="AD28" i="17"/>
  <c r="AD30" i="17"/>
  <c r="AD27" i="17"/>
  <c r="AD26" i="17"/>
  <c r="AD66" i="17"/>
  <c r="AD65" i="17"/>
  <c r="AE23" i="17"/>
  <c r="AE25" i="17" s="1"/>
  <c r="AE30" i="17" s="1"/>
  <c r="Z28" i="9"/>
  <c r="AA23" i="9"/>
  <c r="AA25" i="9" s="1"/>
  <c r="AA27" i="9" s="1"/>
  <c r="AB22" i="5"/>
  <c r="AB22" i="9"/>
  <c r="AB21" i="9"/>
  <c r="AB21" i="5"/>
  <c r="AC24" i="9"/>
  <c r="AD18" i="9"/>
  <c r="AD18" i="5"/>
  <c r="AC24" i="5"/>
  <c r="AC20" i="7"/>
  <c r="AC20" i="9"/>
  <c r="AC19" i="7"/>
  <c r="AC19" i="5"/>
  <c r="AC19" i="9"/>
  <c r="AC20" i="5"/>
  <c r="AA28" i="7" l="1"/>
  <c r="AA28" i="5"/>
  <c r="AA27" i="5"/>
  <c r="AC21" i="7"/>
  <c r="AC22" i="7"/>
  <c r="AB23" i="7"/>
  <c r="AB25" i="7" s="1"/>
  <c r="AD24" i="7"/>
  <c r="AE18" i="7"/>
  <c r="AE31" i="17"/>
  <c r="AE32" i="17"/>
  <c r="AA28" i="9"/>
  <c r="AD32" i="17"/>
  <c r="AD31" i="17"/>
  <c r="AE66" i="17"/>
  <c r="AE28" i="17"/>
  <c r="AE26" i="17"/>
  <c r="AE65" i="17"/>
  <c r="AE27" i="17"/>
  <c r="AA26" i="9"/>
  <c r="AB23" i="9"/>
  <c r="AB25" i="9" s="1"/>
  <c r="AB26" i="9" s="1"/>
  <c r="AB23" i="5"/>
  <c r="AB25" i="5" s="1"/>
  <c r="AB27" i="5" s="1"/>
  <c r="AC22" i="5"/>
  <c r="AC22" i="9"/>
  <c r="AC21" i="5"/>
  <c r="AC21" i="9"/>
  <c r="AE18" i="5"/>
  <c r="AD24" i="5"/>
  <c r="AE18" i="9"/>
  <c r="AD24" i="9"/>
  <c r="AD19" i="7"/>
  <c r="AD20" i="7"/>
  <c r="AD19" i="9"/>
  <c r="AD20" i="5"/>
  <c r="AD19" i="5"/>
  <c r="AD20" i="9"/>
  <c r="AB28" i="9" l="1"/>
  <c r="AD22" i="7"/>
  <c r="AD21" i="7"/>
  <c r="AB26" i="7"/>
  <c r="AB27" i="7"/>
  <c r="AB28" i="7"/>
  <c r="AC23" i="9"/>
  <c r="AC25" i="9" s="1"/>
  <c r="AC27" i="9" s="1"/>
  <c r="AC23" i="5"/>
  <c r="AC25" i="5" s="1"/>
  <c r="AC26" i="5" s="1"/>
  <c r="AC23" i="7"/>
  <c r="AC25" i="7" s="1"/>
  <c r="AB28" i="5"/>
  <c r="AE24" i="7"/>
  <c r="AB26" i="5"/>
  <c r="AB27" i="9"/>
  <c r="AD21" i="9"/>
  <c r="AD22" i="5"/>
  <c r="AD22" i="9"/>
  <c r="AD21" i="5"/>
  <c r="AE24" i="9"/>
  <c r="AE24" i="5"/>
  <c r="AE19" i="5"/>
  <c r="AE20" i="7"/>
  <c r="AE19" i="9"/>
  <c r="AE19" i="7"/>
  <c r="AE20" i="5"/>
  <c r="AE20" i="9"/>
  <c r="AC26" i="9" l="1"/>
  <c r="AC28" i="5"/>
  <c r="AC28" i="9"/>
  <c r="AC27" i="5"/>
  <c r="AE21" i="7"/>
  <c r="AE22" i="7"/>
  <c r="AD23" i="7"/>
  <c r="AD25" i="7" s="1"/>
  <c r="AC26" i="7"/>
  <c r="AC27" i="7"/>
  <c r="AC28" i="7"/>
  <c r="AD23" i="5"/>
  <c r="AD25" i="5" s="1"/>
  <c r="AD28" i="5" s="1"/>
  <c r="AD23" i="9"/>
  <c r="AD25" i="9" s="1"/>
  <c r="AD28" i="9" s="1"/>
  <c r="AE22" i="9"/>
  <c r="AE21" i="5"/>
  <c r="AE21" i="9"/>
  <c r="AE22" i="5"/>
  <c r="AD27" i="9" l="1"/>
  <c r="AD26" i="5"/>
  <c r="AE23" i="7"/>
  <c r="AE25" i="7" s="1"/>
  <c r="AE26" i="7" s="1"/>
  <c r="AD27" i="5"/>
  <c r="AD27" i="7"/>
  <c r="AD26" i="7"/>
  <c r="AD28" i="7"/>
  <c r="AE23" i="9"/>
  <c r="AE25" i="9" s="1"/>
  <c r="AE28" i="9" s="1"/>
  <c r="AD26" i="9"/>
  <c r="AE23" i="5"/>
  <c r="AE25" i="5" s="1"/>
  <c r="AE26" i="5" s="1"/>
  <c r="AE28" i="7" l="1"/>
  <c r="AE27" i="7"/>
  <c r="AE27" i="9"/>
  <c r="AE26" i="9"/>
  <c r="AE27" i="5"/>
  <c r="AE28" i="5"/>
</calcChain>
</file>

<file path=xl/sharedStrings.xml><?xml version="1.0" encoding="utf-8"?>
<sst xmlns="http://schemas.openxmlformats.org/spreadsheetml/2006/main" count="466" uniqueCount="43">
  <si>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</si>
  <si>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</si>
  <si>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</si>
  <si>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</si>
  <si>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</si>
  <si>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</si>
  <si>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</si>
  <si>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</si>
  <si>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</si>
  <si>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</si>
  <si>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</si>
  <si>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</si>
  <si>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</si>
  <si>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</si>
  <si>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</si>
  <si>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</si>
  <si>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</si>
  <si>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</si>
  <si>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</si>
  <si>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</si>
  <si>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</si>
  <si>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</si>
  <si>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</si>
  <si>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</si>
  <si>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</si>
  <si>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</si>
  <si>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</si>
  <si>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</si>
  <si>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</si>
  <si>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# #43 mix u''</t>
  </si>
  <si>
    <t># #43 mix u'</t>
  </si>
  <si>
    <t>#43</t>
  </si>
  <si>
    <t>µi</t>
  </si>
  <si>
    <t>5943003801</t>
  </si>
  <si>
    <t>2643540102</t>
  </si>
  <si>
    <t xml:space="preserve">FB-43-5622 </t>
  </si>
  <si>
    <t>2643803802</t>
  </si>
  <si>
    <t>2843009902</t>
  </si>
  <si>
    <t>Y</t>
  </si>
  <si>
    <t>G</t>
  </si>
  <si>
    <t>B</t>
  </si>
  <si>
    <t>BN-43-202</t>
  </si>
  <si>
    <t>2843000202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</si>
</sst>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000"/>
    <numFmt numFmtId="167" formatCode="0.000E+00"/>
  </numFmts>
  <fonts count="6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6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4" fillId="0" borderId="0" xfId="0" quotePrefix="1" applyFont="1"/>
    <xf numFmtId="165" fontId="0" fillId="3" borderId="0" xfId="0" applyNumberFormat="1" applyFill="1"/>
    <xf numFmtId="0" fontId="4" fillId="0" borderId="0" xfId="0" applyFont="1"/>
    <xf numFmtId="167" fontId="0" fillId="3" borderId="0" xfId="0" applyNumberFormat="1" applyFill="1"/>
    <xf numFmtId="49" fontId="5" fillId="0" borderId="0" xfId="0" quotePrefix="1" applyNumberFormat="1" applyFon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W0IYH!$A$26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W0IYH!$B$26:$AE$26</c:f>
              <c:numCache>
                <c:formatCode>0</c:formatCode>
                <c:ptCount val="30"/>
                <c:pt idx="0">
                  <c:v>78.955569109678706</c:v>
                </c:pt>
                <c:pt idx="1">
                  <c:v>138.75669450836901</c:v>
                </c:pt>
                <c:pt idx="2">
                  <c:v>401.337909681295</c:v>
                </c:pt>
                <c:pt idx="3">
                  <c:v>520.93797814186996</c:v>
                </c:pt>
                <c:pt idx="4">
                  <c:v>904.72269265323598</c:v>
                </c:pt>
                <c:pt idx="5">
                  <c:v>1427.5201502554301</c:v>
                </c:pt>
                <c:pt idx="6">
                  <c:v>2438.6181701226001</c:v>
                </c:pt>
                <c:pt idx="7">
                  <c:v>2982.81688941734</c:v>
                </c:pt>
                <c:pt idx="8">
                  <c:v>4001.1898331075599</c:v>
                </c:pt>
                <c:pt idx="9">
                  <c:v>4938.6958288876604</c:v>
                </c:pt>
                <c:pt idx="10">
                  <c:v>5380.2071124477498</c:v>
                </c:pt>
                <c:pt idx="11">
                  <c:v>5093.8319343006497</c:v>
                </c:pt>
                <c:pt idx="12">
                  <c:v>3328.0463039946699</c:v>
                </c:pt>
                <c:pt idx="13">
                  <c:v>2102.9052302042601</c:v>
                </c:pt>
                <c:pt idx="14">
                  <c:v>1393.67511200849</c:v>
                </c:pt>
                <c:pt idx="15">
                  <c:v>976.93940530886698</c:v>
                </c:pt>
                <c:pt idx="16">
                  <c:v>718.17090355479002</c:v>
                </c:pt>
                <c:pt idx="17">
                  <c:v>548.396040596131</c:v>
                </c:pt>
                <c:pt idx="18">
                  <c:v>432.00505543582602</c:v>
                </c:pt>
                <c:pt idx="19">
                  <c:v>349.57905636744101</c:v>
                </c:pt>
                <c:pt idx="20">
                  <c:v>289.39025304657503</c:v>
                </c:pt>
                <c:pt idx="21">
                  <c:v>243.97130550537199</c:v>
                </c:pt>
                <c:pt idx="22">
                  <c:v>208.73440961681601</c:v>
                </c:pt>
                <c:pt idx="23">
                  <c:v>180.72220683989801</c:v>
                </c:pt>
                <c:pt idx="24">
                  <c:v>157.972364043472</c:v>
                </c:pt>
                <c:pt idx="25">
                  <c:v>111.516275515098</c:v>
                </c:pt>
                <c:pt idx="26">
                  <c:v>90.280288852096604</c:v>
                </c:pt>
                <c:pt idx="27">
                  <c:v>74.546673697813105</c:v>
                </c:pt>
                <c:pt idx="28">
                  <c:v>62.677690573703401</c:v>
                </c:pt>
                <c:pt idx="29">
                  <c:v>53.554632428556801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0C-4BFD-8106-29F741A4B5B4}"/>
            </c:ext>
          </c:extLst>
        </c:ser>
        <c:ser>
          <c:idx val="1"/>
          <c:order val="1"/>
          <c:tx>
            <c:strRef>
              <c:f>W0IYH!$A$27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W0IYH!$B$27:$AE$27</c:f>
              <c:numCache>
                <c:formatCode>0</c:formatCode>
                <c:ptCount val="30"/>
                <c:pt idx="0">
                  <c:v>895.66068054858704</c:v>
                </c:pt>
                <c:pt idx="1">
                  <c:v>1039.2707410043599</c:v>
                </c:pt>
                <c:pt idx="2">
                  <c:v>1418.0529037809599</c:v>
                </c:pt>
                <c:pt idx="3">
                  <c:v>1559.95001508275</c:v>
                </c:pt>
                <c:pt idx="4">
                  <c:v>1932.0234231338</c:v>
                </c:pt>
                <c:pt idx="5">
                  <c:v>2251.7633353043502</c:v>
                </c:pt>
                <c:pt idx="6">
                  <c:v>2483.7223484689798</c:v>
                </c:pt>
                <c:pt idx="7">
                  <c:v>2451.9008559007498</c:v>
                </c:pt>
                <c:pt idx="8">
                  <c:v>2090.7183892237599</c:v>
                </c:pt>
                <c:pt idx="9">
                  <c:v>1198.3683101628701</c:v>
                </c:pt>
                <c:pt idx="10">
                  <c:v>-149.641942002934</c:v>
                </c:pt>
                <c:pt idx="11">
                  <c:v>-1491.01680828035</c:v>
                </c:pt>
                <c:pt idx="12">
                  <c:v>-2840.77970414936</c:v>
                </c:pt>
                <c:pt idx="13">
                  <c:v>-2814.9800994954599</c:v>
                </c:pt>
                <c:pt idx="14">
                  <c:v>-2522.2911746197501</c:v>
                </c:pt>
                <c:pt idx="15">
                  <c:v>-2227.53465807677</c:v>
                </c:pt>
                <c:pt idx="16">
                  <c:v>-1978.5391822110801</c:v>
                </c:pt>
                <c:pt idx="17">
                  <c:v>-1774.40766332466</c:v>
                </c:pt>
                <c:pt idx="18">
                  <c:v>-1606.43879720375</c:v>
                </c:pt>
                <c:pt idx="19">
                  <c:v>-1466.4333150713501</c:v>
                </c:pt>
                <c:pt idx="20">
                  <c:v>-1348.1761079226101</c:v>
                </c:pt>
                <c:pt idx="21">
                  <c:v>-1247.1752169562999</c:v>
                </c:pt>
                <c:pt idx="22">
                  <c:v>-1160.1136314968401</c:v>
                </c:pt>
                <c:pt idx="23">
                  <c:v>-1084.43149133201</c:v>
                </c:pt>
                <c:pt idx="24">
                  <c:v>-1018.13199070342</c:v>
                </c:pt>
                <c:pt idx="25">
                  <c:v>-865.52318251475401</c:v>
                </c:pt>
                <c:pt idx="26">
                  <c:v>-785.00925490147699</c:v>
                </c:pt>
                <c:pt idx="27">
                  <c:v>-718.58156909950196</c:v>
                </c:pt>
                <c:pt idx="28">
                  <c:v>-662.823421824599</c:v>
                </c:pt>
                <c:pt idx="29">
                  <c:v>-615.37877875481502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0C-4BFD-8106-29F741A4B5B4}"/>
            </c:ext>
          </c:extLst>
        </c:ser>
        <c:ser>
          <c:idx val="2"/>
          <c:order val="2"/>
          <c:tx>
            <c:strRef>
              <c:f>W0IYH!$A$28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W0IYH!$B$28:$AE$28</c:f>
              <c:numCache>
                <c:formatCode>0</c:formatCode>
                <c:ptCount val="30"/>
                <c:pt idx="0">
                  <c:v>899.13404816756395</c:v>
                </c:pt>
                <c:pt idx="1">
                  <c:v>1048.4927722109678</c:v>
                </c:pt>
                <c:pt idx="2">
                  <c:v>1473.7524065015002</c:v>
                </c:pt>
                <c:pt idx="3">
                  <c:v>1644.6338275212545</c:v>
                </c:pt>
                <c:pt idx="4">
                  <c:v>2133.3629925869077</c:v>
                </c:pt>
                <c:pt idx="5">
                  <c:v>2666.1305102350593</c:v>
                </c:pt>
                <c:pt idx="6">
                  <c:v>3480.7664793743866</c:v>
                </c:pt>
                <c:pt idx="7">
                  <c:v>3861.2192896752399</c:v>
                </c:pt>
                <c:pt idx="8">
                  <c:v>4514.4903880284983</c:v>
                </c:pt>
                <c:pt idx="9">
                  <c:v>5082.0077820754059</c:v>
                </c:pt>
                <c:pt idx="10">
                  <c:v>5382.2877369794869</c:v>
                </c:pt>
                <c:pt idx="11">
                  <c:v>5307.5658165938576</c:v>
                </c:pt>
                <c:pt idx="12">
                  <c:v>4375.6052757349471</c:v>
                </c:pt>
                <c:pt idx="13">
                  <c:v>3513.7335368203294</c:v>
                </c:pt>
                <c:pt idx="14">
                  <c:v>2881.7153029743513</c:v>
                </c:pt>
                <c:pt idx="15">
                  <c:v>2432.3489171125175</c:v>
                </c:pt>
                <c:pt idx="16">
                  <c:v>2104.848389375632</c:v>
                </c:pt>
                <c:pt idx="17">
                  <c:v>1857.2185582226969</c:v>
                </c:pt>
                <c:pt idx="18">
                  <c:v>1663.5125419074971</c:v>
                </c:pt>
                <c:pt idx="19">
                  <c:v>1507.5251852628865</c:v>
                </c:pt>
                <c:pt idx="20">
                  <c:v>1378.8856140128946</c:v>
                </c:pt>
                <c:pt idx="21">
                  <c:v>1270.8139201708443</c:v>
                </c:pt>
                <c:pt idx="22">
                  <c:v>1178.7424195908395</c:v>
                </c:pt>
                <c:pt idx="23">
                  <c:v>1099.3871817688478</c:v>
                </c:pt>
                <c:pt idx="24">
                  <c:v>1030.3145239659548</c:v>
                </c:pt>
                <c:pt idx="25">
                  <c:v>872.67763760464697</c:v>
                </c:pt>
                <c:pt idx="26">
                  <c:v>790.18356148188127</c:v>
                </c:pt>
                <c:pt idx="27">
                  <c:v>722.4380098035474</c:v>
                </c:pt>
                <c:pt idx="28">
                  <c:v>665.78028013371147</c:v>
                </c:pt>
                <c:pt idx="29">
                  <c:v>617.70473528727734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0C-4BFD-8106-29F741A4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56280"/>
        <c:axId val="401434544"/>
      </c:scatterChart>
      <c:valAx>
        <c:axId val="31965628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1434544"/>
        <c:crosses val="autoZero"/>
        <c:crossBetween val="midCat"/>
      </c:valAx>
      <c:valAx>
        <c:axId val="401434544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96562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W0IYH!$A$19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225.2145047942943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228.00979422744271</c:v>
                </c:pt>
                <c:pt idx="13">
                  <c:v>225.36799136854913</c:v>
                </c:pt>
                <c:pt idx="14">
                  <c:v>222.97753737541694</c:v>
                </c:pt>
                <c:pt idx="15">
                  <c:v>220.35678292020023</c:v>
                </c:pt>
                <c:pt idx="16">
                  <c:v>217.06608960838042</c:v>
                </c:pt>
                <c:pt idx="17">
                  <c:v>213.22069353441981</c:v>
                </c:pt>
                <c:pt idx="18">
                  <c:v>209.03846506168489</c:v>
                </c:pt>
                <c:pt idx="19">
                  <c:v>204.73723202154821</c:v>
                </c:pt>
                <c:pt idx="20">
                  <c:v>200.53452484557238</c:v>
                </c:pt>
                <c:pt idx="21">
                  <c:v>196.57799918148302</c:v>
                </c:pt>
                <c:pt idx="22">
                  <c:v>192.85820699060739</c:v>
                </c:pt>
                <c:pt idx="23">
                  <c:v>189.34425110185933</c:v>
                </c:pt>
                <c:pt idx="24">
                  <c:v>186.00523135923862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0-48A6-9891-87CEC481E430}"/>
            </c:ext>
          </c:extLst>
        </c:ser>
        <c:ser>
          <c:idx val="1"/>
          <c:order val="1"/>
          <c:tx>
            <c:strRef>
              <c:f>W0IYH!$A$20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463.49351078451394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332.02247684063661</c:v>
                </c:pt>
                <c:pt idx="13">
                  <c:v>304.38179655231596</c:v>
                </c:pt>
                <c:pt idx="14">
                  <c:v>280.1522317541145</c:v>
                </c:pt>
                <c:pt idx="15">
                  <c:v>259.73537990020242</c:v>
                </c:pt>
                <c:pt idx="16">
                  <c:v>242.51550788886269</c:v>
                </c:pt>
                <c:pt idx="17">
                  <c:v>227.72891283719312</c:v>
                </c:pt>
                <c:pt idx="18">
                  <c:v>214.6119124484959</c:v>
                </c:pt>
                <c:pt idx="19">
                  <c:v>202.41773734404495</c:v>
                </c:pt>
                <c:pt idx="20">
                  <c:v>190.79626583866462</c:v>
                </c:pt>
                <c:pt idx="21">
                  <c:v>179.79805050614442</c:v>
                </c:pt>
                <c:pt idx="22">
                  <c:v>169.49140872873539</c:v>
                </c:pt>
                <c:pt idx="23">
                  <c:v>159.94463463179537</c:v>
                </c:pt>
                <c:pt idx="24">
                  <c:v>151.21376106185281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90-48A6-9891-87CEC481E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435720"/>
        <c:axId val="401436112"/>
      </c:scatterChart>
      <c:valAx>
        <c:axId val="40143572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436112"/>
        <c:crosses val="autoZero"/>
        <c:crossBetween val="midCat"/>
      </c:valAx>
      <c:valAx>
        <c:axId val="401436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4357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'FT114-43'!$A$26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'FT114-43'!$B$26:$AE$26</c:f>
              <c:numCache>
                <c:formatCode>0</c:formatCode>
                <c:ptCount val="30"/>
                <c:pt idx="0">
                  <c:v>36.543023078358701</c:v>
                </c:pt>
                <c:pt idx="1">
                  <c:v>62.053429968701899</c:v>
                </c:pt>
                <c:pt idx="2">
                  <c:v>158.64163537827201</c:v>
                </c:pt>
                <c:pt idx="3">
                  <c:v>195.480865033312</c:v>
                </c:pt>
                <c:pt idx="4">
                  <c:v>291.41888048280799</c:v>
                </c:pt>
                <c:pt idx="5">
                  <c:v>387.75729549720597</c:v>
                </c:pt>
                <c:pt idx="6">
                  <c:v>481.36181121961698</c:v>
                </c:pt>
                <c:pt idx="7">
                  <c:v>572.04394669853104</c:v>
                </c:pt>
                <c:pt idx="8">
                  <c:v>662.04687818050695</c:v>
                </c:pt>
                <c:pt idx="9">
                  <c:v>752.00498102275196</c:v>
                </c:pt>
                <c:pt idx="10">
                  <c:v>842.183600916979</c:v>
                </c:pt>
                <c:pt idx="11">
                  <c:v>933.22140905130902</c:v>
                </c:pt>
                <c:pt idx="12">
                  <c:v>1120.01045446579</c:v>
                </c:pt>
                <c:pt idx="13">
                  <c:v>1314.2962627254999</c:v>
                </c:pt>
                <c:pt idx="14">
                  <c:v>1518.0716863766199</c:v>
                </c:pt>
                <c:pt idx="15">
                  <c:v>1729.2429714104201</c:v>
                </c:pt>
                <c:pt idx="16">
                  <c:v>1942.8200970484399</c:v>
                </c:pt>
                <c:pt idx="17">
                  <c:v>2156.0683306972901</c:v>
                </c:pt>
                <c:pt idx="18">
                  <c:v>2366.1560492097301</c:v>
                </c:pt>
                <c:pt idx="19">
                  <c:v>2568.19515669358</c:v>
                </c:pt>
                <c:pt idx="20">
                  <c:v>2756.9144813540101</c:v>
                </c:pt>
                <c:pt idx="21">
                  <c:v>2928.98385069696</c:v>
                </c:pt>
                <c:pt idx="22">
                  <c:v>3080.3830835899898</c:v>
                </c:pt>
                <c:pt idx="23">
                  <c:v>3208.0180237076102</c:v>
                </c:pt>
                <c:pt idx="24">
                  <c:v>3310.3159864230702</c:v>
                </c:pt>
                <c:pt idx="25">
                  <c:v>3455.6756394322201</c:v>
                </c:pt>
                <c:pt idx="26">
                  <c:v>3421.6910305769102</c:v>
                </c:pt>
                <c:pt idx="27">
                  <c:v>3300.7586988101598</c:v>
                </c:pt>
                <c:pt idx="28">
                  <c:v>3118.1403549182401</c:v>
                </c:pt>
                <c:pt idx="29">
                  <c:v>2904.6686239871101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07-4E24-A90D-BC670032AB6C}"/>
            </c:ext>
          </c:extLst>
        </c:ser>
        <c:ser>
          <c:idx val="1"/>
          <c:order val="1"/>
          <c:tx>
            <c:strRef>
              <c:f>'FT114-43'!$A$27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'FT114-43'!$B$27:$AE$27</c:f>
              <c:numCache>
                <c:formatCode>0</c:formatCode>
                <c:ptCount val="30"/>
                <c:pt idx="0">
                  <c:v>433.79254421212403</c:v>
                </c:pt>
                <c:pt idx="1">
                  <c:v>495.13027149073298</c:v>
                </c:pt>
                <c:pt idx="2">
                  <c:v>640.050035421698</c:v>
                </c:pt>
                <c:pt idx="3">
                  <c:v>689.82326503807803</c:v>
                </c:pt>
                <c:pt idx="4">
                  <c:v>810.90992488047004</c:v>
                </c:pt>
                <c:pt idx="5">
                  <c:v>909.70792456196602</c:v>
                </c:pt>
                <c:pt idx="6">
                  <c:v>988.96769714155801</c:v>
                </c:pt>
                <c:pt idx="7">
                  <c:v>1058.73756643311</c:v>
                </c:pt>
                <c:pt idx="8">
                  <c:v>1126.7962309279301</c:v>
                </c:pt>
                <c:pt idx="9">
                  <c:v>1194.26942622973</c:v>
                </c:pt>
                <c:pt idx="10">
                  <c:v>1259.93546810827</c:v>
                </c:pt>
                <c:pt idx="11">
                  <c:v>1320.2413635170001</c:v>
                </c:pt>
                <c:pt idx="12">
                  <c:v>1414.3053853112699</c:v>
                </c:pt>
                <c:pt idx="13">
                  <c:v>1474.6002262618799</c:v>
                </c:pt>
                <c:pt idx="14">
                  <c:v>1506.6667857213699</c:v>
                </c:pt>
                <c:pt idx="15">
                  <c:v>1518.06721843381</c:v>
                </c:pt>
                <c:pt idx="16">
                  <c:v>1511.3339231769201</c:v>
                </c:pt>
                <c:pt idx="17">
                  <c:v>1485.46788345087</c:v>
                </c:pt>
                <c:pt idx="18">
                  <c:v>1436.95444930691</c:v>
                </c:pt>
                <c:pt idx="19">
                  <c:v>1360.08771571284</c:v>
                </c:pt>
                <c:pt idx="20">
                  <c:v>1251.08917614391</c:v>
                </c:pt>
                <c:pt idx="21">
                  <c:v>1111.1363678058001</c:v>
                </c:pt>
                <c:pt idx="22">
                  <c:v>944.03025409263898</c:v>
                </c:pt>
                <c:pt idx="23">
                  <c:v>755.08431716705695</c:v>
                </c:pt>
                <c:pt idx="24">
                  <c:v>550.31979964318805</c:v>
                </c:pt>
                <c:pt idx="25">
                  <c:v>-105.047385570393</c:v>
                </c:pt>
                <c:pt idx="26">
                  <c:v>-527.13481881344899</c:v>
                </c:pt>
                <c:pt idx="27">
                  <c:v>-899.69500075661097</c:v>
                </c:pt>
                <c:pt idx="28">
                  <c:v>-1202.52637044163</c:v>
                </c:pt>
                <c:pt idx="29">
                  <c:v>-1429.84750257824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07-4E24-A90D-BC670032AB6C}"/>
            </c:ext>
          </c:extLst>
        </c:ser>
        <c:ser>
          <c:idx val="2"/>
          <c:order val="2"/>
          <c:tx>
            <c:strRef>
              <c:f>'FT114-43'!$A$28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'FT114-43'!$B$28:$AE$28</c:f>
              <c:numCache>
                <c:formatCode>0</c:formatCode>
                <c:ptCount val="30"/>
                <c:pt idx="0">
                  <c:v>435.32902952793421</c:v>
                </c:pt>
                <c:pt idx="1">
                  <c:v>499.00362114654797</c:v>
                </c:pt>
                <c:pt idx="2">
                  <c:v>659.41733092087406</c:v>
                </c:pt>
                <c:pt idx="3">
                  <c:v>716.9859870192488</c:v>
                </c:pt>
                <c:pt idx="4">
                  <c:v>861.6843216465661</c:v>
                </c:pt>
                <c:pt idx="5">
                  <c:v>988.90051482550427</c:v>
                </c:pt>
                <c:pt idx="6">
                  <c:v>1099.8937672748702</c:v>
                </c:pt>
                <c:pt idx="7">
                  <c:v>1203.3949939779272</c:v>
                </c:pt>
                <c:pt idx="8">
                  <c:v>1306.8954873829598</c:v>
                </c:pt>
                <c:pt idx="9">
                  <c:v>1411.3082419904299</c:v>
                </c:pt>
                <c:pt idx="10">
                  <c:v>1515.4902181969685</c:v>
                </c:pt>
                <c:pt idx="11">
                  <c:v>1616.7682135213254</c:v>
                </c:pt>
                <c:pt idx="12">
                  <c:v>1804.0740397869276</c:v>
                </c:pt>
                <c:pt idx="13">
                  <c:v>1975.3026333971723</c:v>
                </c:pt>
                <c:pt idx="14">
                  <c:v>2138.8282886137258</c:v>
                </c:pt>
                <c:pt idx="15">
                  <c:v>2301.0452698405788</c:v>
                </c:pt>
                <c:pt idx="16">
                  <c:v>2461.4386356033033</c:v>
                </c:pt>
                <c:pt idx="17">
                  <c:v>2618.2523712201246</c:v>
                </c:pt>
                <c:pt idx="18">
                  <c:v>2768.3086060977239</c:v>
                </c:pt>
                <c:pt idx="19">
                  <c:v>2906.108215001178</c:v>
                </c:pt>
                <c:pt idx="20">
                  <c:v>3027.5074870533185</c:v>
                </c:pt>
                <c:pt idx="21">
                  <c:v>3132.6618753871689</c:v>
                </c:pt>
                <c:pt idx="22">
                  <c:v>3221.7934543216124</c:v>
                </c:pt>
                <c:pt idx="23">
                  <c:v>3295.6838389725008</c:v>
                </c:pt>
                <c:pt idx="24">
                  <c:v>3355.7478766807653</c:v>
                </c:pt>
                <c:pt idx="25">
                  <c:v>3457.2719126763027</c:v>
                </c:pt>
                <c:pt idx="26">
                  <c:v>3462.0572823013727</c:v>
                </c:pt>
                <c:pt idx="27">
                  <c:v>3421.1780254990204</c:v>
                </c:pt>
                <c:pt idx="28">
                  <c:v>3341.9857786317953</c:v>
                </c:pt>
                <c:pt idx="29">
                  <c:v>3237.5243158630333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07-4E24-A90D-BC670032A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436896"/>
        <c:axId val="401437288"/>
      </c:scatterChart>
      <c:valAx>
        <c:axId val="40143689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437288"/>
        <c:crosses val="autoZero"/>
        <c:crossBetween val="midCat"/>
      </c:valAx>
      <c:valAx>
        <c:axId val="401437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4368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'FT114-43'!$A$19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ED-4A29-8DD2-A38D4AC9314B}"/>
            </c:ext>
          </c:extLst>
        </c:ser>
        <c:ser>
          <c:idx val="1"/>
          <c:order val="1"/>
          <c:tx>
            <c:strRef>
              <c:f>'FT114-43'!$A$20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ED-4A29-8DD2-A38D4AC93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888256"/>
        <c:axId val="401888648"/>
      </c:scatterChart>
      <c:valAx>
        <c:axId val="40188825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888648"/>
        <c:crosses val="autoZero"/>
        <c:crossBetween val="midCat"/>
      </c:valAx>
      <c:valAx>
        <c:axId val="401888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8882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'FT240-43'!$B$26:$AE$26</c:f>
              <c:numCache>
                <c:formatCode>0</c:formatCode>
                <c:ptCount val="30"/>
                <c:pt idx="0">
                  <c:v>66.054376005546402</c:v>
                </c:pt>
                <c:pt idx="1">
                  <c:v>113.018974759755</c:v>
                </c:pt>
                <c:pt idx="2">
                  <c:v>296.70608733216</c:v>
                </c:pt>
                <c:pt idx="3">
                  <c:v>369.61319485468198</c:v>
                </c:pt>
                <c:pt idx="4">
                  <c:v>568.49937308436404</c:v>
                </c:pt>
                <c:pt idx="5">
                  <c:v>782.71893808678601</c:v>
                </c:pt>
                <c:pt idx="6">
                  <c:v>1007.1285879957099</c:v>
                </c:pt>
                <c:pt idx="7">
                  <c:v>1243.1946000020901</c:v>
                </c:pt>
                <c:pt idx="8">
                  <c:v>1499.08930975014</c:v>
                </c:pt>
                <c:pt idx="9">
                  <c:v>1779.57858481895</c:v>
                </c:pt>
                <c:pt idx="10">
                  <c:v>2087.8393868389198</c:v>
                </c:pt>
                <c:pt idx="11">
                  <c:v>2425.1235161160298</c:v>
                </c:pt>
                <c:pt idx="12">
                  <c:v>3174.8436808668298</c:v>
                </c:pt>
                <c:pt idx="13">
                  <c:v>3976.19150210114</c:v>
                </c:pt>
                <c:pt idx="14">
                  <c:v>4725.8849416085304</c:v>
                </c:pt>
                <c:pt idx="15">
                  <c:v>5282.0842547110196</c:v>
                </c:pt>
                <c:pt idx="16">
                  <c:v>5520.6098521930198</c:v>
                </c:pt>
                <c:pt idx="17">
                  <c:v>5412.2211417544804</c:v>
                </c:pt>
                <c:pt idx="18">
                  <c:v>5028.8623036101899</c:v>
                </c:pt>
                <c:pt idx="19">
                  <c:v>4492.0696599430603</c:v>
                </c:pt>
                <c:pt idx="20">
                  <c:v>3915.7349235798101</c:v>
                </c:pt>
                <c:pt idx="21">
                  <c:v>3372.83005115679</c:v>
                </c:pt>
                <c:pt idx="22">
                  <c:v>2895.5507244687901</c:v>
                </c:pt>
                <c:pt idx="23">
                  <c:v>2490.3144928543902</c:v>
                </c:pt>
                <c:pt idx="24">
                  <c:v>2151.4188713875601</c:v>
                </c:pt>
                <c:pt idx="25">
                  <c:v>1437.65087699385</c:v>
                </c:pt>
                <c:pt idx="26">
                  <c:v>1133.01017722292</c:v>
                </c:pt>
                <c:pt idx="27">
                  <c:v>913.59346433196595</c:v>
                </c:pt>
                <c:pt idx="28">
                  <c:v>752.58589489172198</c:v>
                </c:pt>
                <c:pt idx="29">
                  <c:v>632.22238478143902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B-40C9-A1BA-1A56084ACE0D}"/>
            </c:ext>
          </c:extLst>
        </c:ser>
        <c:ser>
          <c:idx val="1"/>
          <c:order val="1"/>
          <c:tx>
            <c:strRef>
              <c:f>'FT240-43'!$A$27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'FT240-43'!$B$27:$AE$27</c:f>
              <c:numCache>
                <c:formatCode>0</c:formatCode>
                <c:ptCount val="30"/>
                <c:pt idx="0">
                  <c:v>776.12120969128603</c:v>
                </c:pt>
                <c:pt idx="1">
                  <c:v>889.09110676918306</c:v>
                </c:pt>
                <c:pt idx="2">
                  <c:v>1162.9239806871899</c:v>
                </c:pt>
                <c:pt idx="3">
                  <c:v>1258.9520129358</c:v>
                </c:pt>
                <c:pt idx="4">
                  <c:v>1497.4296871848901</c:v>
                </c:pt>
                <c:pt idx="5">
                  <c:v>1698.14004542978</c:v>
                </c:pt>
                <c:pt idx="6">
                  <c:v>1862.4624395948499</c:v>
                </c:pt>
                <c:pt idx="7">
                  <c:v>2007.1691609125201</c:v>
                </c:pt>
                <c:pt idx="8">
                  <c:v>2145.3648871804598</c:v>
                </c:pt>
                <c:pt idx="9">
                  <c:v>2276.28294403666</c:v>
                </c:pt>
                <c:pt idx="10">
                  <c:v>2392.8027722142301</c:v>
                </c:pt>
                <c:pt idx="11">
                  <c:v>2479.8972635016298</c:v>
                </c:pt>
                <c:pt idx="12">
                  <c:v>2502.20873883585</c:v>
                </c:pt>
                <c:pt idx="13">
                  <c:v>2257.7463914413302</c:v>
                </c:pt>
                <c:pt idx="14">
                  <c:v>1699.8310419927</c:v>
                </c:pt>
                <c:pt idx="15">
                  <c:v>863.35131971244095</c:v>
                </c:pt>
                <c:pt idx="16">
                  <c:v>-124.141154790607</c:v>
                </c:pt>
                <c:pt idx="17">
                  <c:v>-1089.31860679895</c:v>
                </c:pt>
                <c:pt idx="18">
                  <c:v>-1886.42483343554</c:v>
                </c:pt>
                <c:pt idx="19">
                  <c:v>-2446.47765854816</c:v>
                </c:pt>
                <c:pt idx="20">
                  <c:v>-2779.39176377992</c:v>
                </c:pt>
                <c:pt idx="21">
                  <c:v>-2939.2997092310002</c:v>
                </c:pt>
                <c:pt idx="22">
                  <c:v>-2982.8423348564502</c:v>
                </c:pt>
                <c:pt idx="23">
                  <c:v>-2955.0144215376099</c:v>
                </c:pt>
                <c:pt idx="24">
                  <c:v>-2886.8828974195899</c:v>
                </c:pt>
                <c:pt idx="25">
                  <c:v>-2596.2626795104802</c:v>
                </c:pt>
                <c:pt idx="26">
                  <c:v>-2397.0314143994501</c:v>
                </c:pt>
                <c:pt idx="27">
                  <c:v>-2214.3239197042199</c:v>
                </c:pt>
                <c:pt idx="28">
                  <c:v>-2051.3766384065002</c:v>
                </c:pt>
                <c:pt idx="29">
                  <c:v>-1908.1486448683499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3B-40C9-A1BA-1A56084ACE0D}"/>
            </c:ext>
          </c:extLst>
        </c:ser>
        <c:ser>
          <c:idx val="2"/>
          <c:order val="2"/>
          <c:tx>
            <c:strRef>
              <c:f>'FT240-43'!$A$28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'FT240-43'!$B$28:$AE$28</c:f>
              <c:numCache>
                <c:formatCode>0</c:formatCode>
                <c:ptCount val="30"/>
                <c:pt idx="0">
                  <c:v>778.92702657062</c:v>
                </c:pt>
                <c:pt idx="1">
                  <c:v>896.24566096121055</c:v>
                </c:pt>
                <c:pt idx="2">
                  <c:v>1200.1777731308387</c:v>
                </c:pt>
                <c:pt idx="3">
                  <c:v>1312.0876817826575</c:v>
                </c:pt>
                <c:pt idx="4">
                  <c:v>1601.7138337605604</c:v>
                </c:pt>
                <c:pt idx="5">
                  <c:v>1869.8471996213921</c:v>
                </c:pt>
                <c:pt idx="6">
                  <c:v>2117.3271668922193</c:v>
                </c:pt>
                <c:pt idx="7">
                  <c:v>2360.9872625646726</c:v>
                </c:pt>
                <c:pt idx="8">
                  <c:v>2617.2235780983592</c:v>
                </c:pt>
                <c:pt idx="9">
                  <c:v>2889.3535576073796</c:v>
                </c:pt>
                <c:pt idx="10">
                  <c:v>3175.622523530154</c:v>
                </c:pt>
                <c:pt idx="11">
                  <c:v>3468.5896998552375</c:v>
                </c:pt>
                <c:pt idx="12">
                  <c:v>4042.3608164841667</c:v>
                </c:pt>
                <c:pt idx="13">
                  <c:v>4572.4739069181869</c:v>
                </c:pt>
                <c:pt idx="14">
                  <c:v>5022.2917132166122</c:v>
                </c:pt>
                <c:pt idx="15">
                  <c:v>5352.1761532217224</c:v>
                </c:pt>
                <c:pt idx="16">
                  <c:v>5522.0054478824431</c:v>
                </c:pt>
                <c:pt idx="17">
                  <c:v>5520.7565346039828</c:v>
                </c:pt>
                <c:pt idx="18">
                  <c:v>5371.0385141864217</c:v>
                </c:pt>
                <c:pt idx="19">
                  <c:v>5115.0701621342641</c:v>
                </c:pt>
                <c:pt idx="20">
                  <c:v>4801.8744848559127</c:v>
                </c:pt>
                <c:pt idx="21">
                  <c:v>4473.8646978503666</c:v>
                </c:pt>
                <c:pt idx="22">
                  <c:v>4157.1098605381612</c:v>
                </c:pt>
                <c:pt idx="23">
                  <c:v>3864.4244726499533</c:v>
                </c:pt>
                <c:pt idx="24">
                  <c:v>3600.3744282471857</c:v>
                </c:pt>
                <c:pt idx="25">
                  <c:v>2967.7297628221008</c:v>
                </c:pt>
                <c:pt idx="26">
                  <c:v>2651.3150818619315</c:v>
                </c:pt>
                <c:pt idx="27">
                  <c:v>2395.3879517615396</c:v>
                </c:pt>
                <c:pt idx="28">
                  <c:v>2185.0701686192888</c:v>
                </c:pt>
                <c:pt idx="29">
                  <c:v>2010.1583009135502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3B-40C9-A1BA-1A56084AC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891000"/>
        <c:axId val="401891392"/>
      </c:scatterChart>
      <c:valAx>
        <c:axId val="40189100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1891392"/>
        <c:crosses val="autoZero"/>
        <c:crossBetween val="midCat"/>
      </c:valAx>
      <c:valAx>
        <c:axId val="401891392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18910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0-43AD-83B4-BA3CF7AA18F5}"/>
            </c:ext>
          </c:extLst>
        </c:ser>
        <c:ser>
          <c:idx val="1"/>
          <c:order val="1"/>
          <c:tx>
            <c:strRef>
              <c:f>'FT240-43'!$A$20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E0-43AD-83B4-BA3CF7AA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874632"/>
        <c:axId val="399875024"/>
      </c:scatterChart>
      <c:valAx>
        <c:axId val="39987463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875024"/>
        <c:crosses val="autoZero"/>
        <c:crossBetween val="midCat"/>
      </c:valAx>
      <c:valAx>
        <c:axId val="399875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874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'BN-43-202'!$A$26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'BN-43-202'!$B$26:$AE$26</c:f>
              <c:numCache>
                <c:formatCode>0</c:formatCode>
                <c:ptCount val="30"/>
                <c:pt idx="0">
                  <c:v>45.188037826385603</c:v>
                </c:pt>
                <c:pt idx="1">
                  <c:v>64.379091249280904</c:v>
                </c:pt>
                <c:pt idx="2">
                  <c:v>88.268427836974197</c:v>
                </c:pt>
                <c:pt idx="3">
                  <c:v>117.83175374918</c:v>
                </c:pt>
                <c:pt idx="4">
                  <c:v>154.242077669412</c:v>
                </c:pt>
                <c:pt idx="5">
                  <c:v>198.56384956943401</c:v>
                </c:pt>
                <c:pt idx="6">
                  <c:v>251.70699370103401</c:v>
                </c:pt>
                <c:pt idx="7">
                  <c:v>314.33321139182101</c:v>
                </c:pt>
                <c:pt idx="8">
                  <c:v>386.97019539711698</c:v>
                </c:pt>
                <c:pt idx="9">
                  <c:v>469.98186695506399</c:v>
                </c:pt>
                <c:pt idx="10">
                  <c:v>563.81385280944596</c:v>
                </c:pt>
                <c:pt idx="11">
                  <c:v>669.31353274788103</c:v>
                </c:pt>
                <c:pt idx="12">
                  <c:v>789.19392271761899</c:v>
                </c:pt>
                <c:pt idx="13">
                  <c:v>928.95907188615297</c:v>
                </c:pt>
                <c:pt idx="14">
                  <c:v>1093.77420717323</c:v>
                </c:pt>
                <c:pt idx="15">
                  <c:v>1290.42462792436</c:v>
                </c:pt>
                <c:pt idx="16">
                  <c:v>1527.39216826999</c:v>
                </c:pt>
                <c:pt idx="17">
                  <c:v>1813.35166635618</c:v>
                </c:pt>
                <c:pt idx="18">
                  <c:v>2157.3889729718499</c:v>
                </c:pt>
                <c:pt idx="19">
                  <c:v>2565.9034214193698</c:v>
                </c:pt>
                <c:pt idx="20">
                  <c:v>3028.4875184663601</c:v>
                </c:pt>
                <c:pt idx="21">
                  <c:v>3502.5583170106402</c:v>
                </c:pt>
                <c:pt idx="22">
                  <c:v>3897.8247123497299</c:v>
                </c:pt>
                <c:pt idx="23">
                  <c:v>4060.2993840159402</c:v>
                </c:pt>
                <c:pt idx="24">
                  <c:v>3876.0623827087502</c:v>
                </c:pt>
                <c:pt idx="25">
                  <c:v>3389.9537844552701</c:v>
                </c:pt>
                <c:pt idx="26">
                  <c:v>2764.7026458853902</c:v>
                </c:pt>
                <c:pt idx="27">
                  <c:v>2150.3584610808698</c:v>
                </c:pt>
                <c:pt idx="28">
                  <c:v>1629.82674170119</c:v>
                </c:pt>
                <c:pt idx="29">
                  <c:v>1227.8919488009401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D-4BCD-ADD8-4D125F389AA7}"/>
            </c:ext>
          </c:extLst>
        </c:ser>
        <c:ser>
          <c:idx val="1"/>
          <c:order val="1"/>
          <c:tx>
            <c:strRef>
              <c:f>'BN-43-202'!$A$27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'BN-43-202'!$B$27:$AE$27</c:f>
              <c:numCache>
                <c:formatCode>0</c:formatCode>
                <c:ptCount val="30"/>
                <c:pt idx="0">
                  <c:v>533.98932593230199</c:v>
                </c:pt>
                <c:pt idx="1">
                  <c:v>583.53508111212602</c:v>
                </c:pt>
                <c:pt idx="2">
                  <c:v>631.81869485596303</c:v>
                </c:pt>
                <c:pt idx="3">
                  <c:v>679.71501147106301</c:v>
                </c:pt>
                <c:pt idx="4">
                  <c:v>731.81774996927197</c:v>
                </c:pt>
                <c:pt idx="5">
                  <c:v>792.47761234235702</c:v>
                </c:pt>
                <c:pt idx="6">
                  <c:v>863.41970793425401</c:v>
                </c:pt>
                <c:pt idx="7">
                  <c:v>943.88257222583104</c:v>
                </c:pt>
                <c:pt idx="8">
                  <c:v>1027.9301842755599</c:v>
                </c:pt>
                <c:pt idx="9">
                  <c:v>1111.0613190681099</c:v>
                </c:pt>
                <c:pt idx="10">
                  <c:v>1191.7587263502901</c:v>
                </c:pt>
                <c:pt idx="11">
                  <c:v>1270.7069398334099</c:v>
                </c:pt>
                <c:pt idx="12">
                  <c:v>1353.42847184722</c:v>
                </c:pt>
                <c:pt idx="13">
                  <c:v>1444.72075326761</c:v>
                </c:pt>
                <c:pt idx="14">
                  <c:v>1545.34490958073</c:v>
                </c:pt>
                <c:pt idx="15">
                  <c:v>1649.8119488944501</c:v>
                </c:pt>
                <c:pt idx="16">
                  <c:v>1739.7177562060399</c:v>
                </c:pt>
                <c:pt idx="17">
                  <c:v>1795.9449473688601</c:v>
                </c:pt>
                <c:pt idx="18">
                  <c:v>1796.3242705007699</c:v>
                </c:pt>
                <c:pt idx="19">
                  <c:v>1712.4752634670899</c:v>
                </c:pt>
                <c:pt idx="20">
                  <c:v>1510.4458632364201</c:v>
                </c:pt>
                <c:pt idx="21">
                  <c:v>1144.9291752921599</c:v>
                </c:pt>
                <c:pt idx="22">
                  <c:v>574.78727143547997</c:v>
                </c:pt>
                <c:pt idx="23">
                  <c:v>-180.42621713794099</c:v>
                </c:pt>
                <c:pt idx="24">
                  <c:v>-978.013268922816</c:v>
                </c:pt>
                <c:pt idx="25">
                  <c:v>-1620.0213123128401</c:v>
                </c:pt>
                <c:pt idx="26">
                  <c:v>-2003.16626564955</c:v>
                </c:pt>
                <c:pt idx="27">
                  <c:v>-2142.63374273716</c:v>
                </c:pt>
                <c:pt idx="28">
                  <c:v>-2110.0942274317299</c:v>
                </c:pt>
                <c:pt idx="29">
                  <c:v>-1980.4739224514501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D-4BCD-ADD8-4D125F389AA7}"/>
            </c:ext>
          </c:extLst>
        </c:ser>
        <c:ser>
          <c:idx val="2"/>
          <c:order val="2"/>
          <c:tx>
            <c:strRef>
              <c:f>'BN-43-202'!$A$28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'BN-43-202'!$B$28:$AE$28</c:f>
              <c:numCache>
                <c:formatCode>0</c:formatCode>
                <c:ptCount val="30"/>
                <c:pt idx="0">
                  <c:v>535.89789976471548</c:v>
                </c:pt>
                <c:pt idx="1">
                  <c:v>587.07568360358675</c:v>
                </c:pt>
                <c:pt idx="2">
                  <c:v>637.95468375293217</c:v>
                </c:pt>
                <c:pt idx="3">
                  <c:v>689.85275168742692</c:v>
                </c:pt>
                <c:pt idx="4">
                  <c:v>747.89560614691732</c:v>
                </c:pt>
                <c:pt idx="5">
                  <c:v>816.97513329334322</c:v>
                </c:pt>
                <c:pt idx="6">
                  <c:v>899.36088570010918</c:v>
                </c:pt>
                <c:pt idx="7">
                  <c:v>994.84655999583492</c:v>
                </c:pt>
                <c:pt idx="8">
                  <c:v>1098.3562244875156</c:v>
                </c:pt>
                <c:pt idx="9">
                  <c:v>1206.3748215193882</c:v>
                </c:pt>
                <c:pt idx="10">
                  <c:v>1318.3986204679893</c:v>
                </c:pt>
                <c:pt idx="11">
                  <c:v>1436.2021905220163</c:v>
                </c:pt>
                <c:pt idx="12">
                  <c:v>1566.7149313327948</c:v>
                </c:pt>
                <c:pt idx="13">
                  <c:v>1717.6096798055466</c:v>
                </c:pt>
                <c:pt idx="14">
                  <c:v>1893.2598622071148</c:v>
                </c:pt>
                <c:pt idx="15">
                  <c:v>2094.534599157681</c:v>
                </c:pt>
                <c:pt idx="16">
                  <c:v>2315.0690501475501</c:v>
                </c:pt>
                <c:pt idx="17">
                  <c:v>2552.1877908681549</c:v>
                </c:pt>
                <c:pt idx="18">
                  <c:v>2807.3311285793588</c:v>
                </c:pt>
                <c:pt idx="19">
                  <c:v>3084.8714553508235</c:v>
                </c:pt>
                <c:pt idx="20">
                  <c:v>3384.2552142642176</c:v>
                </c:pt>
                <c:pt idx="21">
                  <c:v>3684.9392912903727</c:v>
                </c:pt>
                <c:pt idx="22">
                  <c:v>3939.9768902378728</c:v>
                </c:pt>
                <c:pt idx="23">
                  <c:v>4064.306177894442</c:v>
                </c:pt>
                <c:pt idx="24">
                  <c:v>3997.545440497071</c:v>
                </c:pt>
                <c:pt idx="25">
                  <c:v>3757.1605918686018</c:v>
                </c:pt>
                <c:pt idx="26">
                  <c:v>3414.1259215210621</c:v>
                </c:pt>
                <c:pt idx="27">
                  <c:v>3035.6088131803044</c:v>
                </c:pt>
                <c:pt idx="28">
                  <c:v>2666.2394597269445</c:v>
                </c:pt>
                <c:pt idx="29">
                  <c:v>2330.2350944572959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D-4BCD-ADD8-4D125F389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890608"/>
        <c:axId val="401890216"/>
      </c:scatterChart>
      <c:valAx>
        <c:axId val="4018906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1890216"/>
        <c:crosses val="autoZero"/>
        <c:crossBetween val="midCat"/>
      </c:valAx>
      <c:valAx>
        <c:axId val="401890216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189060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'BN-43-202'!$A$19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79.257177946729328</c:v>
                </c:pt>
                <c:pt idx="2">
                  <c:v>96.18869926556313</c:v>
                </c:pt>
                <c:pt idx="3">
                  <c:v>113.56816449246116</c:v>
                </c:pt>
                <c:pt idx="4">
                  <c:v>131.33058873834889</c:v>
                </c:pt>
                <c:pt idx="5">
                  <c:v>149.11313506302696</c:v>
                </c:pt>
                <c:pt idx="6">
                  <c:v>166.35767552796719</c:v>
                </c:pt>
                <c:pt idx="7">
                  <c:v>182.37731967639692</c:v>
                </c:pt>
                <c:pt idx="8">
                  <c:v>196.59447901549697</c:v>
                </c:pt>
                <c:pt idx="9">
                  <c:v>208.51895683940316</c:v>
                </c:pt>
                <c:pt idx="10">
                  <c:v>217.83142258379127</c:v>
                </c:pt>
                <c:pt idx="11">
                  <c:v>224.42411543005389</c:v>
                </c:pt>
                <c:pt idx="12">
                  <c:v>228.60485716531642</c:v>
                </c:pt>
                <c:pt idx="13">
                  <c:v>231.04361020189779</c:v>
                </c:pt>
                <c:pt idx="14">
                  <c:v>231.80917548300866</c:v>
                </c:pt>
                <c:pt idx="15">
                  <c:v>231.09690134455539</c:v>
                </c:pt>
                <c:pt idx="16">
                  <c:v>229.49418606942248</c:v>
                </c:pt>
                <c:pt idx="17">
                  <c:v>227.35252950801905</c:v>
                </c:pt>
                <c:pt idx="18">
                  <c:v>224.98194176743948</c:v>
                </c:pt>
                <c:pt idx="19">
                  <c:v>222.52937465543559</c:v>
                </c:pt>
                <c:pt idx="20">
                  <c:v>219.31341127960496</c:v>
                </c:pt>
                <c:pt idx="21">
                  <c:v>214.65824905972698</c:v>
                </c:pt>
                <c:pt idx="22">
                  <c:v>208.60999713170213</c:v>
                </c:pt>
                <c:pt idx="23">
                  <c:v>201.59500044955359</c:v>
                </c:pt>
                <c:pt idx="24">
                  <c:v>194.35825471894512</c:v>
                </c:pt>
                <c:pt idx="25">
                  <c:v>187.10167204097144</c:v>
                </c:pt>
                <c:pt idx="26">
                  <c:v>179.7265531330107</c:v>
                </c:pt>
                <c:pt idx="27">
                  <c:v>172.02837681836741</c:v>
                </c:pt>
                <c:pt idx="28">
                  <c:v>163.63625972235332</c:v>
                </c:pt>
                <c:pt idx="29">
                  <c:v>153.87192534130494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02-4460-93BF-5D952540A00B}"/>
            </c:ext>
          </c:extLst>
        </c:ser>
        <c:ser>
          <c:idx val="1"/>
          <c:order val="1"/>
          <c:tx>
            <c:strRef>
              <c:f>'BN-43-202'!$A$20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726.33481891775443</c:v>
                </c:pt>
                <c:pt idx="2">
                  <c:v>697.84811895183941</c:v>
                </c:pt>
                <c:pt idx="3">
                  <c:v>665.97812040175313</c:v>
                </c:pt>
                <c:pt idx="4">
                  <c:v>635.78863954796498</c:v>
                </c:pt>
                <c:pt idx="5">
                  <c:v>610.11901568765848</c:v>
                </c:pt>
                <c:pt idx="6">
                  <c:v>588.64048889447758</c:v>
                </c:pt>
                <c:pt idx="7">
                  <c:v>569.37450772290242</c:v>
                </c:pt>
                <c:pt idx="8">
                  <c:v>548.30351825787739</c:v>
                </c:pt>
                <c:pt idx="9">
                  <c:v>523.84336747023292</c:v>
                </c:pt>
                <c:pt idx="10">
                  <c:v>496.5691043376371</c:v>
                </c:pt>
                <c:pt idx="11">
                  <c:v>467.9135588978848</c:v>
                </c:pt>
                <c:pt idx="12">
                  <c:v>440.41087145803141</c:v>
                </c:pt>
                <c:pt idx="13">
                  <c:v>415.441498668875</c:v>
                </c:pt>
                <c:pt idx="14">
                  <c:v>392.84730795180161</c:v>
                </c:pt>
                <c:pt idx="15">
                  <c:v>371.43658417245837</c:v>
                </c:pt>
                <c:pt idx="16">
                  <c:v>348.96313994549593</c:v>
                </c:pt>
                <c:pt idx="17">
                  <c:v>325.02457634622351</c:v>
                </c:pt>
                <c:pt idx="18">
                  <c:v>300.3253299209577</c:v>
                </c:pt>
                <c:pt idx="19">
                  <c:v>276.10517217817056</c:v>
                </c:pt>
                <c:pt idx="20">
                  <c:v>253.55857012956633</c:v>
                </c:pt>
                <c:pt idx="21">
                  <c:v>232.83104613646381</c:v>
                </c:pt>
                <c:pt idx="22">
                  <c:v>213.36232918425154</c:v>
                </c:pt>
                <c:pt idx="23">
                  <c:v>193.73081483563661</c:v>
                </c:pt>
                <c:pt idx="24">
                  <c:v>173.63349916389717</c:v>
                </c:pt>
                <c:pt idx="25">
                  <c:v>154.03605366597392</c:v>
                </c:pt>
                <c:pt idx="26">
                  <c:v>136.01350454994829</c:v>
                </c:pt>
                <c:pt idx="27">
                  <c:v>119.83387993123816</c:v>
                </c:pt>
                <c:pt idx="28">
                  <c:v>105.20931337822698</c:v>
                </c:pt>
                <c:pt idx="29">
                  <c:v>91.714826092023088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02-4460-93BF-5D952540A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874240"/>
        <c:axId val="399875808"/>
      </c:scatterChart>
      <c:valAx>
        <c:axId val="39987424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875808"/>
        <c:crosses val="autoZero"/>
        <c:crossBetween val="midCat"/>
      </c:valAx>
      <c:valAx>
        <c:axId val="399875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8742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'BN-43-202'!$A$26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'BN-43-202'!$B$26:$AE$26</c:f>
              <c:numCache>
                <c:formatCode>0</c:formatCode>
                <c:ptCount val="30"/>
                <c:pt idx="0">
                  <c:v>45.188037826385603</c:v>
                </c:pt>
                <c:pt idx="1">
                  <c:v>64.379091249280904</c:v>
                </c:pt>
                <c:pt idx="2">
                  <c:v>88.268427836974197</c:v>
                </c:pt>
                <c:pt idx="3">
                  <c:v>117.83175374918</c:v>
                </c:pt>
                <c:pt idx="4">
                  <c:v>154.242077669412</c:v>
                </c:pt>
                <c:pt idx="5">
                  <c:v>198.56384956943401</c:v>
                </c:pt>
                <c:pt idx="6">
                  <c:v>251.70699370103401</c:v>
                </c:pt>
                <c:pt idx="7">
                  <c:v>314.33321139182101</c:v>
                </c:pt>
                <c:pt idx="8">
                  <c:v>386.97019539711698</c:v>
                </c:pt>
                <c:pt idx="9">
                  <c:v>469.98186695506399</c:v>
                </c:pt>
                <c:pt idx="10">
                  <c:v>563.81385280944596</c:v>
                </c:pt>
                <c:pt idx="11">
                  <c:v>669.31353274788103</c:v>
                </c:pt>
                <c:pt idx="12">
                  <c:v>789.19392271761899</c:v>
                </c:pt>
                <c:pt idx="13">
                  <c:v>928.95907188615297</c:v>
                </c:pt>
                <c:pt idx="14">
                  <c:v>1093.77420717323</c:v>
                </c:pt>
                <c:pt idx="15">
                  <c:v>1290.42462792436</c:v>
                </c:pt>
                <c:pt idx="16">
                  <c:v>1527.39216826999</c:v>
                </c:pt>
                <c:pt idx="17">
                  <c:v>1813.35166635618</c:v>
                </c:pt>
                <c:pt idx="18">
                  <c:v>2157.3889729718499</c:v>
                </c:pt>
                <c:pt idx="19">
                  <c:v>2565.9034214193698</c:v>
                </c:pt>
                <c:pt idx="20">
                  <c:v>3028.4875184663601</c:v>
                </c:pt>
                <c:pt idx="21">
                  <c:v>3502.5583170106402</c:v>
                </c:pt>
                <c:pt idx="22">
                  <c:v>3897.8247123497299</c:v>
                </c:pt>
                <c:pt idx="23">
                  <c:v>4060.2993840159402</c:v>
                </c:pt>
                <c:pt idx="24">
                  <c:v>3876.0623827087502</c:v>
                </c:pt>
                <c:pt idx="25">
                  <c:v>3389.9537844552701</c:v>
                </c:pt>
                <c:pt idx="26">
                  <c:v>2764.7026458853902</c:v>
                </c:pt>
                <c:pt idx="27">
                  <c:v>2150.3584610808698</c:v>
                </c:pt>
                <c:pt idx="28">
                  <c:v>1629.82674170119</c:v>
                </c:pt>
                <c:pt idx="29">
                  <c:v>1227.8919488009401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3-4017-A8AF-2C8D0E01EA98}"/>
            </c:ext>
          </c:extLst>
        </c:ser>
        <c:ser>
          <c:idx val="1"/>
          <c:order val="1"/>
          <c:tx>
            <c:strRef>
              <c:f>'BN-43-202'!$A$27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'BN-43-202'!$B$27:$AE$27</c:f>
              <c:numCache>
                <c:formatCode>0</c:formatCode>
                <c:ptCount val="30"/>
                <c:pt idx="0">
                  <c:v>533.98932593230199</c:v>
                </c:pt>
                <c:pt idx="1">
                  <c:v>583.53508111212602</c:v>
                </c:pt>
                <c:pt idx="2">
                  <c:v>631.81869485596303</c:v>
                </c:pt>
                <c:pt idx="3">
                  <c:v>679.71501147106301</c:v>
                </c:pt>
                <c:pt idx="4">
                  <c:v>731.81774996927197</c:v>
                </c:pt>
                <c:pt idx="5">
                  <c:v>792.47761234235702</c:v>
                </c:pt>
                <c:pt idx="6">
                  <c:v>863.41970793425401</c:v>
                </c:pt>
                <c:pt idx="7">
                  <c:v>943.88257222583104</c:v>
                </c:pt>
                <c:pt idx="8">
                  <c:v>1027.9301842755599</c:v>
                </c:pt>
                <c:pt idx="9">
                  <c:v>1111.0613190681099</c:v>
                </c:pt>
                <c:pt idx="10">
                  <c:v>1191.7587263502901</c:v>
                </c:pt>
                <c:pt idx="11">
                  <c:v>1270.7069398334099</c:v>
                </c:pt>
                <c:pt idx="12">
                  <c:v>1353.42847184722</c:v>
                </c:pt>
                <c:pt idx="13">
                  <c:v>1444.72075326761</c:v>
                </c:pt>
                <c:pt idx="14">
                  <c:v>1545.34490958073</c:v>
                </c:pt>
                <c:pt idx="15">
                  <c:v>1649.8119488944501</c:v>
                </c:pt>
                <c:pt idx="16">
                  <c:v>1739.7177562060399</c:v>
                </c:pt>
                <c:pt idx="17">
                  <c:v>1795.9449473688601</c:v>
                </c:pt>
                <c:pt idx="18">
                  <c:v>1796.3242705007699</c:v>
                </c:pt>
                <c:pt idx="19">
                  <c:v>1712.4752634670899</c:v>
                </c:pt>
                <c:pt idx="20">
                  <c:v>1510.4458632364201</c:v>
                </c:pt>
                <c:pt idx="21">
                  <c:v>1144.9291752921599</c:v>
                </c:pt>
                <c:pt idx="22">
                  <c:v>574.78727143547997</c:v>
                </c:pt>
                <c:pt idx="23">
                  <c:v>-180.42621713794099</c:v>
                </c:pt>
                <c:pt idx="24">
                  <c:v>-978.013268922816</c:v>
                </c:pt>
                <c:pt idx="25">
                  <c:v>-1620.0213123128401</c:v>
                </c:pt>
                <c:pt idx="26">
                  <c:v>-2003.16626564955</c:v>
                </c:pt>
                <c:pt idx="27">
                  <c:v>-2142.63374273716</c:v>
                </c:pt>
                <c:pt idx="28">
                  <c:v>-2110.0942274317299</c:v>
                </c:pt>
                <c:pt idx="29">
                  <c:v>-1980.4739224514501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3-4017-A8AF-2C8D0E01E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876592"/>
        <c:axId val="399876984"/>
      </c:scatterChart>
      <c:valAx>
        <c:axId val="39987659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9876984"/>
        <c:crosses val="autoZero"/>
        <c:crossBetween val="midCat"/>
      </c:valAx>
      <c:valAx>
        <c:axId val="399876984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987659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'FT140-43'!$A$26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'FT140-43'!$B$26:$AE$26</c:f>
              <c:numCache>
                <c:formatCode>0</c:formatCode>
                <c:ptCount val="30"/>
                <c:pt idx="0">
                  <c:v>35.929438562997603</c:v>
                </c:pt>
                <c:pt idx="1">
                  <c:v>61.1757282358084</c:v>
                </c:pt>
                <c:pt idx="2">
                  <c:v>157.87104677787599</c:v>
                </c:pt>
                <c:pt idx="3">
                  <c:v>195.27856462673699</c:v>
                </c:pt>
                <c:pt idx="4">
                  <c:v>294.31925001474502</c:v>
                </c:pt>
                <c:pt idx="5">
                  <c:v>396.30142816962399</c:v>
                </c:pt>
                <c:pt idx="6">
                  <c:v>498.12491147266502</c:v>
                </c:pt>
                <c:pt idx="7">
                  <c:v>599.80592054192903</c:v>
                </c:pt>
                <c:pt idx="8">
                  <c:v>704.12553071769901</c:v>
                </c:pt>
                <c:pt idx="9">
                  <c:v>812.169308062916</c:v>
                </c:pt>
                <c:pt idx="10">
                  <c:v>924.52316513966196</c:v>
                </c:pt>
                <c:pt idx="11">
                  <c:v>1041.84965044655</c:v>
                </c:pt>
                <c:pt idx="12">
                  <c:v>1292.47330703171</c:v>
                </c:pt>
                <c:pt idx="13">
                  <c:v>1563.57947921356</c:v>
                </c:pt>
                <c:pt idx="14">
                  <c:v>1853.4786593005001</c:v>
                </c:pt>
                <c:pt idx="15">
                  <c:v>2154.3722701203801</c:v>
                </c:pt>
                <c:pt idx="16">
                  <c:v>2451.4960272814401</c:v>
                </c:pt>
                <c:pt idx="17">
                  <c:v>2728.8666037564199</c:v>
                </c:pt>
                <c:pt idx="18">
                  <c:v>2967.1266668057001</c:v>
                </c:pt>
                <c:pt idx="19">
                  <c:v>3143.4871467610201</c:v>
                </c:pt>
                <c:pt idx="20">
                  <c:v>3240.6317638076298</c:v>
                </c:pt>
                <c:pt idx="21">
                  <c:v>3255.3593754055701</c:v>
                </c:pt>
                <c:pt idx="22">
                  <c:v>3195.048646702</c:v>
                </c:pt>
                <c:pt idx="23">
                  <c:v>3075.2066150813198</c:v>
                </c:pt>
                <c:pt idx="24">
                  <c:v>2914.58432419785</c:v>
                </c:pt>
                <c:pt idx="25">
                  <c:v>2339.91873577352</c:v>
                </c:pt>
                <c:pt idx="26">
                  <c:v>1973.87011753351</c:v>
                </c:pt>
                <c:pt idx="27">
                  <c:v>1659.4002131390901</c:v>
                </c:pt>
                <c:pt idx="28">
                  <c:v>1401.3223537689601</c:v>
                </c:pt>
                <c:pt idx="29">
                  <c:v>1194.7457477693299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3-40E0-9BE8-D6CAB74E8CB7}"/>
            </c:ext>
          </c:extLst>
        </c:ser>
        <c:ser>
          <c:idx val="1"/>
          <c:order val="1"/>
          <c:tx>
            <c:strRef>
              <c:f>'FT140-43'!$A$27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'FT140-43'!$B$27:$AE$27</c:f>
              <c:numCache>
                <c:formatCode>0</c:formatCode>
                <c:ptCount val="30"/>
                <c:pt idx="0">
                  <c:v>424.95373849177298</c:v>
                </c:pt>
                <c:pt idx="1">
                  <c:v>485.66844452458702</c:v>
                </c:pt>
                <c:pt idx="2">
                  <c:v>630.44038534707101</c:v>
                </c:pt>
                <c:pt idx="3">
                  <c:v>680.53740786235699</c:v>
                </c:pt>
                <c:pt idx="4">
                  <c:v>803.33410286363596</c:v>
                </c:pt>
                <c:pt idx="5">
                  <c:v>904.72828079311705</c:v>
                </c:pt>
                <c:pt idx="6">
                  <c:v>986.83866169977705</c:v>
                </c:pt>
                <c:pt idx="7">
                  <c:v>1059.4276825779</c:v>
                </c:pt>
                <c:pt idx="8">
                  <c:v>1130.1900371726499</c:v>
                </c:pt>
                <c:pt idx="9">
                  <c:v>1200.0498409269801</c:v>
                </c:pt>
                <c:pt idx="10">
                  <c:v>1267.38481997187</c:v>
                </c:pt>
                <c:pt idx="11">
                  <c:v>1327.7870086392099</c:v>
                </c:pt>
                <c:pt idx="12">
                  <c:v>1412.6601937261601</c:v>
                </c:pt>
                <c:pt idx="13">
                  <c:v>1444.35889426527</c:v>
                </c:pt>
                <c:pt idx="14">
                  <c:v>1420.0185552461501</c:v>
                </c:pt>
                <c:pt idx="15">
                  <c:v>1340.7331085969099</c:v>
                </c:pt>
                <c:pt idx="16">
                  <c:v>1205.1802725280199</c:v>
                </c:pt>
                <c:pt idx="17">
                  <c:v>1011.14273471963</c:v>
                </c:pt>
                <c:pt idx="18">
                  <c:v>759.25776699742198</c:v>
                </c:pt>
                <c:pt idx="19">
                  <c:v>456.90267766603301</c:v>
                </c:pt>
                <c:pt idx="20">
                  <c:v>121.801970297764</c:v>
                </c:pt>
                <c:pt idx="21">
                  <c:v>-221.54150689162199</c:v>
                </c:pt>
                <c:pt idx="22">
                  <c:v>-548.38066597258501</c:v>
                </c:pt>
                <c:pt idx="23">
                  <c:v>-840.33187176067202</c:v>
                </c:pt>
                <c:pt idx="24">
                  <c:v>-1087.7063865012201</c:v>
                </c:pt>
                <c:pt idx="25">
                  <c:v>-1557.19052365015</c:v>
                </c:pt>
                <c:pt idx="26">
                  <c:v>-1689.0456439255699</c:v>
                </c:pt>
                <c:pt idx="27">
                  <c:v>-1729.1595880119601</c:v>
                </c:pt>
                <c:pt idx="28">
                  <c:v>-1713.40137328727</c:v>
                </c:pt>
                <c:pt idx="29">
                  <c:v>-1667.5801505831701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93-40E0-9BE8-D6CAB74E8CB7}"/>
            </c:ext>
          </c:extLst>
        </c:ser>
        <c:ser>
          <c:idx val="2"/>
          <c:order val="2"/>
          <c:tx>
            <c:strRef>
              <c:f>'FT140-43'!$A$28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'FT140-43'!$B$28:$AE$28</c:f>
              <c:numCache>
                <c:formatCode>0</c:formatCode>
                <c:ptCount val="30"/>
                <c:pt idx="0">
                  <c:v>426.46993377445312</c:v>
                </c:pt>
                <c:pt idx="1">
                  <c:v>489.50618763414354</c:v>
                </c:pt>
                <c:pt idx="2">
                  <c:v>649.90641394535078</c:v>
                </c:pt>
                <c:pt idx="3">
                  <c:v>708.00062238863507</c:v>
                </c:pt>
                <c:pt idx="4">
                  <c:v>855.55216191239026</c:v>
                </c:pt>
                <c:pt idx="5">
                  <c:v>987.71862594372135</c:v>
                </c:pt>
                <c:pt idx="6">
                  <c:v>1105.4315771023812</c:v>
                </c:pt>
                <c:pt idx="7">
                  <c:v>1217.4375371777933</c:v>
                </c:pt>
                <c:pt idx="8">
                  <c:v>1331.5863783971347</c:v>
                </c:pt>
                <c:pt idx="9">
                  <c:v>1449.0474821993466</c:v>
                </c:pt>
                <c:pt idx="10">
                  <c:v>1568.7598174274442</c:v>
                </c:pt>
                <c:pt idx="11">
                  <c:v>1687.7408078394797</c:v>
                </c:pt>
                <c:pt idx="12">
                  <c:v>1914.7052181283461</c:v>
                </c:pt>
                <c:pt idx="13">
                  <c:v>2128.6036275598472</c:v>
                </c:pt>
                <c:pt idx="14">
                  <c:v>2334.916666120173</c:v>
                </c:pt>
                <c:pt idx="15">
                  <c:v>2537.495841721041</c:v>
                </c:pt>
                <c:pt idx="16">
                  <c:v>2731.7196527219621</c:v>
                </c:pt>
                <c:pt idx="17">
                  <c:v>2910.1756941932886</c:v>
                </c:pt>
                <c:pt idx="18">
                  <c:v>3062.7296670805626</c:v>
                </c:pt>
                <c:pt idx="19">
                  <c:v>3176.5187704010391</c:v>
                </c:pt>
                <c:pt idx="20">
                  <c:v>3242.9199725814028</c:v>
                </c:pt>
                <c:pt idx="21">
                  <c:v>3262.8891035885285</c:v>
                </c:pt>
                <c:pt idx="22">
                  <c:v>3241.7676057368485</c:v>
                </c:pt>
                <c:pt idx="23">
                  <c:v>3187.9544193944653</c:v>
                </c:pt>
                <c:pt idx="24">
                  <c:v>3110.9334557485126</c:v>
                </c:pt>
                <c:pt idx="25">
                  <c:v>2810.7048968132135</c:v>
                </c:pt>
                <c:pt idx="26">
                  <c:v>2597.8911501746366</c:v>
                </c:pt>
                <c:pt idx="27">
                  <c:v>2396.5813043124053</c:v>
                </c:pt>
                <c:pt idx="28">
                  <c:v>2213.4698112138963</c:v>
                </c:pt>
                <c:pt idx="29">
                  <c:v>2051.399756369266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93-40E0-9BE8-D6CAB74E8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56112"/>
        <c:axId val="402056504"/>
      </c:scatterChart>
      <c:valAx>
        <c:axId val="40205611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056504"/>
        <c:crosses val="autoZero"/>
        <c:crossBetween val="midCat"/>
      </c:valAx>
      <c:valAx>
        <c:axId val="402056504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05611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F0-4040-B13D-36DB750BD861}"/>
            </c:ext>
          </c:extLst>
        </c:ser>
        <c:ser>
          <c:idx val="1"/>
          <c:order val="1"/>
          <c:tx>
            <c:strRef>
              <c:f>'FT140-43'!$A$20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F0-4040-B13D-36DB750BD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57680"/>
        <c:axId val="402058072"/>
      </c:scatterChart>
      <c:valAx>
        <c:axId val="40205768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058072"/>
        <c:crosses val="autoZero"/>
        <c:crossBetween val="midCat"/>
      </c:valAx>
      <c:valAx>
        <c:axId val="402058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0576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'5943001001'!$A$26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'5943001001'!$B$26:$AE$26</c:f>
              <c:numCache>
                <c:formatCode>0</c:formatCode>
                <c:ptCount val="30"/>
                <c:pt idx="0">
                  <c:v>73.744882508541806</c:v>
                </c:pt>
                <c:pt idx="1">
                  <c:v>125.481328464611</c:v>
                </c:pt>
                <c:pt idx="2">
                  <c:v>323.08639313519097</c:v>
                </c:pt>
                <c:pt idx="3">
                  <c:v>399.27094842648501</c:v>
                </c:pt>
                <c:pt idx="4">
                  <c:v>600.17739802343499</c:v>
                </c:pt>
                <c:pt idx="5">
                  <c:v>805.80706886916903</c:v>
                </c:pt>
                <c:pt idx="6">
                  <c:v>1009.78409212544</c:v>
                </c:pt>
                <c:pt idx="7">
                  <c:v>1212.01489189936</c:v>
                </c:pt>
                <c:pt idx="8">
                  <c:v>1417.88155487215</c:v>
                </c:pt>
                <c:pt idx="9">
                  <c:v>1629.3373836210901</c:v>
                </c:pt>
                <c:pt idx="10">
                  <c:v>1847.3798855293401</c:v>
                </c:pt>
                <c:pt idx="11">
                  <c:v>2073.33210064471</c:v>
                </c:pt>
                <c:pt idx="12">
                  <c:v>2551.7700657006899</c:v>
                </c:pt>
                <c:pt idx="13">
                  <c:v>3065.49063129248</c:v>
                </c:pt>
                <c:pt idx="14">
                  <c:v>3614.2904175396602</c:v>
                </c:pt>
                <c:pt idx="15">
                  <c:v>4187.40288902261</c:v>
                </c:pt>
                <c:pt idx="16">
                  <c:v>4762.77131229304</c:v>
                </c:pt>
                <c:pt idx="17">
                  <c:v>5318.12867702107</c:v>
                </c:pt>
                <c:pt idx="18">
                  <c:v>5825.29885080243</c:v>
                </c:pt>
                <c:pt idx="19">
                  <c:v>6246.8259987966203</c:v>
                </c:pt>
                <c:pt idx="20">
                  <c:v>6548.3674564523399</c:v>
                </c:pt>
                <c:pt idx="21">
                  <c:v>6713.8049449262999</c:v>
                </c:pt>
                <c:pt idx="22">
                  <c:v>6741.1080528359298</c:v>
                </c:pt>
                <c:pt idx="23">
                  <c:v>6643.5206282463196</c:v>
                </c:pt>
                <c:pt idx="24">
                  <c:v>6444.9934182542202</c:v>
                </c:pt>
                <c:pt idx="25">
                  <c:v>5496.24826575715</c:v>
                </c:pt>
                <c:pt idx="26">
                  <c:v>4775.77638559362</c:v>
                </c:pt>
                <c:pt idx="27">
                  <c:v>4102.74932207847</c:v>
                </c:pt>
                <c:pt idx="28">
                  <c:v>3517.87316949043</c:v>
                </c:pt>
                <c:pt idx="29">
                  <c:v>3031.3448576716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25-4842-AFC0-A18C8F896D27}"/>
            </c:ext>
          </c:extLst>
        </c:ser>
        <c:ser>
          <c:idx val="1"/>
          <c:order val="1"/>
          <c:tx>
            <c:strRef>
              <c:f>'5943001001'!$A$27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'5943001001'!$B$27:$AE$27</c:f>
              <c:numCache>
                <c:formatCode>0</c:formatCode>
                <c:ptCount val="30"/>
                <c:pt idx="0">
                  <c:v>872.98132912879703</c:v>
                </c:pt>
                <c:pt idx="1">
                  <c:v>997.39679920749802</c:v>
                </c:pt>
                <c:pt idx="2">
                  <c:v>1293.4071840531201</c:v>
                </c:pt>
                <c:pt idx="3">
                  <c:v>1395.65487162149</c:v>
                </c:pt>
                <c:pt idx="4">
                  <c:v>1645.83244704396</c:v>
                </c:pt>
                <c:pt idx="5">
                  <c:v>1851.83152869479</c:v>
                </c:pt>
                <c:pt idx="6">
                  <c:v>2018.3089962718</c:v>
                </c:pt>
                <c:pt idx="7">
                  <c:v>2165.3838058360302</c:v>
                </c:pt>
                <c:pt idx="8">
                  <c:v>2308.8595794671</c:v>
                </c:pt>
                <c:pt idx="9">
                  <c:v>2450.7727481146599</c:v>
                </c:pt>
                <c:pt idx="10">
                  <c:v>2588.0719551592301</c:v>
                </c:pt>
                <c:pt idx="11">
                  <c:v>2712.2626135093501</c:v>
                </c:pt>
                <c:pt idx="12">
                  <c:v>2893.1895612230801</c:v>
                </c:pt>
                <c:pt idx="13">
                  <c:v>2977.80677006116</c:v>
                </c:pt>
                <c:pt idx="14">
                  <c:v>2965.6844021044799</c:v>
                </c:pt>
                <c:pt idx="15">
                  <c:v>2863.1640142449801</c:v>
                </c:pt>
                <c:pt idx="16">
                  <c:v>2669.18276522414</c:v>
                </c:pt>
                <c:pt idx="17">
                  <c:v>2377.6124538991298</c:v>
                </c:pt>
                <c:pt idx="18">
                  <c:v>1982.67493356724</c:v>
                </c:pt>
                <c:pt idx="19">
                  <c:v>1484.9169377220101</c:v>
                </c:pt>
                <c:pt idx="20">
                  <c:v>901.25153845690204</c:v>
                </c:pt>
                <c:pt idx="21">
                  <c:v>265.120312028412</c:v>
                </c:pt>
                <c:pt idx="22">
                  <c:v>-382.324166080797</c:v>
                </c:pt>
                <c:pt idx="23">
                  <c:v>-1003.18218036736</c:v>
                </c:pt>
                <c:pt idx="24">
                  <c:v>-1569.55841747315</c:v>
                </c:pt>
                <c:pt idx="25">
                  <c:v>-2818.6661923474599</c:v>
                </c:pt>
                <c:pt idx="26">
                  <c:v>-3281.19882281728</c:v>
                </c:pt>
                <c:pt idx="27">
                  <c:v>-3516.40418673259</c:v>
                </c:pt>
                <c:pt idx="28">
                  <c:v>-3593.5243664222098</c:v>
                </c:pt>
                <c:pt idx="29">
                  <c:v>-3572.7114360452902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25-4842-AFC0-A18C8F896D27}"/>
            </c:ext>
          </c:extLst>
        </c:ser>
        <c:ser>
          <c:idx val="2"/>
          <c:order val="2"/>
          <c:tx>
            <c:strRef>
              <c:f>'5943001001'!$A$28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'5943001001'!$B$28:$AE$28</c:f>
              <c:numCache>
                <c:formatCode>0</c:formatCode>
                <c:ptCount val="30"/>
                <c:pt idx="0">
                  <c:v>876.09058247630969</c:v>
                </c:pt>
                <c:pt idx="1">
                  <c:v>1005.2591401537245</c:v>
                </c:pt>
                <c:pt idx="2">
                  <c:v>1333.1492644071516</c:v>
                </c:pt>
                <c:pt idx="3">
                  <c:v>1451.6438306065929</c:v>
                </c:pt>
                <c:pt idx="4">
                  <c:v>1751.8496947058243</c:v>
                </c:pt>
                <c:pt idx="5">
                  <c:v>2019.5556548180605</c:v>
                </c:pt>
                <c:pt idx="6">
                  <c:v>2256.8196908794639</c:v>
                </c:pt>
                <c:pt idx="7">
                  <c:v>2481.5050120365963</c:v>
                </c:pt>
                <c:pt idx="8">
                  <c:v>2709.4687046252557</c:v>
                </c:pt>
                <c:pt idx="9">
                  <c:v>2942.9623464405217</c:v>
                </c:pt>
                <c:pt idx="10">
                  <c:v>3179.7686844391869</c:v>
                </c:pt>
                <c:pt idx="11">
                  <c:v>3413.9529118317341</c:v>
                </c:pt>
                <c:pt idx="12">
                  <c:v>3857.7294235568543</c:v>
                </c:pt>
                <c:pt idx="13">
                  <c:v>4273.7063505070219</c:v>
                </c:pt>
                <c:pt idx="14">
                  <c:v>4675.2945570525089</c:v>
                </c:pt>
                <c:pt idx="15">
                  <c:v>5072.6769192865349</c:v>
                </c:pt>
                <c:pt idx="16">
                  <c:v>5459.7186014822364</c:v>
                </c:pt>
                <c:pt idx="17">
                  <c:v>5825.4213243584472</c:v>
                </c:pt>
                <c:pt idx="18">
                  <c:v>6153.4629757036782</c:v>
                </c:pt>
                <c:pt idx="19">
                  <c:v>6420.888830308083</c:v>
                </c:pt>
                <c:pt idx="20">
                  <c:v>6610.0961173265123</c:v>
                </c:pt>
                <c:pt idx="21">
                  <c:v>6719.0375514925408</c:v>
                </c:pt>
                <c:pt idx="22">
                  <c:v>6751.9411688771997</c:v>
                </c:pt>
                <c:pt idx="23">
                  <c:v>6718.8347817862714</c:v>
                </c:pt>
                <c:pt idx="24">
                  <c:v>6633.3591631390682</c:v>
                </c:pt>
                <c:pt idx="25">
                  <c:v>6176.8619947932302</c:v>
                </c:pt>
                <c:pt idx="26">
                  <c:v>5794.3339392937278</c:v>
                </c:pt>
                <c:pt idx="27">
                  <c:v>5403.4850239716434</c:v>
                </c:pt>
                <c:pt idx="28">
                  <c:v>5028.8019456616894</c:v>
                </c:pt>
                <c:pt idx="29">
                  <c:v>4685.4368687861815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25-4842-AFC0-A18C8F896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58856"/>
        <c:axId val="402059248"/>
      </c:scatterChart>
      <c:valAx>
        <c:axId val="40205885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059248"/>
        <c:crosses val="autoZero"/>
        <c:crossBetween val="midCat"/>
      </c:valAx>
      <c:valAx>
        <c:axId val="402059248"/>
        <c:scaling>
          <c:orientation val="minMax"/>
          <c:max val="10000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058856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'5943001001'!$A$19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3-4C5C-969A-1C88D5486B5E}"/>
            </c:ext>
          </c:extLst>
        </c:ser>
        <c:ser>
          <c:idx val="1"/>
          <c:order val="1"/>
          <c:tx>
            <c:strRef>
              <c:f>'5943001001'!$A$20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63-4C5C-969A-1C88D5486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73432"/>
        <c:axId val="402173824"/>
      </c:scatterChart>
      <c:valAx>
        <c:axId val="40217343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173824"/>
        <c:crosses val="autoZero"/>
        <c:crossBetween val="midCat"/>
      </c:valAx>
      <c:valAx>
        <c:axId val="402173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1734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'2643102002'!$A$26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'2643102002'!$B$26:$AE$26</c:f>
              <c:numCache>
                <c:formatCode>0</c:formatCode>
                <c:ptCount val="30"/>
                <c:pt idx="0">
                  <c:v>15.7677438597941</c:v>
                </c:pt>
                <c:pt idx="1">
                  <c:v>26.700909875130598</c:v>
                </c:pt>
                <c:pt idx="2">
                  <c:v>67.607782174257196</c:v>
                </c:pt>
                <c:pt idx="3">
                  <c:v>82.9818465192064</c:v>
                </c:pt>
                <c:pt idx="4">
                  <c:v>122.34016437243299</c:v>
                </c:pt>
                <c:pt idx="5">
                  <c:v>160.841113956632</c:v>
                </c:pt>
                <c:pt idx="6">
                  <c:v>197.188963159742</c:v>
                </c:pt>
                <c:pt idx="7">
                  <c:v>231.27044982870001</c:v>
                </c:pt>
                <c:pt idx="8">
                  <c:v>263.88324287556901</c:v>
                </c:pt>
                <c:pt idx="9">
                  <c:v>295.19305243951402</c:v>
                </c:pt>
                <c:pt idx="10">
                  <c:v>325.26568855169501</c:v>
                </c:pt>
                <c:pt idx="11">
                  <c:v>354.41521596277602</c:v>
                </c:pt>
                <c:pt idx="12">
                  <c:v>411.230561514567</c:v>
                </c:pt>
                <c:pt idx="13">
                  <c:v>466.88635570174699</c:v>
                </c:pt>
                <c:pt idx="14">
                  <c:v>576.63974860844803</c:v>
                </c:pt>
                <c:pt idx="15">
                  <c:v>677.16066879610196</c:v>
                </c:pt>
                <c:pt idx="16">
                  <c:v>766.95632235128198</c:v>
                </c:pt>
                <c:pt idx="17">
                  <c:v>849.75876928365403</c:v>
                </c:pt>
                <c:pt idx="18">
                  <c:v>928.70088217767295</c:v>
                </c:pt>
                <c:pt idx="19">
                  <c:v>1004.12899047343</c:v>
                </c:pt>
                <c:pt idx="20">
                  <c:v>1174.9517409068201</c:v>
                </c:pt>
                <c:pt idx="21">
                  <c:v>1306.36141795149</c:v>
                </c:pt>
                <c:pt idx="22">
                  <c:v>1392.31157119454</c:v>
                </c:pt>
                <c:pt idx="23">
                  <c:v>1467.3669451287101</c:v>
                </c:pt>
                <c:pt idx="24">
                  <c:v>1540.02360104183</c:v>
                </c:pt>
                <c:pt idx="25">
                  <c:v>1586.3943776055401</c:v>
                </c:pt>
                <c:pt idx="26">
                  <c:v>1603.71698465789</c:v>
                </c:pt>
                <c:pt idx="27">
                  <c:v>1611.5372331634901</c:v>
                </c:pt>
                <c:pt idx="28">
                  <c:v>1625.6332139618501</c:v>
                </c:pt>
                <c:pt idx="29">
                  <c:v>1642.8557793832499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8-45A5-B429-4EECA43DBDB0}"/>
            </c:ext>
          </c:extLst>
        </c:ser>
        <c:ser>
          <c:idx val="1"/>
          <c:order val="1"/>
          <c:tx>
            <c:strRef>
              <c:f>'2643102002'!$A$27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'2643102002'!$B$27:$AE$27</c:f>
              <c:numCache>
                <c:formatCode>0</c:formatCode>
                <c:ptCount val="30"/>
                <c:pt idx="0">
                  <c:v>187.88508129751401</c:v>
                </c:pt>
                <c:pt idx="1">
                  <c:v>214.16607329299299</c:v>
                </c:pt>
                <c:pt idx="2">
                  <c:v>275.66574281414302</c:v>
                </c:pt>
                <c:pt idx="3">
                  <c:v>296.62228958149302</c:v>
                </c:pt>
                <c:pt idx="4">
                  <c:v>347.19675284879401</c:v>
                </c:pt>
                <c:pt idx="5">
                  <c:v>387.91721190935198</c:v>
                </c:pt>
                <c:pt idx="6">
                  <c:v>420.19712016110702</c:v>
                </c:pt>
                <c:pt idx="7">
                  <c:v>448.37955465376098</c:v>
                </c:pt>
                <c:pt idx="8">
                  <c:v>475.73981286994803</c:v>
                </c:pt>
                <c:pt idx="9">
                  <c:v>502.76145920159001</c:v>
                </c:pt>
                <c:pt idx="10">
                  <c:v>528.99102475609095</c:v>
                </c:pt>
                <c:pt idx="11">
                  <c:v>553.14014141120504</c:v>
                </c:pt>
                <c:pt idx="12">
                  <c:v>591.95592011934502</c:v>
                </c:pt>
                <c:pt idx="13">
                  <c:v>620.16200677700897</c:v>
                </c:pt>
                <c:pt idx="14">
                  <c:v>659.60580354547801</c:v>
                </c:pt>
                <c:pt idx="15">
                  <c:v>690.99348078439402</c:v>
                </c:pt>
                <c:pt idx="16">
                  <c:v>712.91809057046396</c:v>
                </c:pt>
                <c:pt idx="17">
                  <c:v>718.10471016396002</c:v>
                </c:pt>
                <c:pt idx="18">
                  <c:v>710.27838843861298</c:v>
                </c:pt>
                <c:pt idx="19">
                  <c:v>695.96033537146104</c:v>
                </c:pt>
                <c:pt idx="20">
                  <c:v>648.13250511899901</c:v>
                </c:pt>
                <c:pt idx="21">
                  <c:v>585.50151827489799</c:v>
                </c:pt>
                <c:pt idx="22">
                  <c:v>517.15836849544996</c:v>
                </c:pt>
                <c:pt idx="23">
                  <c:v>440.467493348017</c:v>
                </c:pt>
                <c:pt idx="24">
                  <c:v>353.65310239676</c:v>
                </c:pt>
                <c:pt idx="25">
                  <c:v>268.43047153678401</c:v>
                </c:pt>
                <c:pt idx="26">
                  <c:v>189.40996757568999</c:v>
                </c:pt>
                <c:pt idx="27">
                  <c:v>111.42943541474099</c:v>
                </c:pt>
                <c:pt idx="28">
                  <c:v>26.617747664136299</c:v>
                </c:pt>
                <c:pt idx="29">
                  <c:v>-63.635224444235497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08-45A5-B429-4EECA43DBDB0}"/>
            </c:ext>
          </c:extLst>
        </c:ser>
        <c:ser>
          <c:idx val="2"/>
          <c:order val="2"/>
          <c:tx>
            <c:strRef>
              <c:f>'2643102002'!$A$28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'2643102002'!$B$28:$AE$28</c:f>
              <c:numCache>
                <c:formatCode>0</c:formatCode>
                <c:ptCount val="30"/>
                <c:pt idx="0">
                  <c:v>188.54555290592648</c:v>
                </c:pt>
                <c:pt idx="1">
                  <c:v>215.82410787004193</c:v>
                </c:pt>
                <c:pt idx="2">
                  <c:v>283.8351880436868</c:v>
                </c:pt>
                <c:pt idx="3">
                  <c:v>308.01098929795387</c:v>
                </c:pt>
                <c:pt idx="4">
                  <c:v>368.12049794519794</c:v>
                </c:pt>
                <c:pt idx="5">
                  <c:v>419.94002814013265</c:v>
                </c:pt>
                <c:pt idx="6">
                  <c:v>464.16495665194492</c:v>
                </c:pt>
                <c:pt idx="7">
                  <c:v>504.50990673670054</c:v>
                </c:pt>
                <c:pt idx="8">
                  <c:v>544.02457244141067</c:v>
                </c:pt>
                <c:pt idx="9">
                  <c:v>583.01631458053532</c:v>
                </c:pt>
                <c:pt idx="10">
                  <c:v>620.99055743345048</c:v>
                </c:pt>
                <c:pt idx="11">
                  <c:v>656.94304269574923</c:v>
                </c:pt>
                <c:pt idx="12">
                  <c:v>720.77901335147556</c:v>
                </c:pt>
                <c:pt idx="13">
                  <c:v>776.26270282047255</c:v>
                </c:pt>
                <c:pt idx="14">
                  <c:v>876.12397281782546</c:v>
                </c:pt>
                <c:pt idx="15">
                  <c:v>967.48052272431653</c:v>
                </c:pt>
                <c:pt idx="16">
                  <c:v>1047.1266419384237</c:v>
                </c:pt>
                <c:pt idx="17">
                  <c:v>1112.5485790445896</c:v>
                </c:pt>
                <c:pt idx="18">
                  <c:v>1169.1795061668424</c:v>
                </c:pt>
                <c:pt idx="19">
                  <c:v>1221.7347575965687</c:v>
                </c:pt>
                <c:pt idx="20">
                  <c:v>1341.8596564662776</c:v>
                </c:pt>
                <c:pt idx="21">
                  <c:v>1431.5698314139058</c:v>
                </c:pt>
                <c:pt idx="22">
                  <c:v>1485.2556309898589</c:v>
                </c:pt>
                <c:pt idx="23">
                  <c:v>1532.0500528222465</c:v>
                </c:pt>
                <c:pt idx="24">
                  <c:v>1580.1086065839584</c:v>
                </c:pt>
                <c:pt idx="25">
                  <c:v>1608.9443866547811</c:v>
                </c:pt>
                <c:pt idx="26">
                  <c:v>1614.8635554427558</c:v>
                </c:pt>
                <c:pt idx="27">
                  <c:v>1615.3850231288777</c:v>
                </c:pt>
                <c:pt idx="28">
                  <c:v>1625.8511158241536</c:v>
                </c:pt>
                <c:pt idx="29">
                  <c:v>1644.0877572815307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08-45A5-B429-4EECA43DB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74608"/>
        <c:axId val="402175000"/>
      </c:scatterChart>
      <c:valAx>
        <c:axId val="4021746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175000"/>
        <c:crosses val="autoZero"/>
        <c:crossBetween val="midCat"/>
      </c:valAx>
      <c:valAx>
        <c:axId val="4021750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17460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'2643102002'!$A$19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220.6469586</c:v>
                </c:pt>
                <c:pt idx="15">
                  <c:v>213.62398562766845</c:v>
                </c:pt>
                <c:pt idx="16">
                  <c:v>205.16650282262194</c:v>
                </c:pt>
                <c:pt idx="17">
                  <c:v>196.96248291112678</c:v>
                </c:pt>
                <c:pt idx="18">
                  <c:v>189.68726462651435</c:v>
                </c:pt>
                <c:pt idx="19">
                  <c:v>183.12416059501919</c:v>
                </c:pt>
                <c:pt idx="20">
                  <c:v>168.40814625334281</c:v>
                </c:pt>
                <c:pt idx="21">
                  <c:v>153.87192534130403</c:v>
                </c:pt>
                <c:pt idx="22">
                  <c:v>139.10937016354671</c:v>
                </c:pt>
                <c:pt idx="23">
                  <c:v>127.4589472137886</c:v>
                </c:pt>
                <c:pt idx="24">
                  <c:v>118.68687567295338</c:v>
                </c:pt>
                <c:pt idx="25">
                  <c:v>110.19641482179179</c:v>
                </c:pt>
                <c:pt idx="26">
                  <c:v>101.7057239462721</c:v>
                </c:pt>
                <c:pt idx="27">
                  <c:v>94.393941549916462</c:v>
                </c:pt>
                <c:pt idx="28">
                  <c:v>88.963299329674513</c:v>
                </c:pt>
                <c:pt idx="29">
                  <c:v>84.87431294557696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57-4B5F-8E85-D39D82B3B20B}"/>
            </c:ext>
          </c:extLst>
        </c:ser>
        <c:ser>
          <c:idx val="1"/>
          <c:order val="1"/>
          <c:tx>
            <c:strRef>
              <c:f>'2643102002'!$A$20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261.62060355602716</c:v>
                </c:pt>
                <c:pt idx="15">
                  <c:v>229.11984224841194</c:v>
                </c:pt>
                <c:pt idx="16">
                  <c:v>203.61154173946414</c:v>
                </c:pt>
                <c:pt idx="17">
                  <c:v>180.86787915758393</c:v>
                </c:pt>
                <c:pt idx="18">
                  <c:v>160.86317032687728</c:v>
                </c:pt>
                <c:pt idx="19">
                  <c:v>144.02678004566488</c:v>
                </c:pt>
                <c:pt idx="20">
                  <c:v>113.16779951712498</c:v>
                </c:pt>
                <c:pt idx="21">
                  <c:v>91.714826092022733</c:v>
                </c:pt>
                <c:pt idx="22">
                  <c:v>75.905447560745202</c:v>
                </c:pt>
                <c:pt idx="23">
                  <c:v>63.880529617661864</c:v>
                </c:pt>
                <c:pt idx="24">
                  <c:v>54.458087874936339</c:v>
                </c:pt>
                <c:pt idx="25">
                  <c:v>46.892188642568428</c:v>
                </c:pt>
                <c:pt idx="26">
                  <c:v>40.588173246559535</c:v>
                </c:pt>
                <c:pt idx="27">
                  <c:v>35.337763018844903</c:v>
                </c:pt>
                <c:pt idx="28">
                  <c:v>30.996841779914071</c:v>
                </c:pt>
                <c:pt idx="29">
                  <c:v>27.422075216445911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57-4B5F-8E85-D39D82B3B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76176"/>
        <c:axId val="402176568"/>
      </c:scatterChart>
      <c:valAx>
        <c:axId val="40217617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176568"/>
        <c:crosses val="autoZero"/>
        <c:crossBetween val="midCat"/>
      </c:valAx>
      <c:valAx>
        <c:axId val="402176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1761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 x 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2'!$B$26:$AE$26</c:f>
              <c:numCache>
                <c:formatCode>0</c:formatCode>
                <c:ptCount val="30"/>
                <c:pt idx="0">
                  <c:v>53.202279031597101</c:v>
                </c:pt>
                <c:pt idx="1">
                  <c:v>90.840169392622101</c:v>
                </c:pt>
                <c:pt idx="2">
                  <c:v>236.74204456341801</c:v>
                </c:pt>
                <c:pt idx="3">
                  <c:v>294.02500610334903</c:v>
                </c:pt>
                <c:pt idx="4">
                  <c:v>448.31851889549301</c:v>
                </c:pt>
                <c:pt idx="5">
                  <c:v>611.37173371461802</c:v>
                </c:pt>
                <c:pt idx="6">
                  <c:v>778.76419037556298</c:v>
                </c:pt>
                <c:pt idx="7">
                  <c:v>951.07751689015902</c:v>
                </c:pt>
                <c:pt idx="8">
                  <c:v>1133.6898013907801</c:v>
                </c:pt>
                <c:pt idx="9">
                  <c:v>1329.3314172329201</c:v>
                </c:pt>
                <c:pt idx="10">
                  <c:v>1539.7393997219201</c:v>
                </c:pt>
                <c:pt idx="11">
                  <c:v>1766.02757723938</c:v>
                </c:pt>
                <c:pt idx="12">
                  <c:v>2263.9326925907098</c:v>
                </c:pt>
                <c:pt idx="13">
                  <c:v>2808.61783172173</c:v>
                </c:pt>
                <c:pt idx="14">
                  <c:v>3369.7702104979298</c:v>
                </c:pt>
                <c:pt idx="15">
                  <c:v>3893.94553090522</c:v>
                </c:pt>
                <c:pt idx="16">
                  <c:v>4309.2925058364099</c:v>
                </c:pt>
                <c:pt idx="17">
                  <c:v>4553.42242805964</c:v>
                </c:pt>
                <c:pt idx="18">
                  <c:v>4592.5986647751197</c:v>
                </c:pt>
                <c:pt idx="19">
                  <c:v>4434.7003399497198</c:v>
                </c:pt>
                <c:pt idx="20">
                  <c:v>4130.2726873053698</c:v>
                </c:pt>
                <c:pt idx="21">
                  <c:v>3748.3686543098502</c:v>
                </c:pt>
                <c:pt idx="22">
                  <c:v>3346.6711931814202</c:v>
                </c:pt>
                <c:pt idx="23">
                  <c:v>2961.9320540067702</c:v>
                </c:pt>
                <c:pt idx="24">
                  <c:v>2612.33562626512</c:v>
                </c:pt>
                <c:pt idx="25">
                  <c:v>1804.05900451915</c:v>
                </c:pt>
                <c:pt idx="26">
                  <c:v>1434.421403868</c:v>
                </c:pt>
                <c:pt idx="27">
                  <c:v>1161.1670518866099</c:v>
                </c:pt>
                <c:pt idx="28">
                  <c:v>957.70221571795605</c:v>
                </c:pt>
                <c:pt idx="29">
                  <c:v>804.50509198943996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79-43F6-A56D-423BEAE64819}"/>
            </c:ext>
          </c:extLst>
        </c:ser>
        <c:ser>
          <c:idx val="1"/>
          <c:order val="1"/>
          <c:tx>
            <c:strRef>
              <c:f>'FT240-43 x 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2'!$B$27:$AE$27</c:f>
              <c:numCache>
                <c:formatCode>0</c:formatCode>
                <c:ptCount val="30"/>
                <c:pt idx="0">
                  <c:v>626.86343361500997</c:v>
                </c:pt>
                <c:pt idx="1">
                  <c:v>717.39207980688798</c:v>
                </c:pt>
                <c:pt idx="2">
                  <c:v>935.31040802453504</c:v>
                </c:pt>
                <c:pt idx="3">
                  <c:v>1011.30229998546</c:v>
                </c:pt>
                <c:pt idx="4">
                  <c:v>1198.99499035645</c:v>
                </c:pt>
                <c:pt idx="5">
                  <c:v>1355.7500604069101</c:v>
                </c:pt>
                <c:pt idx="6">
                  <c:v>1483.62469795475</c:v>
                </c:pt>
                <c:pt idx="7">
                  <c:v>1596.6565272058399</c:v>
                </c:pt>
                <c:pt idx="8">
                  <c:v>1705.95991239062</c:v>
                </c:pt>
                <c:pt idx="9">
                  <c:v>1812.0857617720201</c:v>
                </c:pt>
                <c:pt idx="10">
                  <c:v>1911.20330324872</c:v>
                </c:pt>
                <c:pt idx="11">
                  <c:v>1994.2644419565299</c:v>
                </c:pt>
                <c:pt idx="12">
                  <c:v>2076.5358956969299</c:v>
                </c:pt>
                <c:pt idx="13">
                  <c:v>2018.0918194947201</c:v>
                </c:pt>
                <c:pt idx="14">
                  <c:v>1792.0287052775</c:v>
                </c:pt>
                <c:pt idx="15">
                  <c:v>1393.1008199519999</c:v>
                </c:pt>
                <c:pt idx="16">
                  <c:v>841.19695279498899</c:v>
                </c:pt>
                <c:pt idx="17">
                  <c:v>186.04676163232801</c:v>
                </c:pt>
                <c:pt idx="18">
                  <c:v>-495.63912335774398</c:v>
                </c:pt>
                <c:pt idx="19">
                  <c:v>-1119.5684391482</c:v>
                </c:pt>
                <c:pt idx="20">
                  <c:v>-1624.53146549742</c:v>
                </c:pt>
                <c:pt idx="21">
                  <c:v>-1991.3715845317199</c:v>
                </c:pt>
                <c:pt idx="22">
                  <c:v>-2230.93583702975</c:v>
                </c:pt>
                <c:pt idx="23">
                  <c:v>-2369.10674386746</c:v>
                </c:pt>
                <c:pt idx="24">
                  <c:v>-2433.8536287837801</c:v>
                </c:pt>
                <c:pt idx="25">
                  <c:v>-2386.7726117055599</c:v>
                </c:pt>
                <c:pt idx="26">
                  <c:v>-2269.42616666398</c:v>
                </c:pt>
                <c:pt idx="27">
                  <c:v>-2135.0046013482001</c:v>
                </c:pt>
                <c:pt idx="28">
                  <c:v>-2000.9302508513099</c:v>
                </c:pt>
                <c:pt idx="29">
                  <c:v>-1875.43209442849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79-43F6-A56D-423BEAE64819}"/>
            </c:ext>
          </c:extLst>
        </c:ser>
        <c:ser>
          <c:idx val="2"/>
          <c:order val="2"/>
          <c:tx>
            <c:strRef>
              <c:f>'FT240-43 x 2'!$A$28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2'!$B$28:$AE$28</c:f>
              <c:numCache>
                <c:formatCode>0</c:formatCode>
                <c:ptCount val="30"/>
                <c:pt idx="0">
                  <c:v>629.11703751985283</c:v>
                </c:pt>
                <c:pt idx="1">
                  <c:v>723.1205518756417</c:v>
                </c:pt>
                <c:pt idx="2">
                  <c:v>964.80690038115381</c:v>
                </c:pt>
                <c:pt idx="3">
                  <c:v>1053.1775947910949</c:v>
                </c:pt>
                <c:pt idx="4">
                  <c:v>1280.0697173531262</c:v>
                </c:pt>
                <c:pt idx="5">
                  <c:v>1487.223461043618</c:v>
                </c:pt>
                <c:pt idx="6">
                  <c:v>1675.5941956788431</c:v>
                </c:pt>
                <c:pt idx="7">
                  <c:v>1858.4564856361217</c:v>
                </c:pt>
                <c:pt idx="8">
                  <c:v>2048.3046132011905</c:v>
                </c:pt>
                <c:pt idx="9">
                  <c:v>2247.3933400407163</c:v>
                </c:pt>
                <c:pt idx="10">
                  <c:v>2454.2810526516391</c:v>
                </c:pt>
                <c:pt idx="11">
                  <c:v>2663.821328096572</c:v>
                </c:pt>
                <c:pt idx="12">
                  <c:v>3072.0339455642206</c:v>
                </c:pt>
                <c:pt idx="13">
                  <c:v>3458.4720204993396</c:v>
                </c:pt>
                <c:pt idx="14">
                  <c:v>3816.6370212659494</c:v>
                </c:pt>
                <c:pt idx="15">
                  <c:v>4135.6428390526744</c:v>
                </c:pt>
                <c:pt idx="16">
                  <c:v>4390.6279977070953</c:v>
                </c:pt>
                <c:pt idx="17">
                  <c:v>4557.2216542396118</c:v>
                </c:pt>
                <c:pt idx="18">
                  <c:v>4619.2662443614399</c:v>
                </c:pt>
                <c:pt idx="19">
                  <c:v>4573.8387154650418</c:v>
                </c:pt>
                <c:pt idx="20">
                  <c:v>4438.2716178589071</c:v>
                </c:pt>
                <c:pt idx="21">
                  <c:v>4244.5056668937332</c:v>
                </c:pt>
                <c:pt idx="22">
                  <c:v>4022.099300640647</c:v>
                </c:pt>
                <c:pt idx="23">
                  <c:v>3792.8496221694636</c:v>
                </c:pt>
                <c:pt idx="24">
                  <c:v>3570.4258724412625</c:v>
                </c:pt>
                <c:pt idx="25">
                  <c:v>2991.8743943846316</c:v>
                </c:pt>
                <c:pt idx="26">
                  <c:v>2684.7457775018124</c:v>
                </c:pt>
                <c:pt idx="27">
                  <c:v>2430.3402169583233</c:v>
                </c:pt>
                <c:pt idx="28">
                  <c:v>2218.3136394033572</c:v>
                </c:pt>
                <c:pt idx="29">
                  <c:v>2040.7042862329101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79-43F6-A56D-423BEAE64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611480"/>
        <c:axId val="402611872"/>
      </c:scatterChart>
      <c:valAx>
        <c:axId val="40261148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611872"/>
        <c:crosses val="autoZero"/>
        <c:crossBetween val="midCat"/>
      </c:valAx>
      <c:valAx>
        <c:axId val="402611872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6114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 x 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82-4B2D-8FFC-6CBC4F8A384D}"/>
            </c:ext>
          </c:extLst>
        </c:ser>
        <c:ser>
          <c:idx val="1"/>
          <c:order val="1"/>
          <c:tx>
            <c:strRef>
              <c:f>'FT240-43 x 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82-4B2D-8FFC-6CBC4F8A3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613048"/>
        <c:axId val="402613440"/>
      </c:scatterChart>
      <c:valAx>
        <c:axId val="40261304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613440"/>
        <c:crosses val="autoZero"/>
        <c:crossBetween val="midCat"/>
      </c:valAx>
      <c:valAx>
        <c:axId val="40261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6130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137193971154939"/>
          <c:y val="0.45982189726284212"/>
          <c:w val="0.98662277583195068"/>
          <c:h val="0.546875468691413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69574092657566"/>
          <c:y val="0.14508944384922992"/>
          <c:w val="0.7625424286541308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'FB2401-43 x 25'!$A$26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25'!$B$26:$AE$26</c:f>
              <c:numCache>
                <c:formatCode>0</c:formatCode>
                <c:ptCount val="30"/>
                <c:pt idx="0">
                  <c:v>7.14173283777642</c:v>
                </c:pt>
                <c:pt idx="1">
                  <c:v>12.0894292010661</c:v>
                </c:pt>
                <c:pt idx="2">
                  <c:v>30.5733167745149</c:v>
                </c:pt>
                <c:pt idx="3">
                  <c:v>37.507009345796</c:v>
                </c:pt>
                <c:pt idx="4">
                  <c:v>55.218627386285</c:v>
                </c:pt>
                <c:pt idx="5">
                  <c:v>72.486018693817996</c:v>
                </c:pt>
                <c:pt idx="6">
                  <c:v>88.7269863765613</c:v>
                </c:pt>
                <c:pt idx="7">
                  <c:v>103.890071165894</c:v>
                </c:pt>
                <c:pt idx="8">
                  <c:v>118.329270980705</c:v>
                </c:pt>
                <c:pt idx="9">
                  <c:v>132.116207735741</c:v>
                </c:pt>
                <c:pt idx="10">
                  <c:v>145.28060341512801</c:v>
                </c:pt>
                <c:pt idx="11">
                  <c:v>157.96859589889701</c:v>
                </c:pt>
                <c:pt idx="12">
                  <c:v>182.519020898424</c:v>
                </c:pt>
                <c:pt idx="13">
                  <c:v>206.35398233884499</c:v>
                </c:pt>
                <c:pt idx="14">
                  <c:v>229.888723940533</c:v>
                </c:pt>
                <c:pt idx="15">
                  <c:v>252.72869364344999</c:v>
                </c:pt>
                <c:pt idx="16">
                  <c:v>274.20473603376303</c:v>
                </c:pt>
                <c:pt idx="17">
                  <c:v>294.19481839191201</c:v>
                </c:pt>
                <c:pt idx="18">
                  <c:v>312.81835475148102</c:v>
                </c:pt>
                <c:pt idx="19">
                  <c:v>330.289476904911</c:v>
                </c:pt>
                <c:pt idx="20">
                  <c:v>346.92257222705803</c:v>
                </c:pt>
                <c:pt idx="21">
                  <c:v>363.039416163944</c:v>
                </c:pt>
                <c:pt idx="22">
                  <c:v>378.71977091578702</c:v>
                </c:pt>
                <c:pt idx="23">
                  <c:v>393.98239476760801</c:v>
                </c:pt>
                <c:pt idx="24">
                  <c:v>408.83417951237601</c:v>
                </c:pt>
                <c:pt idx="25">
                  <c:v>450.80053795452199</c:v>
                </c:pt>
                <c:pt idx="26">
                  <c:v>476.38995165773702</c:v>
                </c:pt>
                <c:pt idx="27">
                  <c:v>499.67968862254003</c:v>
                </c:pt>
                <c:pt idx="28">
                  <c:v>520.13678175336895</c:v>
                </c:pt>
                <c:pt idx="29">
                  <c:v>537.17851806693795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DB-4BB9-89B6-1E61ADA4998C}"/>
            </c:ext>
          </c:extLst>
        </c:ser>
        <c:ser>
          <c:idx val="1"/>
          <c:order val="1"/>
          <c:tx>
            <c:strRef>
              <c:f>'FB2401-43 x 25'!$A$27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25'!$B$27:$AE$27</c:f>
              <c:numCache>
                <c:formatCode>0</c:formatCode>
                <c:ptCount val="30"/>
                <c:pt idx="0">
                  <c:v>85.140780106813807</c:v>
                </c:pt>
                <c:pt idx="1">
                  <c:v>97.033529462961894</c:v>
                </c:pt>
                <c:pt idx="2">
                  <c:v>124.829098285512</c:v>
                </c:pt>
                <c:pt idx="3">
                  <c:v>134.29103498619401</c:v>
                </c:pt>
                <c:pt idx="4">
                  <c:v>157.101638354583</c:v>
                </c:pt>
                <c:pt idx="5">
                  <c:v>175.435256032133</c:v>
                </c:pt>
                <c:pt idx="6">
                  <c:v>189.94419584687799</c:v>
                </c:pt>
                <c:pt idx="7">
                  <c:v>202.59491606957801</c:v>
                </c:pt>
                <c:pt idx="8">
                  <c:v>214.864944846181</c:v>
                </c:pt>
                <c:pt idx="9">
                  <c:v>226.97152344320199</c:v>
                </c:pt>
                <c:pt idx="10">
                  <c:v>238.711366912882</c:v>
                </c:pt>
                <c:pt idx="11">
                  <c:v>249.51185341777099</c:v>
                </c:pt>
                <c:pt idx="12">
                  <c:v>266.88268603773901</c:v>
                </c:pt>
                <c:pt idx="13">
                  <c:v>279.57832382423499</c:v>
                </c:pt>
                <c:pt idx="14">
                  <c:v>289.29602726332303</c:v>
                </c:pt>
                <c:pt idx="15">
                  <c:v>297.74318678244703</c:v>
                </c:pt>
                <c:pt idx="16">
                  <c:v>305.537306126896</c:v>
                </c:pt>
                <c:pt idx="17">
                  <c:v>312.754944562324</c:v>
                </c:pt>
                <c:pt idx="18">
                  <c:v>319.120818277289</c:v>
                </c:pt>
                <c:pt idx="19">
                  <c:v>324.01991344160501</c:v>
                </c:pt>
                <c:pt idx="20">
                  <c:v>327.077009836961</c:v>
                </c:pt>
                <c:pt idx="21">
                  <c:v>328.55363088409399</c:v>
                </c:pt>
                <c:pt idx="22">
                  <c:v>328.79185951622298</c:v>
                </c:pt>
                <c:pt idx="23">
                  <c:v>328.16743552203701</c:v>
                </c:pt>
                <c:pt idx="24">
                  <c:v>327.07125749691699</c:v>
                </c:pt>
                <c:pt idx="25">
                  <c:v>322.65849712515302</c:v>
                </c:pt>
                <c:pt idx="26">
                  <c:v>319.314816777197</c:v>
                </c:pt>
                <c:pt idx="27">
                  <c:v>315.52040498405802</c:v>
                </c:pt>
                <c:pt idx="28">
                  <c:v>310.91774974280298</c:v>
                </c:pt>
                <c:pt idx="29">
                  <c:v>305.77998388535701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DB-4BB9-89B6-1E61ADA4998C}"/>
            </c:ext>
          </c:extLst>
        </c:ser>
        <c:ser>
          <c:idx val="2"/>
          <c:order val="2"/>
          <c:tx>
            <c:strRef>
              <c:f>'FB2401-43 x 25'!$A$28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25'!$B$28:$AE$28</c:f>
              <c:numCache>
                <c:formatCode>0</c:formatCode>
                <c:ptCount val="30"/>
                <c:pt idx="0">
                  <c:v>85.439784556862008</c:v>
                </c:pt>
                <c:pt idx="1">
                  <c:v>97.783741687701266</c:v>
                </c:pt>
                <c:pt idx="2">
                  <c:v>128.51860362363439</c:v>
                </c:pt>
                <c:pt idx="3">
                  <c:v>139.43047668185321</c:v>
                </c:pt>
                <c:pt idx="4">
                  <c:v>166.52333645504334</c:v>
                </c:pt>
                <c:pt idx="5">
                  <c:v>189.82031494321302</c:v>
                </c:pt>
                <c:pt idx="6">
                  <c:v>209.64559534458061</c:v>
                </c:pt>
                <c:pt idx="7">
                  <c:v>227.67926322810752</c:v>
                </c:pt>
                <c:pt idx="8">
                  <c:v>245.29321412256297</c:v>
                </c:pt>
                <c:pt idx="9">
                  <c:v>262.62285658449736</c:v>
                </c:pt>
                <c:pt idx="10">
                  <c:v>279.44511164463103</c:v>
                </c:pt>
                <c:pt idx="11">
                  <c:v>295.31380307435728</c:v>
                </c:pt>
                <c:pt idx="12">
                  <c:v>323.32578167606385</c:v>
                </c:pt>
                <c:pt idx="13">
                  <c:v>347.4852589383745</c:v>
                </c:pt>
                <c:pt idx="14">
                  <c:v>369.51456911108107</c:v>
                </c:pt>
                <c:pt idx="15">
                  <c:v>390.54167238092782</c:v>
                </c:pt>
                <c:pt idx="16">
                  <c:v>410.53779691841555</c:v>
                </c:pt>
                <c:pt idx="17">
                  <c:v>429.37890786207981</c:v>
                </c:pt>
                <c:pt idx="18">
                  <c:v>446.87069687706082</c:v>
                </c:pt>
                <c:pt idx="19">
                  <c:v>462.68784602669751</c:v>
                </c:pt>
                <c:pt idx="20">
                  <c:v>476.796226374041</c:v>
                </c:pt>
                <c:pt idx="21">
                  <c:v>489.63772940387139</c:v>
                </c:pt>
                <c:pt idx="22">
                  <c:v>501.53040961305817</c:v>
                </c:pt>
                <c:pt idx="23">
                  <c:v>512.75334530739985</c:v>
                </c:pt>
                <c:pt idx="24">
                  <c:v>523.56565378008918</c:v>
                </c:pt>
                <c:pt idx="25">
                  <c:v>554.3731872909699</c:v>
                </c:pt>
                <c:pt idx="26">
                  <c:v>573.50617978703235</c:v>
                </c:pt>
                <c:pt idx="27">
                  <c:v>590.95931939789432</c:v>
                </c:pt>
                <c:pt idx="28">
                  <c:v>605.98029575051373</c:v>
                </c:pt>
                <c:pt idx="29">
                  <c:v>618.11176887155341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DB-4BB9-89B6-1E61ADA49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614224"/>
        <c:axId val="402614616"/>
      </c:scatterChart>
      <c:valAx>
        <c:axId val="40261422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969934778219613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614616"/>
        <c:crosses val="autoZero"/>
        <c:crossBetween val="midCat"/>
      </c:valAx>
      <c:valAx>
        <c:axId val="402614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062504686914135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6142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375004686914135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'FB2401-43 x 25'!$A$19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DC-4934-B56F-CD58776144D5}"/>
            </c:ext>
          </c:extLst>
        </c:ser>
        <c:ser>
          <c:idx val="1"/>
          <c:order val="1"/>
          <c:tx>
            <c:strRef>
              <c:f>'FB2401-43 x 25'!$A$20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DC-4934-B56F-CD587761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06832"/>
        <c:axId val="322307224"/>
      </c:scatterChart>
      <c:valAx>
        <c:axId val="32230683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07224"/>
        <c:crosses val="autoZero"/>
        <c:crossBetween val="midCat"/>
      </c:valAx>
      <c:valAx>
        <c:axId val="322307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068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'2643167851x2'!$B$26:$AE$26</c:f>
              <c:numCache>
                <c:formatCode>0</c:formatCode>
                <c:ptCount val="30"/>
                <c:pt idx="0">
                  <c:v>20.610476155333899</c:v>
                </c:pt>
                <c:pt idx="1">
                  <c:v>35.004926025179103</c:v>
                </c:pt>
                <c:pt idx="2">
                  <c:v>89.548497680559606</c:v>
                </c:pt>
                <c:pt idx="3">
                  <c:v>110.371941335353</c:v>
                </c:pt>
                <c:pt idx="4">
                  <c:v>164.66247269191899</c:v>
                </c:pt>
                <c:pt idx="5">
                  <c:v>219.27368797281</c:v>
                </c:pt>
                <c:pt idx="6">
                  <c:v>272.435050696676</c:v>
                </c:pt>
                <c:pt idx="7">
                  <c:v>324.045632519023</c:v>
                </c:pt>
                <c:pt idx="8">
                  <c:v>375.38932336085901</c:v>
                </c:pt>
                <c:pt idx="9">
                  <c:v>426.83770289556901</c:v>
                </c:pt>
                <c:pt idx="10">
                  <c:v>478.54898311915201</c:v>
                </c:pt>
                <c:pt idx="11">
                  <c:v>530.88262195297398</c:v>
                </c:pt>
                <c:pt idx="12">
                  <c:v>638.58862897393203</c:v>
                </c:pt>
                <c:pt idx="13">
                  <c:v>750.99136141934503</c:v>
                </c:pt>
                <c:pt idx="14">
                  <c:v>869.17390173582896</c:v>
                </c:pt>
                <c:pt idx="15">
                  <c:v>991.89843196075697</c:v>
                </c:pt>
                <c:pt idx="16">
                  <c:v>1116.21004719333</c:v>
                </c:pt>
                <c:pt idx="17">
                  <c:v>1240.36176698244</c:v>
                </c:pt>
                <c:pt idx="18">
                  <c:v>1362.44405223443</c:v>
                </c:pt>
                <c:pt idx="19">
                  <c:v>1479.2251780126601</c:v>
                </c:pt>
                <c:pt idx="20">
                  <c:v>1587.1960730087901</c:v>
                </c:pt>
                <c:pt idx="21">
                  <c:v>1684.05772986082</c:v>
                </c:pt>
                <c:pt idx="22">
                  <c:v>1767.2461964608201</c:v>
                </c:pt>
                <c:pt idx="23">
                  <c:v>1834.89640081988</c:v>
                </c:pt>
                <c:pt idx="24">
                  <c:v>1886.1897956057101</c:v>
                </c:pt>
                <c:pt idx="25">
                  <c:v>1939.23568465618</c:v>
                </c:pt>
                <c:pt idx="26">
                  <c:v>1897.0971732400401</c:v>
                </c:pt>
                <c:pt idx="27">
                  <c:v>1807.5818996110499</c:v>
                </c:pt>
                <c:pt idx="28">
                  <c:v>1687.8116025756899</c:v>
                </c:pt>
                <c:pt idx="29">
                  <c:v>1556.1373746172001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2-476B-A051-8D502F64EBB1}"/>
            </c:ext>
          </c:extLst>
        </c:ser>
        <c:ser>
          <c:idx val="1"/>
          <c:order val="1"/>
          <c:tx>
            <c:strRef>
              <c:f>'2643167851x2'!$A$27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'2643167851x2'!$B$27:$AE$27</c:f>
              <c:numCache>
                <c:formatCode>0</c:formatCode>
                <c:ptCount val="30"/>
                <c:pt idx="0">
                  <c:v>244.60026888794201</c:v>
                </c:pt>
                <c:pt idx="1">
                  <c:v>279.21109946412298</c:v>
                </c:pt>
                <c:pt idx="2">
                  <c:v>361.03615756313002</c:v>
                </c:pt>
                <c:pt idx="3">
                  <c:v>389.15381334888002</c:v>
                </c:pt>
                <c:pt idx="4">
                  <c:v>457.59331072612702</c:v>
                </c:pt>
                <c:pt idx="5">
                  <c:v>513.48222599563996</c:v>
                </c:pt>
                <c:pt idx="6">
                  <c:v>558.35053845670996</c:v>
                </c:pt>
                <c:pt idx="7">
                  <c:v>597.86306248537699</c:v>
                </c:pt>
                <c:pt idx="8">
                  <c:v>636.41173792727295</c:v>
                </c:pt>
                <c:pt idx="9">
                  <c:v>674.62850094525902</c:v>
                </c:pt>
                <c:pt idx="10">
                  <c:v>711.81366203644905</c:v>
                </c:pt>
                <c:pt idx="11">
                  <c:v>745.93585691122905</c:v>
                </c:pt>
                <c:pt idx="12">
                  <c:v>798.94310068134405</c:v>
                </c:pt>
                <c:pt idx="13">
                  <c:v>832.371449749249</c:v>
                </c:pt>
                <c:pt idx="14">
                  <c:v>849.13973250250694</c:v>
                </c:pt>
                <c:pt idx="15">
                  <c:v>853.36845585098297</c:v>
                </c:pt>
                <c:pt idx="16">
                  <c:v>846.37247913505996</c:v>
                </c:pt>
                <c:pt idx="17">
                  <c:v>827.46145082430701</c:v>
                </c:pt>
                <c:pt idx="18">
                  <c:v>794.542060666868</c:v>
                </c:pt>
                <c:pt idx="19">
                  <c:v>744.36727088334703</c:v>
                </c:pt>
                <c:pt idx="20">
                  <c:v>674.925141622154</c:v>
                </c:pt>
                <c:pt idx="21">
                  <c:v>587.14350024839496</c:v>
                </c:pt>
                <c:pt idx="22">
                  <c:v>483.60331416476299</c:v>
                </c:pt>
                <c:pt idx="23">
                  <c:v>367.82499480261799</c:v>
                </c:pt>
                <c:pt idx="24">
                  <c:v>243.726462996583</c:v>
                </c:pt>
                <c:pt idx="25">
                  <c:v>-143.48749408053399</c:v>
                </c:pt>
                <c:pt idx="26">
                  <c:v>-383.62812634887098</c:v>
                </c:pt>
                <c:pt idx="27">
                  <c:v>-588.16755934534797</c:v>
                </c:pt>
                <c:pt idx="28">
                  <c:v>-747.88759832618803</c:v>
                </c:pt>
                <c:pt idx="29">
                  <c:v>-862.52923590525199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D2-476B-A051-8D502F64EBB1}"/>
            </c:ext>
          </c:extLst>
        </c:ser>
        <c:ser>
          <c:idx val="2"/>
          <c:order val="2"/>
          <c:tx>
            <c:strRef>
              <c:f>'2643167851x2'!$A$28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'2643167851x2'!$B$28:$AE$28</c:f>
              <c:numCache>
                <c:formatCode>0</c:formatCode>
                <c:ptCount val="30"/>
                <c:pt idx="0">
                  <c:v>245.46707165606369</c:v>
                </c:pt>
                <c:pt idx="1">
                  <c:v>281.39684239520642</c:v>
                </c:pt>
                <c:pt idx="2">
                  <c:v>371.97586011029591</c:v>
                </c:pt>
                <c:pt idx="3">
                  <c:v>404.50297388042719</c:v>
                </c:pt>
                <c:pt idx="4">
                  <c:v>486.31817561583563</c:v>
                </c:pt>
                <c:pt idx="5">
                  <c:v>558.34124570072254</c:v>
                </c:pt>
                <c:pt idx="6">
                  <c:v>621.26981307882522</c:v>
                </c:pt>
                <c:pt idx="7">
                  <c:v>680.03368551789208</c:v>
                </c:pt>
                <c:pt idx="8">
                  <c:v>738.87552690892085</c:v>
                </c:pt>
                <c:pt idx="9">
                  <c:v>798.31950928235085</c:v>
                </c:pt>
                <c:pt idx="10">
                  <c:v>857.72246018517819</c:v>
                </c:pt>
                <c:pt idx="11">
                  <c:v>915.56357557383967</c:v>
                </c:pt>
                <c:pt idx="12">
                  <c:v>1022.7929972292178</c:v>
                </c:pt>
                <c:pt idx="13">
                  <c:v>1121.0844104188354</c:v>
                </c:pt>
                <c:pt idx="14">
                  <c:v>1215.1138040418739</c:v>
                </c:pt>
                <c:pt idx="15">
                  <c:v>1308.472476121565</c:v>
                </c:pt>
                <c:pt idx="16">
                  <c:v>1400.8109233199762</c:v>
                </c:pt>
                <c:pt idx="17">
                  <c:v>1491.0364735954879</c:v>
                </c:pt>
                <c:pt idx="18">
                  <c:v>1577.1971600398372</c:v>
                </c:pt>
                <c:pt idx="19">
                  <c:v>1655.9558451930138</c:v>
                </c:pt>
                <c:pt idx="20">
                  <c:v>1724.7363047631975</c:v>
                </c:pt>
                <c:pt idx="21">
                  <c:v>1783.4763601987875</c:v>
                </c:pt>
                <c:pt idx="22">
                  <c:v>1832.2203154578265</c:v>
                </c:pt>
                <c:pt idx="23">
                  <c:v>1871.4005526725955</c:v>
                </c:pt>
                <c:pt idx="24">
                  <c:v>1901.8713241993885</c:v>
                </c:pt>
                <c:pt idx="25">
                  <c:v>1944.5368861508991</c:v>
                </c:pt>
                <c:pt idx="26">
                  <c:v>1935.4968933173973</c:v>
                </c:pt>
                <c:pt idx="27">
                  <c:v>1900.8664870705034</c:v>
                </c:pt>
                <c:pt idx="28">
                  <c:v>1846.0888021758954</c:v>
                </c:pt>
                <c:pt idx="29">
                  <c:v>1779.1908867436935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D2-476B-A051-8D502F64E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08008"/>
        <c:axId val="322308400"/>
      </c:scatterChart>
      <c:valAx>
        <c:axId val="3223080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08400"/>
        <c:crosses val="autoZero"/>
        <c:crossBetween val="midCat"/>
      </c:valAx>
      <c:valAx>
        <c:axId val="322308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080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55-4056-AF07-A40F3BF232C0}"/>
            </c:ext>
          </c:extLst>
        </c:ser>
        <c:ser>
          <c:idx val="1"/>
          <c:order val="1"/>
          <c:tx>
            <c:strRef>
              <c:f>'2643167851x2'!$A$20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55-4056-AF07-A40F3BF23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09576"/>
        <c:axId val="322578528"/>
      </c:scatterChart>
      <c:valAx>
        <c:axId val="32230957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78528"/>
        <c:crosses val="autoZero"/>
        <c:crossBetween val="midCat"/>
      </c:valAx>
      <c:valAx>
        <c:axId val="322578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095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'2643625002'!$A$26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'2643625002'!$B$26:$AE$26</c:f>
              <c:numCache>
                <c:formatCode>0</c:formatCode>
                <c:ptCount val="30"/>
                <c:pt idx="0">
                  <c:v>13.101474376099199</c:v>
                </c:pt>
                <c:pt idx="1">
                  <c:v>22.1762551145126</c:v>
                </c:pt>
                <c:pt idx="2">
                  <c:v>56.066937546923803</c:v>
                </c:pt>
                <c:pt idx="3">
                  <c:v>68.774718736780599</c:v>
                </c:pt>
                <c:pt idx="4">
                  <c:v>101.22004039826101</c:v>
                </c:pt>
                <c:pt idx="5">
                  <c:v>132.82794057277201</c:v>
                </c:pt>
                <c:pt idx="6">
                  <c:v>162.53235611993</c:v>
                </c:pt>
                <c:pt idx="7">
                  <c:v>190.23890769327201</c:v>
                </c:pt>
                <c:pt idx="8">
                  <c:v>216.59417358950799</c:v>
                </c:pt>
                <c:pt idx="9">
                  <c:v>241.72829186879</c:v>
                </c:pt>
                <c:pt idx="10">
                  <c:v>265.69588746103801</c:v>
                </c:pt>
                <c:pt idx="11">
                  <c:v>288.76670866096299</c:v>
                </c:pt>
                <c:pt idx="12">
                  <c:v>333.33413139245499</c:v>
                </c:pt>
                <c:pt idx="13">
                  <c:v>376.51530826006598</c:v>
                </c:pt>
                <c:pt idx="14">
                  <c:v>419.07040129745201</c:v>
                </c:pt>
                <c:pt idx="15">
                  <c:v>460.27342181199703</c:v>
                </c:pt>
                <c:pt idx="16">
                  <c:v>498.90464870629103</c:v>
                </c:pt>
                <c:pt idx="17">
                  <c:v>534.748052562353</c:v>
                </c:pt>
                <c:pt idx="18">
                  <c:v>568.033690407177</c:v>
                </c:pt>
                <c:pt idx="19">
                  <c:v>599.17328773692805</c:v>
                </c:pt>
                <c:pt idx="20">
                  <c:v>628.76025029033099</c:v>
                </c:pt>
                <c:pt idx="21">
                  <c:v>657.38750484161699</c:v>
                </c:pt>
                <c:pt idx="22">
                  <c:v>685.20396557168897</c:v>
                </c:pt>
                <c:pt idx="23">
                  <c:v>712.24372387449603</c:v>
                </c:pt>
                <c:pt idx="24">
                  <c:v>738.51501232612804</c:v>
                </c:pt>
                <c:pt idx="25">
                  <c:v>812.482485041838</c:v>
                </c:pt>
                <c:pt idx="26">
                  <c:v>857.35244989979196</c:v>
                </c:pt>
                <c:pt idx="27">
                  <c:v>898.00650454445997</c:v>
                </c:pt>
                <c:pt idx="28">
                  <c:v>933.54246618553202</c:v>
                </c:pt>
                <c:pt idx="29">
                  <c:v>962.93859720994806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97-4FD1-8436-16A3DF173EF1}"/>
            </c:ext>
          </c:extLst>
        </c:ser>
        <c:ser>
          <c:idx val="1"/>
          <c:order val="1"/>
          <c:tx>
            <c:strRef>
              <c:f>'2643625002'!$A$27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'2643625002'!$B$27:$AE$27</c:f>
              <c:numCache>
                <c:formatCode>0</c:formatCode>
                <c:ptCount val="30"/>
                <c:pt idx="0">
                  <c:v>156.207178185858</c:v>
                </c:pt>
                <c:pt idx="1">
                  <c:v>178.019989179117</c:v>
                </c:pt>
                <c:pt idx="2">
                  <c:v>228.986603128366</c:v>
                </c:pt>
                <c:pt idx="3">
                  <c:v>246.3323167602</c:v>
                </c:pt>
                <c:pt idx="4">
                  <c:v>288.13921791926902</c:v>
                </c:pt>
                <c:pt idx="5">
                  <c:v>321.72751471272602</c:v>
                </c:pt>
                <c:pt idx="6">
                  <c:v>348.29872756412999</c:v>
                </c:pt>
                <c:pt idx="7">
                  <c:v>371.45999409366902</c:v>
                </c:pt>
                <c:pt idx="8">
                  <c:v>393.91935865065398</c:v>
                </c:pt>
                <c:pt idx="9">
                  <c:v>416.07456068975301</c:v>
                </c:pt>
                <c:pt idx="10">
                  <c:v>437.55344762761899</c:v>
                </c:pt>
                <c:pt idx="11">
                  <c:v>457.30985165241901</c:v>
                </c:pt>
                <c:pt idx="12">
                  <c:v>489.086751787396</c:v>
                </c:pt>
                <c:pt idx="13">
                  <c:v>512.33593208982199</c:v>
                </c:pt>
                <c:pt idx="14">
                  <c:v>530.18063035844204</c:v>
                </c:pt>
                <c:pt idx="15">
                  <c:v>545.74516312980404</c:v>
                </c:pt>
                <c:pt idx="16">
                  <c:v>560.15190121053399</c:v>
                </c:pt>
                <c:pt idx="17">
                  <c:v>573.53760667717302</c:v>
                </c:pt>
                <c:pt idx="18">
                  <c:v>585.40184764816797</c:v>
                </c:pt>
                <c:pt idx="19">
                  <c:v>594.63214124527099</c:v>
                </c:pt>
                <c:pt idx="20">
                  <c:v>600.55867118502704</c:v>
                </c:pt>
                <c:pt idx="21">
                  <c:v>603.669704138778</c:v>
                </c:pt>
                <c:pt idx="22">
                  <c:v>604.593194754097</c:v>
                </c:pt>
                <c:pt idx="23">
                  <c:v>604.01410549866398</c:v>
                </c:pt>
                <c:pt idx="24">
                  <c:v>602.641813207773</c:v>
                </c:pt>
                <c:pt idx="25">
                  <c:v>596.84397720304298</c:v>
                </c:pt>
                <c:pt idx="26">
                  <c:v>592.51878532228704</c:v>
                </c:pt>
                <c:pt idx="27">
                  <c:v>587.54825832204904</c:v>
                </c:pt>
                <c:pt idx="28">
                  <c:v>581.22579272299402</c:v>
                </c:pt>
                <c:pt idx="29">
                  <c:v>573.95620276091904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97-4FD1-8436-16A3DF173EF1}"/>
            </c:ext>
          </c:extLst>
        </c:ser>
        <c:ser>
          <c:idx val="2"/>
          <c:order val="2"/>
          <c:tx>
            <c:strRef>
              <c:f>'2643625002'!$A$28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'2643625002'!$B$28:$AE$28</c:f>
              <c:numCache>
                <c:formatCode>0</c:formatCode>
                <c:ptCount val="30"/>
                <c:pt idx="0">
                  <c:v>156.75564151766903</c:v>
                </c:pt>
                <c:pt idx="1">
                  <c:v>179.39593874510336</c:v>
                </c:pt>
                <c:pt idx="2">
                  <c:v>235.75064347347697</c:v>
                </c:pt>
                <c:pt idx="3">
                  <c:v>255.75295153286268</c:v>
                </c:pt>
                <c:pt idx="4">
                  <c:v>305.40089305919457</c:v>
                </c:pt>
                <c:pt idx="5">
                  <c:v>348.06875113981602</c:v>
                </c:pt>
                <c:pt idx="6">
                  <c:v>384.35500570265481</c:v>
                </c:pt>
                <c:pt idx="7">
                  <c:v>417.34083099116714</c:v>
                </c:pt>
                <c:pt idx="8">
                  <c:v>449.53920535662343</c:v>
                </c:pt>
                <c:pt idx="9">
                  <c:v>481.19705645709627</c:v>
                </c:pt>
                <c:pt idx="10">
                  <c:v>511.90558127893485</c:v>
                </c:pt>
                <c:pt idx="11">
                  <c:v>540.8498058141862</c:v>
                </c:pt>
                <c:pt idx="12">
                  <c:v>591.87624882665148</c:v>
                </c:pt>
                <c:pt idx="13">
                  <c:v>635.80805646399233</c:v>
                </c:pt>
                <c:pt idx="14">
                  <c:v>675.80433710570583</c:v>
                </c:pt>
                <c:pt idx="15">
                  <c:v>713.92535037362336</c:v>
                </c:pt>
                <c:pt idx="16">
                  <c:v>750.1173247769467</c:v>
                </c:pt>
                <c:pt idx="17">
                  <c:v>784.15614898577996</c:v>
                </c:pt>
                <c:pt idx="18">
                  <c:v>815.69454863170779</c:v>
                </c:pt>
                <c:pt idx="19">
                  <c:v>844.154021573916</c:v>
                </c:pt>
                <c:pt idx="20">
                  <c:v>869.48845298870128</c:v>
                </c:pt>
                <c:pt idx="21">
                  <c:v>892.5107524376873</c:v>
                </c:pt>
                <c:pt idx="22">
                  <c:v>913.80381131736033</c:v>
                </c:pt>
                <c:pt idx="23">
                  <c:v>933.87588138893511</c:v>
                </c:pt>
                <c:pt idx="24">
                  <c:v>953.19545658664015</c:v>
                </c:pt>
                <c:pt idx="25">
                  <c:v>1008.1421138030624</c:v>
                </c:pt>
                <c:pt idx="26">
                  <c:v>1042.1764410640712</c:v>
                </c:pt>
                <c:pt idx="27">
                  <c:v>1073.1396172266832</c:v>
                </c:pt>
                <c:pt idx="28">
                  <c:v>1099.6931200558809</c:v>
                </c:pt>
                <c:pt idx="29">
                  <c:v>1121.0158182132827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97-4FD1-8436-16A3DF17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79312"/>
        <c:axId val="322579704"/>
      </c:scatterChart>
      <c:valAx>
        <c:axId val="32257931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79704"/>
        <c:crosses val="autoZero"/>
        <c:crossBetween val="midCat"/>
      </c:valAx>
      <c:valAx>
        <c:axId val="322579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793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'2643625002'!$A$19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8-44E3-91EC-A9DBAA8C60C9}"/>
            </c:ext>
          </c:extLst>
        </c:ser>
        <c:ser>
          <c:idx val="1"/>
          <c:order val="1"/>
          <c:tx>
            <c:strRef>
              <c:f>'2643625002'!$A$20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08-44E3-91EC-A9DBAA8C6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80880"/>
        <c:axId val="322581272"/>
      </c:scatterChart>
      <c:valAx>
        <c:axId val="32258088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81272"/>
        <c:crosses val="autoZero"/>
        <c:crossBetween val="midCat"/>
      </c:valAx>
      <c:valAx>
        <c:axId val="322581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808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19494750656167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'2843009902'!$A$26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1.1299999999999999</c:v>
                </c:pt>
                <c:pt idx="2">
                  <c:v>1.2768999999999997</c:v>
                </c:pt>
                <c:pt idx="3">
                  <c:v>1.4428969999999994</c:v>
                </c:pt>
                <c:pt idx="4">
                  <c:v>1.6304736099999992</c:v>
                </c:pt>
                <c:pt idx="5">
                  <c:v>1.8424351792999989</c:v>
                </c:pt>
                <c:pt idx="6">
                  <c:v>2.0819517526089983</c:v>
                </c:pt>
                <c:pt idx="7">
                  <c:v>2.352605480448168</c:v>
                </c:pt>
                <c:pt idx="8">
                  <c:v>2.6584441929064297</c:v>
                </c:pt>
                <c:pt idx="9">
                  <c:v>3.0040419379842653</c:v>
                </c:pt>
                <c:pt idx="10">
                  <c:v>3.3945673899222193</c:v>
                </c:pt>
                <c:pt idx="11">
                  <c:v>3.8358611506121076</c:v>
                </c:pt>
                <c:pt idx="12">
                  <c:v>4.3345231001916815</c:v>
                </c:pt>
                <c:pt idx="13">
                  <c:v>4.8980111032166</c:v>
                </c:pt>
                <c:pt idx="14">
                  <c:v>5.5347525466347571</c:v>
                </c:pt>
                <c:pt idx="15">
                  <c:v>6.2542703776972752</c:v>
                </c:pt>
                <c:pt idx="16">
                  <c:v>7.0673255267979203</c:v>
                </c:pt>
                <c:pt idx="17">
                  <c:v>7.986077845281649</c:v>
                </c:pt>
                <c:pt idx="18">
                  <c:v>9.0242679651682618</c:v>
                </c:pt>
                <c:pt idx="19">
                  <c:v>10.197422800640135</c:v>
                </c:pt>
                <c:pt idx="20">
                  <c:v>11.523087764723352</c:v>
                </c:pt>
                <c:pt idx="21">
                  <c:v>13.021089174137385</c:v>
                </c:pt>
                <c:pt idx="22">
                  <c:v>14.713830766775244</c:v>
                </c:pt>
                <c:pt idx="23">
                  <c:v>16.626628766456022</c:v>
                </c:pt>
                <c:pt idx="24">
                  <c:v>18.788090506095305</c:v>
                </c:pt>
                <c:pt idx="25">
                  <c:v>21.230542271887693</c:v>
                </c:pt>
                <c:pt idx="26">
                  <c:v>23.990512767233092</c:v>
                </c:pt>
                <c:pt idx="27">
                  <c:v>27.109279426973391</c:v>
                </c:pt>
                <c:pt idx="28">
                  <c:v>30.633485752479928</c:v>
                </c:pt>
                <c:pt idx="29">
                  <c:v>34.615838900302315</c:v>
                </c:pt>
              </c:numCache>
            </c:numRef>
          </c:xVal>
          <c:yVal>
            <c:numRef>
              <c:f>'2843009902'!$B$26:$AE$26</c:f>
              <c:numCache>
                <c:formatCode>0.0</c:formatCode>
                <c:ptCount val="30"/>
                <c:pt idx="0">
                  <c:v>72.980317586799501</c:v>
                </c:pt>
                <c:pt idx="1">
                  <c:v>105.531704909756</c:v>
                </c:pt>
                <c:pt idx="2">
                  <c:v>146.48736264431301</c:v>
                </c:pt>
                <c:pt idx="3">
                  <c:v>197.72129083399801</c:v>
                </c:pt>
                <c:pt idx="4">
                  <c:v>261.475675731031</c:v>
                </c:pt>
                <c:pt idx="5">
                  <c:v>339.82777976788702</c:v>
                </c:pt>
                <c:pt idx="6">
                  <c:v>434.60749864971399</c:v>
                </c:pt>
                <c:pt idx="7">
                  <c:v>547.30640010547302</c:v>
                </c:pt>
                <c:pt idx="8">
                  <c:v>679.18528325574096</c:v>
                </c:pt>
                <c:pt idx="9">
                  <c:v>831.41588205809001</c:v>
                </c:pt>
                <c:pt idx="10">
                  <c:v>1005.67763499904</c:v>
                </c:pt>
                <c:pt idx="11">
                  <c:v>1205.40122316164</c:v>
                </c:pt>
                <c:pt idx="12">
                  <c:v>1440.1212787386901</c:v>
                </c:pt>
                <c:pt idx="13">
                  <c:v>1722.53061807226</c:v>
                </c:pt>
                <c:pt idx="14">
                  <c:v>2067.0486577524898</c:v>
                </c:pt>
                <c:pt idx="15">
                  <c:v>2492.2807763072001</c:v>
                </c:pt>
                <c:pt idx="16">
                  <c:v>3017.0643024938099</c:v>
                </c:pt>
                <c:pt idx="17">
                  <c:v>3656.6099345615899</c:v>
                </c:pt>
                <c:pt idx="18">
                  <c:v>4412.81631900502</c:v>
                </c:pt>
                <c:pt idx="19">
                  <c:v>5237.68933793223</c:v>
                </c:pt>
                <c:pt idx="20">
                  <c:v>5981.8837745576202</c:v>
                </c:pt>
                <c:pt idx="21">
                  <c:v>6386.6690058982304</c:v>
                </c:pt>
                <c:pt idx="22">
                  <c:v>6172.8276692173404</c:v>
                </c:pt>
                <c:pt idx="23">
                  <c:v>5347.8380499724099</c:v>
                </c:pt>
                <c:pt idx="24">
                  <c:v>4249.8587051903996</c:v>
                </c:pt>
                <c:pt idx="25">
                  <c:v>3204.34890722609</c:v>
                </c:pt>
                <c:pt idx="26">
                  <c:v>2353.7221370023199</c:v>
                </c:pt>
                <c:pt idx="27">
                  <c:v>1716.6687416893701</c:v>
                </c:pt>
                <c:pt idx="28">
                  <c:v>1262.65765111581</c:v>
                </c:pt>
                <c:pt idx="29">
                  <c:v>941.19174570602297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85-4D16-B717-1E73D32DEC82}"/>
            </c:ext>
          </c:extLst>
        </c:ser>
        <c:ser>
          <c:idx val="1"/>
          <c:order val="1"/>
          <c:tx>
            <c:strRef>
              <c:f>'2843009902'!$A$27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1.1299999999999999</c:v>
                </c:pt>
                <c:pt idx="2">
                  <c:v>1.2768999999999997</c:v>
                </c:pt>
                <c:pt idx="3">
                  <c:v>1.4428969999999994</c:v>
                </c:pt>
                <c:pt idx="4">
                  <c:v>1.6304736099999992</c:v>
                </c:pt>
                <c:pt idx="5">
                  <c:v>1.8424351792999989</c:v>
                </c:pt>
                <c:pt idx="6">
                  <c:v>2.0819517526089983</c:v>
                </c:pt>
                <c:pt idx="7">
                  <c:v>2.352605480448168</c:v>
                </c:pt>
                <c:pt idx="8">
                  <c:v>2.6584441929064297</c:v>
                </c:pt>
                <c:pt idx="9">
                  <c:v>3.0040419379842653</c:v>
                </c:pt>
                <c:pt idx="10">
                  <c:v>3.3945673899222193</c:v>
                </c:pt>
                <c:pt idx="11">
                  <c:v>3.8358611506121076</c:v>
                </c:pt>
                <c:pt idx="12">
                  <c:v>4.3345231001916815</c:v>
                </c:pt>
                <c:pt idx="13">
                  <c:v>4.8980111032166</c:v>
                </c:pt>
                <c:pt idx="14">
                  <c:v>5.5347525466347571</c:v>
                </c:pt>
                <c:pt idx="15">
                  <c:v>6.2542703776972752</c:v>
                </c:pt>
                <c:pt idx="16">
                  <c:v>7.0673255267979203</c:v>
                </c:pt>
                <c:pt idx="17">
                  <c:v>7.986077845281649</c:v>
                </c:pt>
                <c:pt idx="18">
                  <c:v>9.0242679651682618</c:v>
                </c:pt>
                <c:pt idx="19">
                  <c:v>10.197422800640135</c:v>
                </c:pt>
                <c:pt idx="20">
                  <c:v>11.523087764723352</c:v>
                </c:pt>
                <c:pt idx="21">
                  <c:v>13.021089174137385</c:v>
                </c:pt>
                <c:pt idx="22">
                  <c:v>14.713830766775244</c:v>
                </c:pt>
                <c:pt idx="23">
                  <c:v>16.626628766456022</c:v>
                </c:pt>
                <c:pt idx="24">
                  <c:v>18.788090506095305</c:v>
                </c:pt>
                <c:pt idx="25">
                  <c:v>21.230542271887693</c:v>
                </c:pt>
                <c:pt idx="26">
                  <c:v>23.990512767233092</c:v>
                </c:pt>
                <c:pt idx="27">
                  <c:v>27.109279426973391</c:v>
                </c:pt>
                <c:pt idx="28">
                  <c:v>30.633485752479928</c:v>
                </c:pt>
                <c:pt idx="29">
                  <c:v>34.615838900302315</c:v>
                </c:pt>
              </c:numCache>
            </c:numRef>
          </c:xVal>
          <c:yVal>
            <c:numRef>
              <c:f>'2843009902'!$B$27:$AE$27</c:f>
              <c:numCache>
                <c:formatCode>0</c:formatCode>
                <c:ptCount val="30"/>
                <c:pt idx="0">
                  <c:v>860.75745570084405</c:v>
                </c:pt>
                <c:pt idx="1">
                  <c:v>944.35792191275402</c:v>
                </c:pt>
                <c:pt idx="2">
                  <c:v>1025.89176579131</c:v>
                </c:pt>
                <c:pt idx="3">
                  <c:v>1107.35578335068</c:v>
                </c:pt>
                <c:pt idx="4">
                  <c:v>1197.6962654983699</c:v>
                </c:pt>
                <c:pt idx="5">
                  <c:v>1304.0457160818801</c:v>
                </c:pt>
                <c:pt idx="6">
                  <c:v>1429.1062869924201</c:v>
                </c:pt>
                <c:pt idx="7">
                  <c:v>1569.6028072223301</c:v>
                </c:pt>
                <c:pt idx="8">
                  <c:v>1713.6681554628301</c:v>
                </c:pt>
                <c:pt idx="9">
                  <c:v>1855.47733406154</c:v>
                </c:pt>
                <c:pt idx="10">
                  <c:v>1993.07709425708</c:v>
                </c:pt>
                <c:pt idx="11">
                  <c:v>2130.7650848844601</c:v>
                </c:pt>
                <c:pt idx="12">
                  <c:v>2279.98204894625</c:v>
                </c:pt>
                <c:pt idx="13">
                  <c:v>2444.7312045673898</c:v>
                </c:pt>
                <c:pt idx="14">
                  <c:v>2619.9215038557099</c:v>
                </c:pt>
                <c:pt idx="15">
                  <c:v>2776.5671953209799</c:v>
                </c:pt>
                <c:pt idx="16">
                  <c:v>2866.2434427429898</c:v>
                </c:pt>
                <c:pt idx="17">
                  <c:v>2833.3584467354399</c:v>
                </c:pt>
                <c:pt idx="18">
                  <c:v>2599.0711056832802</c:v>
                </c:pt>
                <c:pt idx="19">
                  <c:v>2072.8189664311199</c:v>
                </c:pt>
                <c:pt idx="20">
                  <c:v>1171.1775385703399</c:v>
                </c:pt>
                <c:pt idx="21">
                  <c:v>-99.259404162666897</c:v>
                </c:pt>
                <c:pt idx="22">
                  <c:v>-1499.6326023532899</c:v>
                </c:pt>
                <c:pt idx="23">
                  <c:v>-2619.47850430577</c:v>
                </c:pt>
                <c:pt idx="24">
                  <c:v>-3227.10804015432</c:v>
                </c:pt>
                <c:pt idx="25">
                  <c:v>-3388.8578574442899</c:v>
                </c:pt>
                <c:pt idx="26">
                  <c:v>-3273.4078149707202</c:v>
                </c:pt>
                <c:pt idx="27">
                  <c:v>-3020.96681975805</c:v>
                </c:pt>
                <c:pt idx="28">
                  <c:v>-2721.32454665758</c:v>
                </c:pt>
                <c:pt idx="29">
                  <c:v>-2423.5475974404399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85-4D16-B717-1E73D32DEC82}"/>
            </c:ext>
          </c:extLst>
        </c:ser>
        <c:ser>
          <c:idx val="2"/>
          <c:order val="2"/>
          <c:tx>
            <c:strRef>
              <c:f>'2843009902'!$A$28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1.1299999999999999</c:v>
                </c:pt>
                <c:pt idx="2">
                  <c:v>1.2768999999999997</c:v>
                </c:pt>
                <c:pt idx="3">
                  <c:v>1.4428969999999994</c:v>
                </c:pt>
                <c:pt idx="4">
                  <c:v>1.6304736099999992</c:v>
                </c:pt>
                <c:pt idx="5">
                  <c:v>1.8424351792999989</c:v>
                </c:pt>
                <c:pt idx="6">
                  <c:v>2.0819517526089983</c:v>
                </c:pt>
                <c:pt idx="7">
                  <c:v>2.352605480448168</c:v>
                </c:pt>
                <c:pt idx="8">
                  <c:v>2.6584441929064297</c:v>
                </c:pt>
                <c:pt idx="9">
                  <c:v>3.0040419379842653</c:v>
                </c:pt>
                <c:pt idx="10">
                  <c:v>3.3945673899222193</c:v>
                </c:pt>
                <c:pt idx="11">
                  <c:v>3.8358611506121076</c:v>
                </c:pt>
                <c:pt idx="12">
                  <c:v>4.3345231001916815</c:v>
                </c:pt>
                <c:pt idx="13">
                  <c:v>4.8980111032166</c:v>
                </c:pt>
                <c:pt idx="14">
                  <c:v>5.5347525466347571</c:v>
                </c:pt>
                <c:pt idx="15">
                  <c:v>6.2542703776972752</c:v>
                </c:pt>
                <c:pt idx="16">
                  <c:v>7.0673255267979203</c:v>
                </c:pt>
                <c:pt idx="17">
                  <c:v>7.986077845281649</c:v>
                </c:pt>
                <c:pt idx="18">
                  <c:v>9.0242679651682618</c:v>
                </c:pt>
                <c:pt idx="19">
                  <c:v>10.197422800640135</c:v>
                </c:pt>
                <c:pt idx="20">
                  <c:v>11.523087764723352</c:v>
                </c:pt>
                <c:pt idx="21">
                  <c:v>13.021089174137385</c:v>
                </c:pt>
                <c:pt idx="22">
                  <c:v>14.713830766775244</c:v>
                </c:pt>
                <c:pt idx="23">
                  <c:v>16.626628766456022</c:v>
                </c:pt>
                <c:pt idx="24">
                  <c:v>18.788090506095305</c:v>
                </c:pt>
                <c:pt idx="25">
                  <c:v>21.230542271887693</c:v>
                </c:pt>
                <c:pt idx="26">
                  <c:v>23.990512767233092</c:v>
                </c:pt>
                <c:pt idx="27">
                  <c:v>27.109279426973391</c:v>
                </c:pt>
                <c:pt idx="28">
                  <c:v>30.633485752479928</c:v>
                </c:pt>
                <c:pt idx="29">
                  <c:v>34.615838900302315</c:v>
                </c:pt>
              </c:numCache>
            </c:numRef>
          </c:xVal>
          <c:yVal>
            <c:numRef>
              <c:f>'2843009902'!$B$28:$AE$28</c:f>
              <c:numCache>
                <c:formatCode>0</c:formatCode>
                <c:ptCount val="30"/>
                <c:pt idx="0">
                  <c:v>863.84577576073195</c:v>
                </c:pt>
                <c:pt idx="1">
                  <c:v>950.23619454351194</c:v>
                </c:pt>
                <c:pt idx="2">
                  <c:v>1036.2974778184584</c:v>
                </c:pt>
                <c:pt idx="3">
                  <c:v>1124.8691211733303</c:v>
                </c:pt>
                <c:pt idx="4">
                  <c:v>1225.906143792314</c:v>
                </c:pt>
                <c:pt idx="5">
                  <c:v>1347.5971762858051</c:v>
                </c:pt>
                <c:pt idx="6">
                  <c:v>1493.7297136375855</c:v>
                </c:pt>
                <c:pt idx="7">
                  <c:v>1662.2867586660948</c:v>
                </c:pt>
                <c:pt idx="8">
                  <c:v>1843.3532477630431</c:v>
                </c:pt>
                <c:pt idx="9">
                  <c:v>2033.2359691276738</c:v>
                </c:pt>
                <c:pt idx="10">
                  <c:v>2232.4300233578447</c:v>
                </c:pt>
                <c:pt idx="11">
                  <c:v>2448.0914925227485</c:v>
                </c:pt>
                <c:pt idx="12">
                  <c:v>2696.7141934200404</c:v>
                </c:pt>
                <c:pt idx="13">
                  <c:v>2990.6224089279349</c:v>
                </c:pt>
                <c:pt idx="14">
                  <c:v>3337.1662889166814</c:v>
                </c:pt>
                <c:pt idx="15">
                  <c:v>3731.0573378176641</c:v>
                </c:pt>
                <c:pt idx="16">
                  <c:v>4161.4935393978021</c:v>
                </c:pt>
                <c:pt idx="17">
                  <c:v>4625.8746525626457</c:v>
                </c:pt>
                <c:pt idx="18">
                  <c:v>5121.339519859499</c:v>
                </c:pt>
                <c:pt idx="19">
                  <c:v>5632.936007828026</c:v>
                </c:pt>
                <c:pt idx="20">
                  <c:v>6095.4565308242009</c:v>
                </c:pt>
                <c:pt idx="21">
                  <c:v>6387.4402870176273</c:v>
                </c:pt>
                <c:pt idx="22">
                  <c:v>6352.3774585501515</c:v>
                </c:pt>
                <c:pt idx="23">
                  <c:v>5954.9172490684286</c:v>
                </c:pt>
                <c:pt idx="24">
                  <c:v>5336.2463695852048</c:v>
                </c:pt>
                <c:pt idx="25">
                  <c:v>4663.9264034934058</c:v>
                </c:pt>
                <c:pt idx="26">
                  <c:v>4031.774624321919</c:v>
                </c:pt>
                <c:pt idx="27">
                  <c:v>3474.6499240603262</c:v>
                </c:pt>
                <c:pt idx="28">
                  <c:v>2999.9852719909104</c:v>
                </c:pt>
                <c:pt idx="29">
                  <c:v>2599.889393655907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85-4D16-B717-1E73D32DE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82056"/>
        <c:axId val="322947656"/>
      </c:scatterChart>
      <c:valAx>
        <c:axId val="322582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47656"/>
        <c:crosses val="autoZero"/>
        <c:crossBetween val="midCat"/>
      </c:valAx>
      <c:valAx>
        <c:axId val="322947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820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'2843009902'!$A$19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1.1299999999999999</c:v>
                </c:pt>
                <c:pt idx="2">
                  <c:v>1.2768999999999997</c:v>
                </c:pt>
                <c:pt idx="3">
                  <c:v>1.4428969999999994</c:v>
                </c:pt>
                <c:pt idx="4">
                  <c:v>1.6304736099999992</c:v>
                </c:pt>
                <c:pt idx="5">
                  <c:v>1.8424351792999989</c:v>
                </c:pt>
                <c:pt idx="6">
                  <c:v>2.0819517526089983</c:v>
                </c:pt>
                <c:pt idx="7">
                  <c:v>2.352605480448168</c:v>
                </c:pt>
                <c:pt idx="8">
                  <c:v>2.6584441929064297</c:v>
                </c:pt>
                <c:pt idx="9">
                  <c:v>3.0040419379842653</c:v>
                </c:pt>
                <c:pt idx="10">
                  <c:v>3.3945673899222193</c:v>
                </c:pt>
                <c:pt idx="11">
                  <c:v>3.8358611506121076</c:v>
                </c:pt>
                <c:pt idx="12">
                  <c:v>4.3345231001916815</c:v>
                </c:pt>
                <c:pt idx="13">
                  <c:v>4.8980111032166</c:v>
                </c:pt>
                <c:pt idx="14">
                  <c:v>5.5347525466347571</c:v>
                </c:pt>
                <c:pt idx="15">
                  <c:v>6.2542703776972752</c:v>
                </c:pt>
                <c:pt idx="16">
                  <c:v>7.0673255267979203</c:v>
                </c:pt>
                <c:pt idx="17">
                  <c:v>7.986077845281649</c:v>
                </c:pt>
                <c:pt idx="18">
                  <c:v>9.0242679651682618</c:v>
                </c:pt>
                <c:pt idx="19">
                  <c:v>10.197422800640135</c:v>
                </c:pt>
                <c:pt idx="20">
                  <c:v>11.523087764723352</c:v>
                </c:pt>
                <c:pt idx="21">
                  <c:v>13.021089174137385</c:v>
                </c:pt>
                <c:pt idx="22">
                  <c:v>14.713830766775244</c:v>
                </c:pt>
                <c:pt idx="23">
                  <c:v>16.626628766456022</c:v>
                </c:pt>
                <c:pt idx="24">
                  <c:v>18.788090506095305</c:v>
                </c:pt>
                <c:pt idx="25">
                  <c:v>21.230542271887693</c:v>
                </c:pt>
                <c:pt idx="26">
                  <c:v>23.990512767233092</c:v>
                </c:pt>
                <c:pt idx="27">
                  <c:v>27.109279426973391</c:v>
                </c:pt>
                <c:pt idx="28">
                  <c:v>30.633485752479928</c:v>
                </c:pt>
                <c:pt idx="29">
                  <c:v>34.615838900302315</c:v>
                </c:pt>
              </c:numCache>
            </c:numRef>
          </c:xVal>
          <c:yVal>
            <c:numRef>
              <c:f>'2843009902'!$B$19:$AE$19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79.960379904303778</c:v>
                </c:pt>
                <c:pt idx="2">
                  <c:v>97.633908628088719</c:v>
                </c:pt>
                <c:pt idx="3">
                  <c:v>115.79426950616312</c:v>
                </c:pt>
                <c:pt idx="4">
                  <c:v>134.3351197582929</c:v>
                </c:pt>
                <c:pt idx="5">
                  <c:v>152.80809563155617</c:v>
                </c:pt>
                <c:pt idx="6">
                  <c:v>170.5424807056981</c:v>
                </c:pt>
                <c:pt idx="7">
                  <c:v>186.77595338231251</c:v>
                </c:pt>
                <c:pt idx="8">
                  <c:v>200.885291707166</c:v>
                </c:pt>
                <c:pt idx="9">
                  <c:v>212.36212330872786</c:v>
                </c:pt>
                <c:pt idx="10">
                  <c:v>220.93395432707868</c:v>
                </c:pt>
                <c:pt idx="11">
                  <c:v>226.61277276083621</c:v>
                </c:pt>
                <c:pt idx="12">
                  <c:v>230.04425470936931</c:v>
                </c:pt>
                <c:pt idx="13">
                  <c:v>231.66616298887595</c:v>
                </c:pt>
                <c:pt idx="14">
                  <c:v>231.53777675257319</c:v>
                </c:pt>
                <c:pt idx="15">
                  <c:v>230.15749401866731</c:v>
                </c:pt>
                <c:pt idx="16">
                  <c:v>228.09758428887835</c:v>
                </c:pt>
                <c:pt idx="17">
                  <c:v>225.65370780825648</c:v>
                </c:pt>
                <c:pt idx="18">
                  <c:v>223.1587785028247</c:v>
                </c:pt>
                <c:pt idx="19">
                  <c:v>220.06665298700719</c:v>
                </c:pt>
                <c:pt idx="20">
                  <c:v>215.49423197889152</c:v>
                </c:pt>
                <c:pt idx="21">
                  <c:v>209.37566422861477</c:v>
                </c:pt>
                <c:pt idx="22">
                  <c:v>202.13207171589542</c:v>
                </c:pt>
                <c:pt idx="23">
                  <c:v>194.59149480591387</c:v>
                </c:pt>
                <c:pt idx="24">
                  <c:v>187.02979473075962</c:v>
                </c:pt>
                <c:pt idx="25">
                  <c:v>179.33686821228906</c:v>
                </c:pt>
                <c:pt idx="26">
                  <c:v>171.27691628771501</c:v>
                </c:pt>
                <c:pt idx="27">
                  <c:v>162.40693569743186</c:v>
                </c:pt>
                <c:pt idx="28">
                  <c:v>151.95168467404361</c:v>
                </c:pt>
                <c:pt idx="29">
                  <c:v>140.17317156706201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9-40FB-98E6-462FEFC2842E}"/>
            </c:ext>
          </c:extLst>
        </c:ser>
        <c:ser>
          <c:idx val="1"/>
          <c:order val="1"/>
          <c:tx>
            <c:strRef>
              <c:f>'2843009902'!$A$20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1.1299999999999999</c:v>
                </c:pt>
                <c:pt idx="2">
                  <c:v>1.2768999999999997</c:v>
                </c:pt>
                <c:pt idx="3">
                  <c:v>1.4428969999999994</c:v>
                </c:pt>
                <c:pt idx="4">
                  <c:v>1.6304736099999992</c:v>
                </c:pt>
                <c:pt idx="5">
                  <c:v>1.8424351792999989</c:v>
                </c:pt>
                <c:pt idx="6">
                  <c:v>2.0819517526089983</c:v>
                </c:pt>
                <c:pt idx="7">
                  <c:v>2.352605480448168</c:v>
                </c:pt>
                <c:pt idx="8">
                  <c:v>2.6584441929064297</c:v>
                </c:pt>
                <c:pt idx="9">
                  <c:v>3.0040419379842653</c:v>
                </c:pt>
                <c:pt idx="10">
                  <c:v>3.3945673899222193</c:v>
                </c:pt>
                <c:pt idx="11">
                  <c:v>3.8358611506121076</c:v>
                </c:pt>
                <c:pt idx="12">
                  <c:v>4.3345231001916815</c:v>
                </c:pt>
                <c:pt idx="13">
                  <c:v>4.8980111032166</c:v>
                </c:pt>
                <c:pt idx="14">
                  <c:v>5.5347525466347571</c:v>
                </c:pt>
                <c:pt idx="15">
                  <c:v>6.2542703776972752</c:v>
                </c:pt>
                <c:pt idx="16">
                  <c:v>7.0673255267979203</c:v>
                </c:pt>
                <c:pt idx="17">
                  <c:v>7.986077845281649</c:v>
                </c:pt>
                <c:pt idx="18">
                  <c:v>9.0242679651682618</c:v>
                </c:pt>
                <c:pt idx="19">
                  <c:v>10.197422800640135</c:v>
                </c:pt>
                <c:pt idx="20">
                  <c:v>11.523087764723352</c:v>
                </c:pt>
                <c:pt idx="21">
                  <c:v>13.021089174137385</c:v>
                </c:pt>
                <c:pt idx="22">
                  <c:v>14.713830766775244</c:v>
                </c:pt>
                <c:pt idx="23">
                  <c:v>16.626628766456022</c:v>
                </c:pt>
                <c:pt idx="24">
                  <c:v>18.788090506095305</c:v>
                </c:pt>
                <c:pt idx="25">
                  <c:v>21.230542271887693</c:v>
                </c:pt>
                <c:pt idx="26">
                  <c:v>23.990512767233092</c:v>
                </c:pt>
                <c:pt idx="27">
                  <c:v>27.109279426973391</c:v>
                </c:pt>
                <c:pt idx="28">
                  <c:v>30.633485752479928</c:v>
                </c:pt>
                <c:pt idx="29">
                  <c:v>34.615838900302315</c:v>
                </c:pt>
              </c:numCache>
            </c:numRef>
          </c:xVal>
          <c:yVal>
            <c:numRef>
              <c:f>'2843009902'!$B$20:$AE$20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725.24612429985052</c:v>
                </c:pt>
                <c:pt idx="2">
                  <c:v>695.2425683323022</c:v>
                </c:pt>
                <c:pt idx="3">
                  <c:v>661.95256538903527</c:v>
                </c:pt>
                <c:pt idx="4">
                  <c:v>631.14520901094681</c:v>
                </c:pt>
                <c:pt idx="5">
                  <c:v>605.28799623148791</c:v>
                </c:pt>
                <c:pt idx="6">
                  <c:v>583.69608463522559</c:v>
                </c:pt>
                <c:pt idx="7">
                  <c:v>563.52686044608572</c:v>
                </c:pt>
                <c:pt idx="8">
                  <c:v>540.43321940266833</c:v>
                </c:pt>
                <c:pt idx="9">
                  <c:v>513.79139480290189</c:v>
                </c:pt>
                <c:pt idx="10">
                  <c:v>484.5563948103545</c:v>
                </c:pt>
                <c:pt idx="11">
                  <c:v>454.88926216024532</c:v>
                </c:pt>
                <c:pt idx="12">
                  <c:v>427.47836972276667</c:v>
                </c:pt>
                <c:pt idx="13">
                  <c:v>402.83312447239575</c:v>
                </c:pt>
                <c:pt idx="14">
                  <c:v>380.23018550397677</c:v>
                </c:pt>
                <c:pt idx="15">
                  <c:v>357.44736765117688</c:v>
                </c:pt>
                <c:pt idx="16">
                  <c:v>332.97368013372943</c:v>
                </c:pt>
                <c:pt idx="17">
                  <c:v>307.37401889415759</c:v>
                </c:pt>
                <c:pt idx="18">
                  <c:v>281.85019183342871</c:v>
                </c:pt>
                <c:pt idx="19">
                  <c:v>257.92950133029149</c:v>
                </c:pt>
                <c:pt idx="20">
                  <c:v>236.00672929316457</c:v>
                </c:pt>
                <c:pt idx="21">
                  <c:v>215.60408190794925</c:v>
                </c:pt>
                <c:pt idx="22">
                  <c:v>195.21399347255783</c:v>
                </c:pt>
                <c:pt idx="23">
                  <c:v>174.27974215175146</c:v>
                </c:pt>
                <c:pt idx="24">
                  <c:v>153.84964647256612</c:v>
                </c:pt>
                <c:pt idx="25">
                  <c:v>135.12786624696804</c:v>
                </c:pt>
                <c:pt idx="26">
                  <c:v>118.40234556946996</c:v>
                </c:pt>
                <c:pt idx="27">
                  <c:v>103.3048971959132</c:v>
                </c:pt>
                <c:pt idx="28">
                  <c:v>89.439575010350879</c:v>
                </c:pt>
                <c:pt idx="29">
                  <c:v>76.963599787867167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69-40FB-98E6-462FEFC28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948832"/>
        <c:axId val="322949224"/>
      </c:scatterChart>
      <c:valAx>
        <c:axId val="322948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49224"/>
        <c:crosses val="autoZero"/>
        <c:crossBetween val="midCat"/>
      </c:valAx>
      <c:valAx>
        <c:axId val="322949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488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(2)'!$B$26:$AE$26</c:f>
              <c:numCache>
                <c:formatCode>0</c:formatCode>
                <c:ptCount val="30"/>
                <c:pt idx="0">
                  <c:v>59.734077139186397</c:v>
                </c:pt>
                <c:pt idx="1">
                  <c:v>103.08072758143901</c:v>
                </c:pt>
                <c:pt idx="2">
                  <c:v>278.95761083299101</c:v>
                </c:pt>
                <c:pt idx="3">
                  <c:v>351.93193574209499</c:v>
                </c:pt>
                <c:pt idx="4">
                  <c:v>561.61364935563302</c:v>
                </c:pt>
                <c:pt idx="5">
                  <c:v>805.53924816416998</c:v>
                </c:pt>
                <c:pt idx="6">
                  <c:v>1082.2593167170301</c:v>
                </c:pt>
                <c:pt idx="7">
                  <c:v>1398.03807417282</c:v>
                </c:pt>
                <c:pt idx="8">
                  <c:v>1768.3330145223699</c:v>
                </c:pt>
                <c:pt idx="9">
                  <c:v>2203.09618329364</c:v>
                </c:pt>
                <c:pt idx="10">
                  <c:v>2703.2697766473798</c:v>
                </c:pt>
                <c:pt idx="11">
                  <c:v>3249.08425748332</c:v>
                </c:pt>
                <c:pt idx="12">
                  <c:v>4248.8246995295503</c:v>
                </c:pt>
                <c:pt idx="13">
                  <c:v>4640.8627358071399</c:v>
                </c:pt>
                <c:pt idx="14">
                  <c:v>4240.3211842372002</c:v>
                </c:pt>
                <c:pt idx="15">
                  <c:v>3457.6135016858102</c:v>
                </c:pt>
                <c:pt idx="16">
                  <c:v>2691.8263725141201</c:v>
                </c:pt>
                <c:pt idx="17">
                  <c:v>2081.4579194987</c:v>
                </c:pt>
                <c:pt idx="18">
                  <c:v>1627.1013784811901</c:v>
                </c:pt>
                <c:pt idx="19">
                  <c:v>1294.81245110704</c:v>
                </c:pt>
                <c:pt idx="20">
                  <c:v>1050.5799474134201</c:v>
                </c:pt>
                <c:pt idx="21">
                  <c:v>867.750106643653</c:v>
                </c:pt>
                <c:pt idx="22">
                  <c:v>728.13547978316501</c:v>
                </c:pt>
                <c:pt idx="23">
                  <c:v>619.32581939942497</c:v>
                </c:pt>
                <c:pt idx="24">
                  <c:v>532.83406318868799</c:v>
                </c:pt>
                <c:pt idx="25">
                  <c:v>358.23836898151598</c:v>
                </c:pt>
                <c:pt idx="26">
                  <c:v>284.97203898917098</c:v>
                </c:pt>
                <c:pt idx="27">
                  <c:v>232.05694606511099</c:v>
                </c:pt>
                <c:pt idx="28">
                  <c:v>192.95112492045101</c:v>
                </c:pt>
                <c:pt idx="29">
                  <c:v>163.41716618955499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D-4D01-A30B-811E8ACECC67}"/>
            </c:ext>
          </c:extLst>
        </c:ser>
        <c:ser>
          <c:idx val="1"/>
          <c:order val="1"/>
          <c:tx>
            <c:strRef>
              <c:f>'2643167851x2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(2)'!$B$27:$AE$27</c:f>
              <c:numCache>
                <c:formatCode>0</c:formatCode>
                <c:ptCount val="30"/>
                <c:pt idx="0">
                  <c:v>693.91436215079204</c:v>
                </c:pt>
                <c:pt idx="1">
                  <c:v>798.17905508763204</c:v>
                </c:pt>
                <c:pt idx="2">
                  <c:v>1058.06120577244</c:v>
                </c:pt>
                <c:pt idx="3">
                  <c:v>1151.25409289801</c:v>
                </c:pt>
                <c:pt idx="4">
                  <c:v>1387.54416284476</c:v>
                </c:pt>
                <c:pt idx="5">
                  <c:v>1591.3363683217699</c:v>
                </c:pt>
                <c:pt idx="6">
                  <c:v>1757.2416753127</c:v>
                </c:pt>
                <c:pt idx="7">
                  <c:v>1894.08261862884</c:v>
                </c:pt>
                <c:pt idx="8">
                  <c:v>2004.1661116458099</c:v>
                </c:pt>
                <c:pt idx="9">
                  <c:v>2069.7214382975899</c:v>
                </c:pt>
                <c:pt idx="10">
                  <c:v>2058.2206819001099</c:v>
                </c:pt>
                <c:pt idx="11">
                  <c:v>1922.0242095112001</c:v>
                </c:pt>
                <c:pt idx="12">
                  <c:v>1132.0071088820901</c:v>
                </c:pt>
                <c:pt idx="13">
                  <c:v>-191.70917095728799</c:v>
                </c:pt>
                <c:pt idx="14">
                  <c:v>-1424.2853405982501</c:v>
                </c:pt>
                <c:pt idx="15">
                  <c:v>-2150.12871826828</c:v>
                </c:pt>
                <c:pt idx="16">
                  <c:v>-2428.7819846109301</c:v>
                </c:pt>
                <c:pt idx="17">
                  <c:v>-2455.7522365479599</c:v>
                </c:pt>
                <c:pt idx="18">
                  <c:v>-2367.41603661514</c:v>
                </c:pt>
                <c:pt idx="19">
                  <c:v>-2234.0614739269699</c:v>
                </c:pt>
                <c:pt idx="20">
                  <c:v>-2089.4266708968298</c:v>
                </c:pt>
                <c:pt idx="21">
                  <c:v>-1949.28678889772</c:v>
                </c:pt>
                <c:pt idx="22">
                  <c:v>-1819.8662236769301</c:v>
                </c:pt>
                <c:pt idx="23">
                  <c:v>-1702.9233090944699</c:v>
                </c:pt>
                <c:pt idx="24">
                  <c:v>-1598.26170825281</c:v>
                </c:pt>
                <c:pt idx="25">
                  <c:v>-1346.0967289411401</c:v>
                </c:pt>
                <c:pt idx="26">
                  <c:v>-1217.34179609947</c:v>
                </c:pt>
                <c:pt idx="27">
                  <c:v>-1111.1650761035501</c:v>
                </c:pt>
                <c:pt idx="28">
                  <c:v>-1022.26021394844</c:v>
                </c:pt>
                <c:pt idx="29">
                  <c:v>-946.94248151194301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5D-4D01-A30B-811E8ACECC67}"/>
            </c:ext>
          </c:extLst>
        </c:ser>
        <c:ser>
          <c:idx val="2"/>
          <c:order val="2"/>
          <c:tx>
            <c:strRef>
              <c:f>'2643167851x2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(2)'!$B$28:$AE$28</c:f>
              <c:numCache>
                <c:formatCode>0</c:formatCode>
                <c:ptCount val="30"/>
                <c:pt idx="0">
                  <c:v>696.4806544124616</c:v>
                </c:pt>
                <c:pt idx="1">
                  <c:v>804.80770397611388</c:v>
                </c:pt>
                <c:pt idx="2">
                  <c:v>1094.2170094648866</c:v>
                </c:pt>
                <c:pt idx="3">
                  <c:v>1203.8447050220382</c:v>
                </c:pt>
                <c:pt idx="4">
                  <c:v>1496.8930138747787</c:v>
                </c:pt>
                <c:pt idx="5">
                  <c:v>1783.6044733842803</c:v>
                </c:pt>
                <c:pt idx="6">
                  <c:v>2063.7789450608793</c:v>
                </c:pt>
                <c:pt idx="7">
                  <c:v>2354.1579010399305</c:v>
                </c:pt>
                <c:pt idx="8">
                  <c:v>2672.7670031858852</c:v>
                </c:pt>
                <c:pt idx="9">
                  <c:v>3022.8098889926318</c:v>
                </c:pt>
                <c:pt idx="10">
                  <c:v>3397.6373939454647</c:v>
                </c:pt>
                <c:pt idx="11">
                  <c:v>3775.0133210590252</c:v>
                </c:pt>
                <c:pt idx="12">
                  <c:v>4397.0389379549461</c:v>
                </c:pt>
                <c:pt idx="13">
                  <c:v>4644.8207003965672</c:v>
                </c:pt>
                <c:pt idx="14">
                  <c:v>4473.1322892279686</c:v>
                </c:pt>
                <c:pt idx="15">
                  <c:v>4071.6267795761942</c:v>
                </c:pt>
                <c:pt idx="16">
                  <c:v>3625.5911447008384</c:v>
                </c:pt>
                <c:pt idx="17">
                  <c:v>3219.1902891805207</c:v>
                </c:pt>
                <c:pt idx="18">
                  <c:v>2872.6499240732292</c:v>
                </c:pt>
                <c:pt idx="19">
                  <c:v>2582.1638121595943</c:v>
                </c:pt>
                <c:pt idx="20">
                  <c:v>2338.6795502937534</c:v>
                </c:pt>
                <c:pt idx="21">
                  <c:v>2133.7078602637371</c:v>
                </c:pt>
                <c:pt idx="22">
                  <c:v>1960.1261053817916</c:v>
                </c:pt>
                <c:pt idx="23">
                  <c:v>1812.0464307605446</c:v>
                </c:pt>
                <c:pt idx="24">
                  <c:v>1684.741115709282</c:v>
                </c:pt>
                <c:pt idx="25">
                  <c:v>1392.9505133624002</c:v>
                </c:pt>
                <c:pt idx="26">
                  <c:v>1250.2520192090592</c:v>
                </c:pt>
                <c:pt idx="27">
                  <c:v>1135.1379883385428</c:v>
                </c:pt>
                <c:pt idx="28">
                  <c:v>1040.310569796336</c:v>
                </c:pt>
                <c:pt idx="29">
                  <c:v>960.93976580086485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5D-4D01-A30B-811E8ACE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950008"/>
        <c:axId val="322950400"/>
      </c:scatterChart>
      <c:valAx>
        <c:axId val="3229500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50400"/>
        <c:crosses val="autoZero"/>
        <c:crossBetween val="midCat"/>
      </c:valAx>
      <c:valAx>
        <c:axId val="322950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500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A-4132-B677-6B662749F612}"/>
            </c:ext>
          </c:extLst>
        </c:ser>
        <c:ser>
          <c:idx val="1"/>
          <c:order val="1"/>
          <c:tx>
            <c:strRef>
              <c:f>'2643167851x2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6A-4132-B677-6B662749F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063800"/>
        <c:axId val="323064192"/>
      </c:scatterChart>
      <c:valAx>
        <c:axId val="32306380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4192"/>
        <c:crosses val="autoZero"/>
        <c:crossBetween val="midCat"/>
      </c:valAx>
      <c:valAx>
        <c:axId val="323064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38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4t'!$A$26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4t'!$B$26:$AE$26</c:f>
              <c:numCache>
                <c:formatCode>0</c:formatCode>
                <c:ptCount val="30"/>
                <c:pt idx="0">
                  <c:v>57.224890884643997</c:v>
                </c:pt>
                <c:pt idx="1">
                  <c:v>81.191293782633394</c:v>
                </c:pt>
                <c:pt idx="2">
                  <c:v>111.22560382318299</c:v>
                </c:pt>
                <c:pt idx="3">
                  <c:v>148.739917048807</c:v>
                </c:pt>
                <c:pt idx="4">
                  <c:v>195.60539312706001</c:v>
                </c:pt>
                <c:pt idx="5">
                  <c:v>253.93010869767701</c:v>
                </c:pt>
                <c:pt idx="6">
                  <c:v>326.10960795112697</c:v>
                </c:pt>
                <c:pt idx="7">
                  <c:v>414.86010546349098</c:v>
                </c:pt>
                <c:pt idx="8">
                  <c:v>523.29066517829096</c:v>
                </c:pt>
                <c:pt idx="9">
                  <c:v>654.91481727118401</c:v>
                </c:pt>
                <c:pt idx="10">
                  <c:v>814.38742080376005</c:v>
                </c:pt>
                <c:pt idx="11">
                  <c:v>1008.25148762062</c:v>
                </c:pt>
                <c:pt idx="12">
                  <c:v>1247.6311974548901</c:v>
                </c:pt>
                <c:pt idx="13">
                  <c:v>1553.7937130897201</c:v>
                </c:pt>
                <c:pt idx="14">
                  <c:v>1954.8087883846899</c:v>
                </c:pt>
                <c:pt idx="15">
                  <c:v>2481.96711800189</c:v>
                </c:pt>
                <c:pt idx="16">
                  <c:v>3145.2139667482402</c:v>
                </c:pt>
                <c:pt idx="17">
                  <c:v>3862.58180674917</c:v>
                </c:pt>
                <c:pt idx="18">
                  <c:v>4388.8866907873498</c:v>
                </c:pt>
                <c:pt idx="19">
                  <c:v>4389.2432364214801</c:v>
                </c:pt>
                <c:pt idx="20">
                  <c:v>3799.00037452069</c:v>
                </c:pt>
                <c:pt idx="21">
                  <c:v>2936.8770031273598</c:v>
                </c:pt>
                <c:pt idx="22">
                  <c:v>2131.59115515963</c:v>
                </c:pt>
                <c:pt idx="23">
                  <c:v>1510.7256958303001</c:v>
                </c:pt>
                <c:pt idx="24">
                  <c:v>1071.7610633236</c:v>
                </c:pt>
                <c:pt idx="25">
                  <c:v>768.79443347481799</c:v>
                </c:pt>
                <c:pt idx="26">
                  <c:v>558.37567429995499</c:v>
                </c:pt>
                <c:pt idx="27">
                  <c:v>409.62329558155301</c:v>
                </c:pt>
                <c:pt idx="28">
                  <c:v>303.156130255758</c:v>
                </c:pt>
                <c:pt idx="29">
                  <c:v>226.63065463250899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5-45C5-8D40-7BF7819628A5}"/>
            </c:ext>
          </c:extLst>
        </c:ser>
        <c:ser>
          <c:idx val="1"/>
          <c:order val="1"/>
          <c:tx>
            <c:strRef>
              <c:f>'2643167851x3 4t'!$A$27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4t'!$B$27:$AE$27</c:f>
              <c:numCache>
                <c:formatCode>0</c:formatCode>
                <c:ptCount val="30"/>
                <c:pt idx="0">
                  <c:v>665.46659924803998</c:v>
                </c:pt>
                <c:pt idx="1">
                  <c:v>727.63918651685299</c:v>
                </c:pt>
                <c:pt idx="2">
                  <c:v>789.14111180130499</c:v>
                </c:pt>
                <c:pt idx="3">
                  <c:v>850.90795050849295</c:v>
                </c:pt>
                <c:pt idx="4">
                  <c:v>918.14132812873902</c:v>
                </c:pt>
                <c:pt idx="5">
                  <c:v>996.82541434097402</c:v>
                </c:pt>
                <c:pt idx="6">
                  <c:v>1089.9044438813401</c:v>
                </c:pt>
                <c:pt idx="7">
                  <c:v>1198.10089445313</c:v>
                </c:pt>
                <c:pt idx="8">
                  <c:v>1316.0166519331001</c:v>
                </c:pt>
                <c:pt idx="9">
                  <c:v>1436.39485753908</c:v>
                </c:pt>
                <c:pt idx="10">
                  <c:v>1555.7138427755399</c:v>
                </c:pt>
                <c:pt idx="11">
                  <c:v>1671.09497326889</c:v>
                </c:pt>
                <c:pt idx="12">
                  <c:v>1782.9446028029899</c:v>
                </c:pt>
                <c:pt idx="13">
                  <c:v>1890.8207740062401</c:v>
                </c:pt>
                <c:pt idx="14">
                  <c:v>1978.0301293964999</c:v>
                </c:pt>
                <c:pt idx="15">
                  <c:v>1999.8036218515699</c:v>
                </c:pt>
                <c:pt idx="16">
                  <c:v>1852.2119699278301</c:v>
                </c:pt>
                <c:pt idx="17">
                  <c:v>1374.4861593273199</c:v>
                </c:pt>
                <c:pt idx="18">
                  <c:v>465.54590355133899</c:v>
                </c:pt>
                <c:pt idx="19">
                  <c:v>-711.69801400722201</c:v>
                </c:pt>
                <c:pt idx="20">
                  <c:v>-1717.68552119132</c:v>
                </c:pt>
                <c:pt idx="21">
                  <c:v>-2256.4150340555202</c:v>
                </c:pt>
                <c:pt idx="22">
                  <c:v>-2379.9762511916401</c:v>
                </c:pt>
                <c:pt idx="23">
                  <c:v>-2267.0111081694899</c:v>
                </c:pt>
                <c:pt idx="24">
                  <c:v>-2053.3676839128302</c:v>
                </c:pt>
                <c:pt idx="25">
                  <c:v>-1817.5057303511101</c:v>
                </c:pt>
                <c:pt idx="26">
                  <c:v>-1595.05888350433</c:v>
                </c:pt>
                <c:pt idx="27">
                  <c:v>-1397.6581442332299</c:v>
                </c:pt>
                <c:pt idx="28">
                  <c:v>-1226.07952960425</c:v>
                </c:pt>
                <c:pt idx="29">
                  <c:v>-1077.79314892189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E5-45C5-8D40-7BF7819628A5}"/>
            </c:ext>
          </c:extLst>
        </c:ser>
        <c:ser>
          <c:idx val="2"/>
          <c:order val="2"/>
          <c:tx>
            <c:strRef>
              <c:f>'2643167851x3 4t'!$A$28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4t'!$B$28:$AE$28</c:f>
              <c:numCache>
                <c:formatCode>0</c:formatCode>
                <c:ptCount val="30"/>
                <c:pt idx="0">
                  <c:v>667.92251261019112</c:v>
                </c:pt>
                <c:pt idx="1">
                  <c:v>732.1549097977869</c:v>
                </c:pt>
                <c:pt idx="2">
                  <c:v>796.94091956733621</c:v>
                </c:pt>
                <c:pt idx="3">
                  <c:v>863.81010827742091</c:v>
                </c:pt>
                <c:pt idx="4">
                  <c:v>938.74648773691638</c:v>
                </c:pt>
                <c:pt idx="5">
                  <c:v>1028.6600054338987</c:v>
                </c:pt>
                <c:pt idx="6">
                  <c:v>1137.6463304517492</c:v>
                </c:pt>
                <c:pt idx="7">
                  <c:v>1267.8937890827326</c:v>
                </c:pt>
                <c:pt idx="8">
                  <c:v>1416.2390152894193</c:v>
                </c:pt>
                <c:pt idx="9">
                  <c:v>1578.6524648085349</c:v>
                </c:pt>
                <c:pt idx="10">
                  <c:v>1755.9818996125325</c:v>
                </c:pt>
                <c:pt idx="11">
                  <c:v>1951.6991243462055</c:v>
                </c:pt>
                <c:pt idx="12">
                  <c:v>2176.1146710426442</c:v>
                </c:pt>
                <c:pt idx="13">
                  <c:v>2447.3410269618525</c:v>
                </c:pt>
                <c:pt idx="14">
                  <c:v>2780.9855432825166</c:v>
                </c:pt>
                <c:pt idx="15">
                  <c:v>3187.3774958127042</c:v>
                </c:pt>
                <c:pt idx="16">
                  <c:v>3650.0767222309364</c:v>
                </c:pt>
                <c:pt idx="17">
                  <c:v>4099.8476088767065</c:v>
                </c:pt>
                <c:pt idx="18">
                  <c:v>4413.5087371482305</c:v>
                </c:pt>
                <c:pt idx="19">
                  <c:v>4446.5683680354605</c:v>
                </c:pt>
                <c:pt idx="20">
                  <c:v>4169.2742048609171</c:v>
                </c:pt>
                <c:pt idx="21">
                  <c:v>3703.6003209593387</c:v>
                </c:pt>
                <c:pt idx="22">
                  <c:v>3194.9910499078051</c:v>
                </c:pt>
                <c:pt idx="23">
                  <c:v>2724.2671478043048</c:v>
                </c:pt>
                <c:pt idx="24">
                  <c:v>2316.2449400255741</c:v>
                </c:pt>
                <c:pt idx="25">
                  <c:v>1973.4163171518037</c:v>
                </c:pt>
                <c:pt idx="26">
                  <c:v>1689.9693001637661</c:v>
                </c:pt>
                <c:pt idx="27">
                  <c:v>1456.4475728376112</c:v>
                </c:pt>
                <c:pt idx="28">
                  <c:v>1263.0022376172676</c:v>
                </c:pt>
                <c:pt idx="29">
                  <c:v>1101.362576757592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E5-45C5-8D40-7BF781962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064976"/>
        <c:axId val="323065368"/>
      </c:scatterChart>
      <c:valAx>
        <c:axId val="323064976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5368"/>
        <c:crosses val="autoZero"/>
        <c:crossBetween val="midCat"/>
      </c:valAx>
      <c:valAx>
        <c:axId val="323065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49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4t'!$A$19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78.69436776914371</c:v>
                </c:pt>
                <c:pt idx="2">
                  <c:v>95.033019425396986</c:v>
                </c:pt>
                <c:pt idx="3">
                  <c:v>111.78943964447579</c:v>
                </c:pt>
                <c:pt idx="4">
                  <c:v>128.92387426287169</c:v>
                </c:pt>
                <c:pt idx="5">
                  <c:v>146.13572831646928</c:v>
                </c:pt>
                <c:pt idx="6">
                  <c:v>162.94648447965085</c:v>
                </c:pt>
                <c:pt idx="7">
                  <c:v>178.73936306342048</c:v>
                </c:pt>
                <c:pt idx="8">
                  <c:v>192.96730127703282</c:v>
                </c:pt>
                <c:pt idx="9">
                  <c:v>205.16702079442354</c:v>
                </c:pt>
                <c:pt idx="10">
                  <c:v>214.99409389483591</c:v>
                </c:pt>
                <c:pt idx="11">
                  <c:v>222.29152478732289</c:v>
                </c:pt>
                <c:pt idx="12">
                  <c:v>227.1531420119284</c:v>
                </c:pt>
                <c:pt idx="13">
                  <c:v>230.17987391137538</c:v>
                </c:pt>
                <c:pt idx="14">
                  <c:v>231.65293252105121</c:v>
                </c:pt>
                <c:pt idx="15">
                  <c:v>231.6128551596139</c:v>
                </c:pt>
                <c:pt idx="16">
                  <c:v>230.43658518398212</c:v>
                </c:pt>
                <c:pt idx="17">
                  <c:v>228.63337263253675</c:v>
                </c:pt>
                <c:pt idx="18">
                  <c:v>226.42252400219343</c:v>
                </c:pt>
                <c:pt idx="19">
                  <c:v>224.13224666620957</c:v>
                </c:pt>
                <c:pt idx="20">
                  <c:v>221.61433948536421</c:v>
                </c:pt>
                <c:pt idx="21">
                  <c:v>218.10825470214414</c:v>
                </c:pt>
                <c:pt idx="22">
                  <c:v>213.21943783207936</c:v>
                </c:pt>
                <c:pt idx="23">
                  <c:v>207.09449043314567</c:v>
                </c:pt>
                <c:pt idx="24">
                  <c:v>200.21413304776598</c:v>
                </c:pt>
                <c:pt idx="25">
                  <c:v>193.22017264225997</c:v>
                </c:pt>
                <c:pt idx="26">
                  <c:v>186.2009670804058</c:v>
                </c:pt>
                <c:pt idx="27">
                  <c:v>179.05269003803434</c:v>
                </c:pt>
                <c:pt idx="28">
                  <c:v>171.58128313305946</c:v>
                </c:pt>
                <c:pt idx="29">
                  <c:v>163.43647339009141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4C-43D7-AFFC-53E89C585109}"/>
            </c:ext>
          </c:extLst>
        </c:ser>
        <c:ser>
          <c:idx val="1"/>
          <c:order val="1"/>
          <c:tx>
            <c:strRef>
              <c:f>'2643167851x3 4t'!$A$20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727.19925794267283</c:v>
                </c:pt>
                <c:pt idx="2">
                  <c:v>699.91730907596366</c:v>
                </c:pt>
                <c:pt idx="3">
                  <c:v>669.22513191307667</c:v>
                </c:pt>
                <c:pt idx="4">
                  <c:v>639.60364772686307</c:v>
                </c:pt>
                <c:pt idx="5">
                  <c:v>614.12716243525881</c:v>
                </c:pt>
                <c:pt idx="6">
                  <c:v>592.71126406746293</c:v>
                </c:pt>
                <c:pt idx="7">
                  <c:v>573.91480409315739</c:v>
                </c:pt>
                <c:pt idx="8">
                  <c:v>554.32901910144312</c:v>
                </c:pt>
                <c:pt idx="9">
                  <c:v>531.60208421025595</c:v>
                </c:pt>
                <c:pt idx="10">
                  <c:v>506.01230710772387</c:v>
                </c:pt>
                <c:pt idx="11">
                  <c:v>478.56103957035913</c:v>
                </c:pt>
                <c:pt idx="12">
                  <c:v>451.24833675028242</c:v>
                </c:pt>
                <c:pt idx="13">
                  <c:v>426.06541313575764</c:v>
                </c:pt>
                <c:pt idx="14">
                  <c:v>403.25994920225838</c:v>
                </c:pt>
                <c:pt idx="15">
                  <c:v>382.24803615152689</c:v>
                </c:pt>
                <c:pt idx="16">
                  <c:v>361.2962966153537</c:v>
                </c:pt>
                <c:pt idx="17">
                  <c:v>338.89255497181898</c:v>
                </c:pt>
                <c:pt idx="18">
                  <c:v>315.34988498379494</c:v>
                </c:pt>
                <c:pt idx="19">
                  <c:v>291.47993805466007</c:v>
                </c:pt>
                <c:pt idx="20">
                  <c:v>268.55659879622834</c:v>
                </c:pt>
                <c:pt idx="21">
                  <c:v>247.32720208088526</c:v>
                </c:pt>
                <c:pt idx="22">
                  <c:v>227.72463016953941</c:v>
                </c:pt>
                <c:pt idx="23">
                  <c:v>209.02183904741531</c:v>
                </c:pt>
                <c:pt idx="24">
                  <c:v>189.90802449405135</c:v>
                </c:pt>
                <c:pt idx="25">
                  <c:v>170.48835891921885</c:v>
                </c:pt>
                <c:pt idx="26">
                  <c:v>151.71422478359781</c:v>
                </c:pt>
                <c:pt idx="27">
                  <c:v>134.48643812871316</c:v>
                </c:pt>
                <c:pt idx="28">
                  <c:v>118.97907457336322</c:v>
                </c:pt>
                <c:pt idx="29">
                  <c:v>104.89568845432028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4C-43D7-AFFC-53E89C585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066544"/>
        <c:axId val="323066936"/>
      </c:scatterChart>
      <c:valAx>
        <c:axId val="3230665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6936"/>
        <c:crosses val="autoZero"/>
        <c:crossBetween val="midCat"/>
      </c:valAx>
      <c:valAx>
        <c:axId val="323066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65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083673347742264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5t'!$B$26:$AE$26</c:f>
              <c:numCache>
                <c:formatCode>0</c:formatCode>
                <c:ptCount val="30"/>
                <c:pt idx="0">
                  <c:v>128.01424701316401</c:v>
                </c:pt>
                <c:pt idx="1">
                  <c:v>160.97041320164001</c:v>
                </c:pt>
                <c:pt idx="2">
                  <c:v>201.13883987666699</c:v>
                </c:pt>
                <c:pt idx="3">
                  <c:v>250.38807013431801</c:v>
                </c:pt>
                <c:pt idx="4">
                  <c:v>311.22042389624499</c:v>
                </c:pt>
                <c:pt idx="5">
                  <c:v>387.09162808130299</c:v>
                </c:pt>
                <c:pt idx="6">
                  <c:v>482.98011355233001</c:v>
                </c:pt>
                <c:pt idx="7">
                  <c:v>606.36293010168902</c:v>
                </c:pt>
                <c:pt idx="8">
                  <c:v>768.50427212531201</c:v>
                </c:pt>
                <c:pt idx="9">
                  <c:v>986.17216274714599</c:v>
                </c:pt>
                <c:pt idx="10">
                  <c:v>1285.1167525250801</c:v>
                </c:pt>
                <c:pt idx="11">
                  <c:v>1704.7311450781101</c:v>
                </c:pt>
                <c:pt idx="12">
                  <c:v>2301.9640280798199</c:v>
                </c:pt>
                <c:pt idx="13">
                  <c:v>3142.9864225025599</c:v>
                </c:pt>
                <c:pt idx="14">
                  <c:v>4241.7935491061899</c:v>
                </c:pt>
                <c:pt idx="15">
                  <c:v>5378.4005023841501</c:v>
                </c:pt>
                <c:pt idx="16">
                  <c:v>5969.3338936651398</c:v>
                </c:pt>
                <c:pt idx="17">
                  <c:v>5571.1239259314098</c:v>
                </c:pt>
                <c:pt idx="18">
                  <c:v>4515.50209429186</c:v>
                </c:pt>
                <c:pt idx="19">
                  <c:v>3405.2254541264601</c:v>
                </c:pt>
                <c:pt idx="20">
                  <c:v>2518.3926437298901</c:v>
                </c:pt>
                <c:pt idx="21">
                  <c:v>1874.3709106604899</c:v>
                </c:pt>
                <c:pt idx="22">
                  <c:v>1416.42393830779</c:v>
                </c:pt>
                <c:pt idx="23">
                  <c:v>1087.62455560533</c:v>
                </c:pt>
                <c:pt idx="24">
                  <c:v>846.98068603634704</c:v>
                </c:pt>
                <c:pt idx="25">
                  <c:v>667.75018266991106</c:v>
                </c:pt>
                <c:pt idx="26">
                  <c:v>532.08648987670597</c:v>
                </c:pt>
                <c:pt idx="27">
                  <c:v>427.90354568166498</c:v>
                </c:pt>
                <c:pt idx="28">
                  <c:v>346.92452371883002</c:v>
                </c:pt>
                <c:pt idx="29">
                  <c:v>283.398426230533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C-4487-9FC6-A52460C77A07}"/>
            </c:ext>
          </c:extLst>
        </c:ser>
        <c:ser>
          <c:idx val="1"/>
          <c:order val="1"/>
          <c:tx>
            <c:strRef>
              <c:f>'2643167851x3 5t'!$A$27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5t'!$B$27:$AE$27</c:f>
              <c:numCache>
                <c:formatCode>0</c:formatCode>
                <c:ptCount val="30"/>
                <c:pt idx="0">
                  <c:v>1242.16312872088</c:v>
                </c:pt>
                <c:pt idx="1">
                  <c:v>1329.7574269028501</c:v>
                </c:pt>
                <c:pt idx="2">
                  <c:v>1423.2041836030601</c:v>
                </c:pt>
                <c:pt idx="3">
                  <c:v>1523.12417091104</c:v>
                </c:pt>
                <c:pt idx="4">
                  <c:v>1630.4705540728301</c:v>
                </c:pt>
                <c:pt idx="5">
                  <c:v>1746.7843182737599</c:v>
                </c:pt>
                <c:pt idx="6">
                  <c:v>1874.62776474521</c:v>
                </c:pt>
                <c:pt idx="7">
                  <c:v>2018.28932907384</c:v>
                </c:pt>
                <c:pt idx="8">
                  <c:v>2182.5564240182998</c:v>
                </c:pt>
                <c:pt idx="9">
                  <c:v>2369.5499332066602</c:v>
                </c:pt>
                <c:pt idx="10">
                  <c:v>2577.5844154345</c:v>
                </c:pt>
                <c:pt idx="11">
                  <c:v>2794.6957965870101</c:v>
                </c:pt>
                <c:pt idx="12">
                  <c:v>2982.6243497713699</c:v>
                </c:pt>
                <c:pt idx="13">
                  <c:v>3042.1422543620602</c:v>
                </c:pt>
                <c:pt idx="14">
                  <c:v>2760.5033712905802</c:v>
                </c:pt>
                <c:pt idx="15">
                  <c:v>1835.37588414065</c:v>
                </c:pt>
                <c:pt idx="16">
                  <c:v>223.629961267422</c:v>
                </c:pt>
                <c:pt idx="17">
                  <c:v>-1463.3622304953899</c:v>
                </c:pt>
                <c:pt idx="18">
                  <c:v>-2533.5674672114901</c:v>
                </c:pt>
                <c:pt idx="19">
                  <c:v>-2927.36636522563</c:v>
                </c:pt>
                <c:pt idx="20">
                  <c:v>-2922.5867676501998</c:v>
                </c:pt>
                <c:pt idx="21">
                  <c:v>-2748.1153761003002</c:v>
                </c:pt>
                <c:pt idx="22">
                  <c:v>-2521.5971496555499</c:v>
                </c:pt>
                <c:pt idx="23">
                  <c:v>-2292.8429578659102</c:v>
                </c:pt>
                <c:pt idx="24">
                  <c:v>-2079.9309265492602</c:v>
                </c:pt>
                <c:pt idx="25">
                  <c:v>-1887.9154787350999</c:v>
                </c:pt>
                <c:pt idx="26">
                  <c:v>-1717.1768778313999</c:v>
                </c:pt>
                <c:pt idx="27">
                  <c:v>-1566.1062290114201</c:v>
                </c:pt>
                <c:pt idx="28">
                  <c:v>-1432.4527054707801</c:v>
                </c:pt>
                <c:pt idx="29">
                  <c:v>-1313.93023955796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DC-4487-9FC6-A52460C77A07}"/>
            </c:ext>
          </c:extLst>
        </c:ser>
        <c:ser>
          <c:idx val="2"/>
          <c:order val="2"/>
          <c:tx>
            <c:strRef>
              <c:f>'2643167851x3 5t'!$A$28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5t'!$B$28:$AE$28</c:f>
              <c:numCache>
                <c:formatCode>0</c:formatCode>
                <c:ptCount val="30"/>
                <c:pt idx="0">
                  <c:v>1248.7421214133817</c:v>
                </c:pt>
                <c:pt idx="1">
                  <c:v>1339.4649261289355</c:v>
                </c:pt>
                <c:pt idx="2">
                  <c:v>1437.3472027078858</c:v>
                </c:pt>
                <c:pt idx="3">
                  <c:v>1543.5677586938095</c:v>
                </c:pt>
                <c:pt idx="4">
                  <c:v>1659.9073407719843</c:v>
                </c:pt>
                <c:pt idx="5">
                  <c:v>1789.1605246868592</c:v>
                </c:pt>
                <c:pt idx="6">
                  <c:v>1935.845821970501</c:v>
                </c:pt>
                <c:pt idx="7">
                  <c:v>2107.4078435022579</c:v>
                </c:pt>
                <c:pt idx="8">
                  <c:v>2313.9039220111117</c:v>
                </c:pt>
                <c:pt idx="9">
                  <c:v>2566.5740629362463</c:v>
                </c:pt>
                <c:pt idx="10">
                  <c:v>2880.1851479221646</c:v>
                </c:pt>
                <c:pt idx="11">
                  <c:v>3273.5963209382471</c:v>
                </c:pt>
                <c:pt idx="12">
                  <c:v>3767.6367126386481</c:v>
                </c:pt>
                <c:pt idx="13">
                  <c:v>4374.1277013606405</c:v>
                </c:pt>
                <c:pt idx="14">
                  <c:v>5060.9476756972645</c:v>
                </c:pt>
                <c:pt idx="15">
                  <c:v>5682.9390811560825</c:v>
                </c:pt>
                <c:pt idx="16">
                  <c:v>5973.5213646253824</c:v>
                </c:pt>
                <c:pt idx="17">
                  <c:v>5760.1085767306377</c:v>
                </c:pt>
                <c:pt idx="18">
                  <c:v>5177.7140974050135</c:v>
                </c:pt>
                <c:pt idx="19">
                  <c:v>4490.5494351677135</c:v>
                </c:pt>
                <c:pt idx="20">
                  <c:v>3857.9547589930171</c:v>
                </c:pt>
                <c:pt idx="21">
                  <c:v>3326.47026607621</c:v>
                </c:pt>
                <c:pt idx="22">
                  <c:v>2892.1806579400159</c:v>
                </c:pt>
                <c:pt idx="23">
                  <c:v>2537.7265422797204</c:v>
                </c:pt>
                <c:pt idx="24">
                  <c:v>2245.771346716906</c:v>
                </c:pt>
                <c:pt idx="25">
                  <c:v>2002.5271936488857</c:v>
                </c:pt>
                <c:pt idx="26">
                  <c:v>1797.7242453914082</c:v>
                </c:pt>
                <c:pt idx="27">
                  <c:v>1623.5116768767975</c:v>
                </c:pt>
                <c:pt idx="28">
                  <c:v>1473.8647762152721</c:v>
                </c:pt>
                <c:pt idx="29">
                  <c:v>1344.1455808113872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DC-4487-9FC6-A52460C77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053928"/>
        <c:axId val="404054320"/>
      </c:scatterChart>
      <c:valAx>
        <c:axId val="404053928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973279259824964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4320"/>
        <c:crosses val="autoZero"/>
        <c:crossBetween val="midCat"/>
      </c:valAx>
      <c:valAx>
        <c:axId val="404054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3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602072502476108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70.915016219551305</c:v>
                </c:pt>
                <c:pt idx="2">
                  <c:v>79.151116321456982</c:v>
                </c:pt>
                <c:pt idx="3">
                  <c:v>87.505246853820353</c:v>
                </c:pt>
                <c:pt idx="4">
                  <c:v>95.970840375039188</c:v>
                </c:pt>
                <c:pt idx="5">
                  <c:v>104.54550147973526</c:v>
                </c:pt>
                <c:pt idx="6">
                  <c:v>113.23274405312361</c:v>
                </c:pt>
                <c:pt idx="7">
                  <c:v>122.02367292257604</c:v>
                </c:pt>
                <c:pt idx="8">
                  <c:v>130.87713470162191</c:v>
                </c:pt>
                <c:pt idx="9">
                  <c:v>139.74096919351098</c:v>
                </c:pt>
                <c:pt idx="10">
                  <c:v>148.55329087351495</c:v>
                </c:pt>
                <c:pt idx="11">
                  <c:v>157.24110916393408</c:v>
                </c:pt>
                <c:pt idx="12">
                  <c:v>165.71885263521324</c:v>
                </c:pt>
                <c:pt idx="13">
                  <c:v>173.89559574148473</c:v>
                </c:pt>
                <c:pt idx="14">
                  <c:v>181.69948064441911</c:v>
                </c:pt>
                <c:pt idx="15">
                  <c:v>189.06367698465081</c:v>
                </c:pt>
                <c:pt idx="16">
                  <c:v>195.92374953023966</c:v>
                </c:pt>
                <c:pt idx="17">
                  <c:v>202.22083685720045</c:v>
                </c:pt>
                <c:pt idx="18">
                  <c:v>207.90588673827276</c:v>
                </c:pt>
                <c:pt idx="19">
                  <c:v>212.94511841508285</c:v>
                </c:pt>
                <c:pt idx="20">
                  <c:v>217.32080823360155</c:v>
                </c:pt>
                <c:pt idx="21">
                  <c:v>221.01897429954104</c:v>
                </c:pt>
                <c:pt idx="22">
                  <c:v>224.04935553717519</c:v>
                </c:pt>
                <c:pt idx="23">
                  <c:v>226.46030936917762</c:v>
                </c:pt>
                <c:pt idx="24">
                  <c:v>228.35183233344961</c:v>
                </c:pt>
                <c:pt idx="25">
                  <c:v>229.83301717401378</c:v>
                </c:pt>
                <c:pt idx="26">
                  <c:v>230.90575794838244</c:v>
                </c:pt>
                <c:pt idx="27">
                  <c:v>231.56121226764634</c:v>
                </c:pt>
                <c:pt idx="28">
                  <c:v>231.80666843925172</c:v>
                </c:pt>
                <c:pt idx="29">
                  <c:v>231.67142655602493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5-4CE3-9CF5-37CDC08A9EAB}"/>
            </c:ext>
          </c:extLst>
        </c:ser>
        <c:ser>
          <c:idx val="1"/>
          <c:order val="1"/>
          <c:tx>
            <c:strRef>
              <c:f>'2643167851x3 5t'!$A$20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738.48518951823837</c:v>
                </c:pt>
                <c:pt idx="2">
                  <c:v>726.49822550840213</c:v>
                </c:pt>
                <c:pt idx="3">
                  <c:v>713.0029633892749</c:v>
                </c:pt>
                <c:pt idx="4">
                  <c:v>698.23919621743528</c:v>
                </c:pt>
                <c:pt idx="5">
                  <c:v>682.58357707154323</c:v>
                </c:pt>
                <c:pt idx="6">
                  <c:v>666.58860174642564</c:v>
                </c:pt>
                <c:pt idx="7">
                  <c:v>651.02334736954651</c:v>
                </c:pt>
                <c:pt idx="8">
                  <c:v>636.50090542350642</c:v>
                </c:pt>
                <c:pt idx="9">
                  <c:v>623.11484398349842</c:v>
                </c:pt>
                <c:pt idx="10">
                  <c:v>610.86456898049414</c:v>
                </c:pt>
                <c:pt idx="11">
                  <c:v>599.68028378883514</c:v>
                </c:pt>
                <c:pt idx="12">
                  <c:v>589.39900382215819</c:v>
                </c:pt>
                <c:pt idx="13">
                  <c:v>579.73390476157306</c:v>
                </c:pt>
                <c:pt idx="14">
                  <c:v>570.23659496039284</c:v>
                </c:pt>
                <c:pt idx="15">
                  <c:v>560.27252697024608</c:v>
                </c:pt>
                <c:pt idx="16">
                  <c:v>549.45783985838466</c:v>
                </c:pt>
                <c:pt idx="17">
                  <c:v>537.79372831364503</c:v>
                </c:pt>
                <c:pt idx="18">
                  <c:v>525.32597018923673</c:v>
                </c:pt>
                <c:pt idx="19">
                  <c:v>512.1382263845353</c:v>
                </c:pt>
                <c:pt idx="20">
                  <c:v>498.36314350416728</c:v>
                </c:pt>
                <c:pt idx="21">
                  <c:v>484.19601287000597</c:v>
                </c:pt>
                <c:pt idx="22">
                  <c:v>469.9115267138128</c:v>
                </c:pt>
                <c:pt idx="23">
                  <c:v>455.88213437553276</c:v>
                </c:pt>
                <c:pt idx="24">
                  <c:v>442.4205189346157</c:v>
                </c:pt>
                <c:pt idx="25">
                  <c:v>429.59150845734803</c:v>
                </c:pt>
                <c:pt idx="26">
                  <c:v>417.40565703773854</c:v>
                </c:pt>
                <c:pt idx="27">
                  <c:v>405.83168083082626</c:v>
                </c:pt>
                <c:pt idx="28">
                  <c:v>394.78097627455514</c:v>
                </c:pt>
                <c:pt idx="29">
                  <c:v>384.08852898077271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5-4CE3-9CF5-37CDC08A9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055496"/>
        <c:axId val="404055888"/>
      </c:scatterChart>
      <c:valAx>
        <c:axId val="404055496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5888"/>
        <c:crosses val="autoZero"/>
        <c:crossBetween val="midCat"/>
      </c:valAx>
      <c:valAx>
        <c:axId val="40405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54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137193971154939"/>
          <c:y val="0.45982189726284212"/>
          <c:w val="0.98662277583195068"/>
          <c:h val="0.546875468691413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859878496496347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16841621704666"/>
          <c:y val="0.14732158913921808"/>
          <c:w val="0.702493280418371"/>
          <c:h val="0.7477686721460311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(2)'!$B$26:$AE$26</c:f>
              <c:numCache>
                <c:formatCode>0</c:formatCode>
                <c:ptCount val="30"/>
                <c:pt idx="0">
                  <c:v>128.01424701316401</c:v>
                </c:pt>
                <c:pt idx="1">
                  <c:v>160.97041320164001</c:v>
                </c:pt>
                <c:pt idx="2">
                  <c:v>201.13883987666699</c:v>
                </c:pt>
                <c:pt idx="3">
                  <c:v>250.38807013431801</c:v>
                </c:pt>
                <c:pt idx="4">
                  <c:v>311.22042389624499</c:v>
                </c:pt>
                <c:pt idx="5">
                  <c:v>387.09162808130299</c:v>
                </c:pt>
                <c:pt idx="6">
                  <c:v>482.98011355233001</c:v>
                </c:pt>
                <c:pt idx="7">
                  <c:v>606.36293010168902</c:v>
                </c:pt>
                <c:pt idx="8">
                  <c:v>768.50427212531201</c:v>
                </c:pt>
                <c:pt idx="9">
                  <c:v>986.17216274714599</c:v>
                </c:pt>
                <c:pt idx="10">
                  <c:v>1285.1167525250801</c:v>
                </c:pt>
                <c:pt idx="11">
                  <c:v>1704.7311450781101</c:v>
                </c:pt>
                <c:pt idx="12">
                  <c:v>2301.9640280798199</c:v>
                </c:pt>
                <c:pt idx="13">
                  <c:v>3142.9864225025599</c:v>
                </c:pt>
                <c:pt idx="14">
                  <c:v>4241.7935491061899</c:v>
                </c:pt>
                <c:pt idx="15">
                  <c:v>5378.4005023841501</c:v>
                </c:pt>
                <c:pt idx="16">
                  <c:v>5969.3338936651398</c:v>
                </c:pt>
                <c:pt idx="17">
                  <c:v>5571.1239259314098</c:v>
                </c:pt>
                <c:pt idx="18">
                  <c:v>4515.50209429186</c:v>
                </c:pt>
                <c:pt idx="19">
                  <c:v>3405.2254541264601</c:v>
                </c:pt>
                <c:pt idx="20">
                  <c:v>2518.3926437298901</c:v>
                </c:pt>
                <c:pt idx="21">
                  <c:v>1874.3709106604899</c:v>
                </c:pt>
                <c:pt idx="22">
                  <c:v>1416.42393830779</c:v>
                </c:pt>
                <c:pt idx="23">
                  <c:v>1087.62455560533</c:v>
                </c:pt>
                <c:pt idx="24">
                  <c:v>846.98068603634704</c:v>
                </c:pt>
                <c:pt idx="25">
                  <c:v>667.75018266991106</c:v>
                </c:pt>
                <c:pt idx="26">
                  <c:v>532.08648987670597</c:v>
                </c:pt>
                <c:pt idx="27">
                  <c:v>427.90354568166498</c:v>
                </c:pt>
                <c:pt idx="28">
                  <c:v>346.92452371883002</c:v>
                </c:pt>
                <c:pt idx="29">
                  <c:v>283.398426230533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28-45DB-A7EA-DA7C80324249}"/>
            </c:ext>
          </c:extLst>
        </c:ser>
        <c:ser>
          <c:idx val="1"/>
          <c:order val="1"/>
          <c:tx>
            <c:strRef>
              <c:f>'2643167851x3 5t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(2)'!$B$27:$AE$27</c:f>
              <c:numCache>
                <c:formatCode>0</c:formatCode>
                <c:ptCount val="30"/>
                <c:pt idx="0">
                  <c:v>1242.16312872088</c:v>
                </c:pt>
                <c:pt idx="1">
                  <c:v>1329.7574269028501</c:v>
                </c:pt>
                <c:pt idx="2">
                  <c:v>1423.2041836030601</c:v>
                </c:pt>
                <c:pt idx="3">
                  <c:v>1523.12417091104</c:v>
                </c:pt>
                <c:pt idx="4">
                  <c:v>1630.4705540728301</c:v>
                </c:pt>
                <c:pt idx="5">
                  <c:v>1746.7843182737599</c:v>
                </c:pt>
                <c:pt idx="6">
                  <c:v>1874.62776474521</c:v>
                </c:pt>
                <c:pt idx="7">
                  <c:v>2018.28932907384</c:v>
                </c:pt>
                <c:pt idx="8">
                  <c:v>2182.5564240182998</c:v>
                </c:pt>
                <c:pt idx="9">
                  <c:v>2369.5499332066602</c:v>
                </c:pt>
                <c:pt idx="10">
                  <c:v>2577.5844154345</c:v>
                </c:pt>
                <c:pt idx="11">
                  <c:v>2794.6957965870101</c:v>
                </c:pt>
                <c:pt idx="12">
                  <c:v>2982.6243497713699</c:v>
                </c:pt>
                <c:pt idx="13">
                  <c:v>3042.1422543620602</c:v>
                </c:pt>
                <c:pt idx="14">
                  <c:v>2760.5033712905802</c:v>
                </c:pt>
                <c:pt idx="15">
                  <c:v>1835.37588414065</c:v>
                </c:pt>
                <c:pt idx="16">
                  <c:v>223.629961267422</c:v>
                </c:pt>
                <c:pt idx="17">
                  <c:v>-1463.3622304953899</c:v>
                </c:pt>
                <c:pt idx="18">
                  <c:v>-2533.5674672114901</c:v>
                </c:pt>
                <c:pt idx="19">
                  <c:v>-2927.36636522563</c:v>
                </c:pt>
                <c:pt idx="20">
                  <c:v>-2922.5867676501998</c:v>
                </c:pt>
                <c:pt idx="21">
                  <c:v>-2748.1153761003002</c:v>
                </c:pt>
                <c:pt idx="22">
                  <c:v>-2521.5971496555499</c:v>
                </c:pt>
                <c:pt idx="23">
                  <c:v>-2292.8429578659102</c:v>
                </c:pt>
                <c:pt idx="24">
                  <c:v>-2079.9309265492602</c:v>
                </c:pt>
                <c:pt idx="25">
                  <c:v>-1887.9154787350999</c:v>
                </c:pt>
                <c:pt idx="26">
                  <c:v>-1717.1768778313999</c:v>
                </c:pt>
                <c:pt idx="27">
                  <c:v>-1566.1062290114201</c:v>
                </c:pt>
                <c:pt idx="28">
                  <c:v>-1432.4527054707801</c:v>
                </c:pt>
                <c:pt idx="29">
                  <c:v>-1313.93023955796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28-45DB-A7EA-DA7C80324249}"/>
            </c:ext>
          </c:extLst>
        </c:ser>
        <c:ser>
          <c:idx val="2"/>
          <c:order val="2"/>
          <c:tx>
            <c:strRef>
              <c:f>'2643167851x3 5t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(2)'!$B$28:$AE$28</c:f>
              <c:numCache>
                <c:formatCode>0</c:formatCode>
                <c:ptCount val="30"/>
                <c:pt idx="0">
                  <c:v>1248.7421214133817</c:v>
                </c:pt>
                <c:pt idx="1">
                  <c:v>1339.4649261289355</c:v>
                </c:pt>
                <c:pt idx="2">
                  <c:v>1437.3472027078858</c:v>
                </c:pt>
                <c:pt idx="3">
                  <c:v>1543.5677586938095</c:v>
                </c:pt>
                <c:pt idx="4">
                  <c:v>1659.9073407719843</c:v>
                </c:pt>
                <c:pt idx="5">
                  <c:v>1789.1605246868592</c:v>
                </c:pt>
                <c:pt idx="6">
                  <c:v>1935.845821970501</c:v>
                </c:pt>
                <c:pt idx="7">
                  <c:v>2107.4078435022579</c:v>
                </c:pt>
                <c:pt idx="8">
                  <c:v>2313.9039220111117</c:v>
                </c:pt>
                <c:pt idx="9">
                  <c:v>2566.5740629362463</c:v>
                </c:pt>
                <c:pt idx="10">
                  <c:v>2880.1851479221646</c:v>
                </c:pt>
                <c:pt idx="11">
                  <c:v>3273.5963209382471</c:v>
                </c:pt>
                <c:pt idx="12">
                  <c:v>3767.6367126386481</c:v>
                </c:pt>
                <c:pt idx="13">
                  <c:v>4374.1277013606405</c:v>
                </c:pt>
                <c:pt idx="14">
                  <c:v>5060.9476756972645</c:v>
                </c:pt>
                <c:pt idx="15">
                  <c:v>5682.9390811560825</c:v>
                </c:pt>
                <c:pt idx="16">
                  <c:v>5973.5213646253824</c:v>
                </c:pt>
                <c:pt idx="17">
                  <c:v>5760.1085767306377</c:v>
                </c:pt>
                <c:pt idx="18">
                  <c:v>5177.7140974050135</c:v>
                </c:pt>
                <c:pt idx="19">
                  <c:v>4490.5494351677135</c:v>
                </c:pt>
                <c:pt idx="20">
                  <c:v>3857.9547589930171</c:v>
                </c:pt>
                <c:pt idx="21">
                  <c:v>3326.47026607621</c:v>
                </c:pt>
                <c:pt idx="22">
                  <c:v>2892.1806579400159</c:v>
                </c:pt>
                <c:pt idx="23">
                  <c:v>2537.7265422797204</c:v>
                </c:pt>
                <c:pt idx="24">
                  <c:v>2245.771346716906</c:v>
                </c:pt>
                <c:pt idx="25">
                  <c:v>2002.5271936488857</c:v>
                </c:pt>
                <c:pt idx="26">
                  <c:v>1797.7242453914082</c:v>
                </c:pt>
                <c:pt idx="27">
                  <c:v>1623.5116768767975</c:v>
                </c:pt>
                <c:pt idx="28">
                  <c:v>1473.8647762152721</c:v>
                </c:pt>
                <c:pt idx="29">
                  <c:v>1344.1455808113872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28-45DB-A7EA-DA7C80324249}"/>
            </c:ext>
          </c:extLst>
        </c:ser>
        <c:ser>
          <c:idx val="3"/>
          <c:order val="3"/>
          <c:tx>
            <c:v>Rmeas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(2)'!$B$32:$CD$32</c:f>
              <c:numCache>
                <c:formatCode>0</c:formatCode>
                <c:ptCount val="81"/>
                <c:pt idx="0">
                  <c:v>287.90093615404732</c:v>
                </c:pt>
                <c:pt idx="1">
                  <c:v>358.04420068925265</c:v>
                </c:pt>
                <c:pt idx="2">
                  <c:v>441.77513660139221</c:v>
                </c:pt>
                <c:pt idx="3">
                  <c:v>539.98056479059017</c:v>
                </c:pt>
                <c:pt idx="4">
                  <c:v>653.53780627537219</c:v>
                </c:pt>
                <c:pt idx="5">
                  <c:v>781.79520633785069</c:v>
                </c:pt>
                <c:pt idx="6">
                  <c:v>926.33269990709653</c:v>
                </c:pt>
                <c:pt idx="7">
                  <c:v>1087.1399039297282</c:v>
                </c:pt>
                <c:pt idx="8">
                  <c:v>1265.5318629335623</c:v>
                </c:pt>
                <c:pt idx="9">
                  <c:v>1461.2955333050918</c:v>
                </c:pt>
                <c:pt idx="10">
                  <c:v>1674.7160206128008</c:v>
                </c:pt>
                <c:pt idx="11">
                  <c:v>1905.1755604703378</c:v>
                </c:pt>
                <c:pt idx="12">
                  <c:v>2154.7167939636461</c:v>
                </c:pt>
                <c:pt idx="13">
                  <c:v>2418.7476719948445</c:v>
                </c:pt>
                <c:pt idx="14">
                  <c:v>2699.1858571271155</c:v>
                </c:pt>
                <c:pt idx="15">
                  <c:v>2992.4629166641885</c:v>
                </c:pt>
                <c:pt idx="16">
                  <c:v>3296.0206478544264</c:v>
                </c:pt>
                <c:pt idx="17">
                  <c:v>3606.8941402065111</c:v>
                </c:pt>
                <c:pt idx="18">
                  <c:v>3920.7676324072891</c:v>
                </c:pt>
                <c:pt idx="19">
                  <c:v>4233.1624604658646</c:v>
                </c:pt>
                <c:pt idx="20">
                  <c:v>4537.8273138357745</c:v>
                </c:pt>
                <c:pt idx="21">
                  <c:v>4833.336314438865</c:v>
                </c:pt>
                <c:pt idx="22">
                  <c:v>5108.2863327173318</c:v>
                </c:pt>
                <c:pt idx="23">
                  <c:v>5361.694676423198</c:v>
                </c:pt>
                <c:pt idx="24">
                  <c:v>5584.5735786866517</c:v>
                </c:pt>
                <c:pt idx="25">
                  <c:v>5775.7085402245866</c:v>
                </c:pt>
                <c:pt idx="26">
                  <c:v>5934.8800795726584</c:v>
                </c:pt>
                <c:pt idx="27">
                  <c:v>6053.1363315729996</c:v>
                </c:pt>
                <c:pt idx="28">
                  <c:v>6132.2865248052294</c:v>
                </c:pt>
                <c:pt idx="29">
                  <c:v>6174.3825448147436</c:v>
                </c:pt>
                <c:pt idx="30">
                  <c:v>6181.1759164167561</c:v>
                </c:pt>
                <c:pt idx="31">
                  <c:v>6153.3282301397885</c:v>
                </c:pt>
                <c:pt idx="32">
                  <c:v>6096.74106071609</c:v>
                </c:pt>
                <c:pt idx="33">
                  <c:v>6012.5694531409445</c:v>
                </c:pt>
                <c:pt idx="34">
                  <c:v>5906.8232882672401</c:v>
                </c:pt>
                <c:pt idx="35">
                  <c:v>5778.9956600422174</c:v>
                </c:pt>
                <c:pt idx="36">
                  <c:v>5640.1463118233087</c:v>
                </c:pt>
                <c:pt idx="37">
                  <c:v>5488.6502304731503</c:v>
                </c:pt>
                <c:pt idx="38">
                  <c:v>5327.8805062086813</c:v>
                </c:pt>
                <c:pt idx="39">
                  <c:v>5162.5206790327102</c:v>
                </c:pt>
                <c:pt idx="40">
                  <c:v>4994.4957594728421</c:v>
                </c:pt>
                <c:pt idx="41">
                  <c:v>4824.4865975408484</c:v>
                </c:pt>
                <c:pt idx="42">
                  <c:v>4655.7483626077246</c:v>
                </c:pt>
                <c:pt idx="43">
                  <c:v>4488.6606744207065</c:v>
                </c:pt>
                <c:pt idx="44">
                  <c:v>4324.5117037624714</c:v>
                </c:pt>
                <c:pt idx="45">
                  <c:v>4165.2481626639501</c:v>
                </c:pt>
                <c:pt idx="46">
                  <c:v>4009.3118466381716</c:v>
                </c:pt>
                <c:pt idx="47">
                  <c:v>3859.1440781872202</c:v>
                </c:pt>
                <c:pt idx="48">
                  <c:v>3713.2165082679435</c:v>
                </c:pt>
                <c:pt idx="49">
                  <c:v>3573.3346655234109</c:v>
                </c:pt>
                <c:pt idx="50">
                  <c:v>3438.1869467354559</c:v>
                </c:pt>
                <c:pt idx="51">
                  <c:v>3309.4401425072806</c:v>
                </c:pt>
                <c:pt idx="52">
                  <c:v>3185.6887740617221</c:v>
                </c:pt>
                <c:pt idx="53">
                  <c:v>3067.3661634448158</c:v>
                </c:pt>
                <c:pt idx="54">
                  <c:v>2954.1908837319488</c:v>
                </c:pt>
                <c:pt idx="55">
                  <c:v>2846.1617356282723</c:v>
                </c:pt>
                <c:pt idx="56">
                  <c:v>2743.1180874185393</c:v>
                </c:pt>
                <c:pt idx="57">
                  <c:v>2644.1451991355766</c:v>
                </c:pt>
                <c:pt idx="58">
                  <c:v>2551.2281860514008</c:v>
                </c:pt>
                <c:pt idx="59">
                  <c:v>2462.4180406877822</c:v>
                </c:pt>
                <c:pt idx="60">
                  <c:v>2377.3278329588516</c:v>
                </c:pt>
                <c:pt idx="61">
                  <c:v>2295.2750195578137</c:v>
                </c:pt>
                <c:pt idx="62">
                  <c:v>2217.9476780270788</c:v>
                </c:pt>
                <c:pt idx="63">
                  <c:v>2143.1289624218243</c:v>
                </c:pt>
                <c:pt idx="64">
                  <c:v>2072.110866751806</c:v>
                </c:pt>
                <c:pt idx="65">
                  <c:v>2004.9115290439149</c:v>
                </c:pt>
                <c:pt idx="66">
                  <c:v>1939.7018748203341</c:v>
                </c:pt>
                <c:pt idx="67">
                  <c:v>1877.8834817689119</c:v>
                </c:pt>
                <c:pt idx="68">
                  <c:v>1818.5593501994113</c:v>
                </c:pt>
                <c:pt idx="69">
                  <c:v>1762.4096248568667</c:v>
                </c:pt>
                <c:pt idx="70">
                  <c:v>1708.5080093459412</c:v>
                </c:pt>
                <c:pt idx="71">
                  <c:v>1656.9123501805134</c:v>
                </c:pt>
                <c:pt idx="72">
                  <c:v>1606.9599952428694</c:v>
                </c:pt>
                <c:pt idx="73">
                  <c:v>1560.0005543921861</c:v>
                </c:pt>
                <c:pt idx="74">
                  <c:v>1514.5928316844445</c:v>
                </c:pt>
                <c:pt idx="75">
                  <c:v>1471.1045689980679</c:v>
                </c:pt>
                <c:pt idx="76">
                  <c:v>1428.7429715982973</c:v>
                </c:pt>
                <c:pt idx="77">
                  <c:v>1389.1123514033516</c:v>
                </c:pt>
                <c:pt idx="78">
                  <c:v>1350.6410932957638</c:v>
                </c:pt>
                <c:pt idx="79">
                  <c:v>1313.8150513009887</c:v>
                </c:pt>
                <c:pt idx="80">
                  <c:v>1278.0427788912518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28-45DB-A7EA-DA7C80324249}"/>
            </c:ext>
          </c:extLst>
        </c:ser>
        <c:ser>
          <c:idx val="4"/>
          <c:order val="4"/>
          <c:tx>
            <c:v>Xmeas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(2)'!$B$33:$CD$33</c:f>
              <c:numCache>
                <c:formatCode>0</c:formatCode>
                <c:ptCount val="81"/>
                <c:pt idx="0">
                  <c:v>1916.7087967325392</c:v>
                </c:pt>
                <c:pt idx="1">
                  <c:v>2055.2869844644551</c:v>
                </c:pt>
                <c:pt idx="2">
                  <c:v>2197.0971674035995</c:v>
                </c:pt>
                <c:pt idx="3">
                  <c:v>2340.123265469671</c:v>
                </c:pt>
                <c:pt idx="4">
                  <c:v>2483.0612147237721</c:v>
                </c:pt>
                <c:pt idx="5">
                  <c:v>2623.2443280904854</c:v>
                </c:pt>
                <c:pt idx="6">
                  <c:v>2761.3223919595625</c:v>
                </c:pt>
                <c:pt idx="7">
                  <c:v>2893.3254866341867</c:v>
                </c:pt>
                <c:pt idx="8">
                  <c:v>3018.7750339648155</c:v>
                </c:pt>
                <c:pt idx="9">
                  <c:v>3135.0222892530692</c:v>
                </c:pt>
                <c:pt idx="10">
                  <c:v>3241.2992494272744</c:v>
                </c:pt>
                <c:pt idx="11">
                  <c:v>3333.6517996050779</c:v>
                </c:pt>
                <c:pt idx="12">
                  <c:v>3409.7364733111917</c:v>
                </c:pt>
                <c:pt idx="13">
                  <c:v>3467.5512772351885</c:v>
                </c:pt>
                <c:pt idx="14">
                  <c:v>3502.8805529918604</c:v>
                </c:pt>
                <c:pt idx="15">
                  <c:v>3512.7914740136557</c:v>
                </c:pt>
                <c:pt idx="16">
                  <c:v>3495.080702647585</c:v>
                </c:pt>
                <c:pt idx="17">
                  <c:v>3447.0618378098716</c:v>
                </c:pt>
                <c:pt idx="18">
                  <c:v>3365.6671472825847</c:v>
                </c:pt>
                <c:pt idx="19">
                  <c:v>3248.7629645259967</c:v>
                </c:pt>
                <c:pt idx="20">
                  <c:v>3096.8951616555414</c:v>
                </c:pt>
                <c:pt idx="21">
                  <c:v>2909.5024014193391</c:v>
                </c:pt>
                <c:pt idx="22">
                  <c:v>2686.6183307492238</c:v>
                </c:pt>
                <c:pt idx="23">
                  <c:v>2431.9438337935903</c:v>
                </c:pt>
                <c:pt idx="24">
                  <c:v>2150.1366397553847</c:v>
                </c:pt>
                <c:pt idx="25">
                  <c:v>1844.6102328260736</c:v>
                </c:pt>
                <c:pt idx="26">
                  <c:v>1522.9136963043593</c:v>
                </c:pt>
                <c:pt idx="27">
                  <c:v>1186.3042025455929</c:v>
                </c:pt>
                <c:pt idx="28">
                  <c:v>844.77143765325286</c:v>
                </c:pt>
                <c:pt idx="29">
                  <c:v>503.75171483246555</c:v>
                </c:pt>
                <c:pt idx="30">
                  <c:v>168.66431636187912</c:v>
                </c:pt>
                <c:pt idx="31">
                  <c:v>-158.01366278462336</c:v>
                </c:pt>
                <c:pt idx="32">
                  <c:v>-469.45888685454281</c:v>
                </c:pt>
                <c:pt idx="33">
                  <c:v>-760.97266239034082</c:v>
                </c:pt>
                <c:pt idx="34">
                  <c:v>-1035.8686035366989</c:v>
                </c:pt>
                <c:pt idx="35">
                  <c:v>-1288.3888590158281</c:v>
                </c:pt>
                <c:pt idx="36">
                  <c:v>-1521.0490275045352</c:v>
                </c:pt>
                <c:pt idx="37">
                  <c:v>-1728.6833436340646</c:v>
                </c:pt>
                <c:pt idx="38">
                  <c:v>-1916.4583258804337</c:v>
                </c:pt>
                <c:pt idx="39">
                  <c:v>-2082.6685953395199</c:v>
                </c:pt>
                <c:pt idx="40">
                  <c:v>-2231.481756754049</c:v>
                </c:pt>
                <c:pt idx="41">
                  <c:v>-2360.357465898885</c:v>
                </c:pt>
                <c:pt idx="42">
                  <c:v>-2472.0901164232318</c:v>
                </c:pt>
                <c:pt idx="43">
                  <c:v>-2569.2379529803939</c:v>
                </c:pt>
                <c:pt idx="44">
                  <c:v>-2650.0182684165457</c:v>
                </c:pt>
                <c:pt idx="45">
                  <c:v>-2719.6794252174441</c:v>
                </c:pt>
                <c:pt idx="46">
                  <c:v>-2777.2932765586811</c:v>
                </c:pt>
                <c:pt idx="47">
                  <c:v>-2825.0577800328142</c:v>
                </c:pt>
                <c:pt idx="48">
                  <c:v>-2863.0165375884603</c:v>
                </c:pt>
                <c:pt idx="49">
                  <c:v>-2892.1944669485724</c:v>
                </c:pt>
                <c:pt idx="50">
                  <c:v>-2915.0227842544655</c:v>
                </c:pt>
                <c:pt idx="51">
                  <c:v>-2931.2236407619957</c:v>
                </c:pt>
                <c:pt idx="52">
                  <c:v>-2941.012928989835</c:v>
                </c:pt>
                <c:pt idx="53">
                  <c:v>-2946.34633504565</c:v>
                </c:pt>
                <c:pt idx="54">
                  <c:v>-2947.1448377522142</c:v>
                </c:pt>
                <c:pt idx="55">
                  <c:v>-2943.9493028093193</c:v>
                </c:pt>
                <c:pt idx="56">
                  <c:v>-2937.1365362769343</c:v>
                </c:pt>
                <c:pt idx="57">
                  <c:v>-2926.3579774158047</c:v>
                </c:pt>
                <c:pt idx="58">
                  <c:v>-2914.6446110805832</c:v>
                </c:pt>
                <c:pt idx="59">
                  <c:v>-2900.858903370221</c:v>
                </c:pt>
                <c:pt idx="60">
                  <c:v>-2885.370351343985</c:v>
                </c:pt>
                <c:pt idx="61">
                  <c:v>-2867.0229234281237</c:v>
                </c:pt>
                <c:pt idx="62">
                  <c:v>-2849.4669767146975</c:v>
                </c:pt>
                <c:pt idx="63">
                  <c:v>-2828.8290276718562</c:v>
                </c:pt>
                <c:pt idx="64">
                  <c:v>-2807.5627935753337</c:v>
                </c:pt>
                <c:pt idx="65">
                  <c:v>-2785.9123877774496</c:v>
                </c:pt>
                <c:pt idx="66">
                  <c:v>-2762.4794511075397</c:v>
                </c:pt>
                <c:pt idx="67">
                  <c:v>-2739.6095011425218</c:v>
                </c:pt>
                <c:pt idx="68">
                  <c:v>-2715.737308164546</c:v>
                </c:pt>
                <c:pt idx="69">
                  <c:v>-2692.4153577638808</c:v>
                </c:pt>
                <c:pt idx="70">
                  <c:v>-2667.7609940638649</c:v>
                </c:pt>
                <c:pt idx="71">
                  <c:v>-2643.2644840699463</c:v>
                </c:pt>
                <c:pt idx="72">
                  <c:v>-2618.4168143267793</c:v>
                </c:pt>
                <c:pt idx="73">
                  <c:v>-2593.9712406463227</c:v>
                </c:pt>
                <c:pt idx="74">
                  <c:v>-2569.2771708089504</c:v>
                </c:pt>
                <c:pt idx="75">
                  <c:v>-2544.8228657281052</c:v>
                </c:pt>
                <c:pt idx="76">
                  <c:v>-2519.6459965113563</c:v>
                </c:pt>
                <c:pt idx="77">
                  <c:v>-2496.1202312136388</c:v>
                </c:pt>
                <c:pt idx="78">
                  <c:v>-2471.7275153440319</c:v>
                </c:pt>
                <c:pt idx="79">
                  <c:v>-2447.9055261753451</c:v>
                </c:pt>
                <c:pt idx="80">
                  <c:v>-2424.030835812142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828-45DB-A7EA-DA7C80324249}"/>
            </c:ext>
          </c:extLst>
        </c:ser>
        <c:ser>
          <c:idx val="5"/>
          <c:order val="5"/>
          <c:tx>
            <c:v>|Z|meas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(2)'!$B$34:$CD$34</c:f>
              <c:numCache>
                <c:formatCode>0</c:formatCode>
                <c:ptCount val="81"/>
                <c:pt idx="0">
                  <c:v>1938.2104015070902</c:v>
                </c:pt>
                <c:pt idx="1">
                  <c:v>2086.2406951634798</c:v>
                </c:pt>
                <c:pt idx="2">
                  <c:v>2241.0714478418799</c:v>
                </c:pt>
                <c:pt idx="3">
                  <c:v>2401.6152705926902</c:v>
                </c:pt>
                <c:pt idx="4">
                  <c:v>2567.6262695915698</c:v>
                </c:pt>
                <c:pt idx="5">
                  <c:v>2737.2640628028098</c:v>
                </c:pt>
                <c:pt idx="6">
                  <c:v>2912.5579175794001</c:v>
                </c:pt>
                <c:pt idx="7">
                  <c:v>3090.8260291260799</c:v>
                </c:pt>
                <c:pt idx="8">
                  <c:v>3273.3123287870599</c:v>
                </c:pt>
                <c:pt idx="9">
                  <c:v>3458.8653327024699</c:v>
                </c:pt>
                <c:pt idx="10">
                  <c:v>3648.38245994509</c:v>
                </c:pt>
                <c:pt idx="11">
                  <c:v>3839.6520984620001</c:v>
                </c:pt>
                <c:pt idx="12">
                  <c:v>4033.4981442437302</c:v>
                </c:pt>
                <c:pt idx="13">
                  <c:v>4227.7951891069497</c:v>
                </c:pt>
                <c:pt idx="14">
                  <c:v>4422.1913640008388</c:v>
                </c:pt>
                <c:pt idx="15">
                  <c:v>4614.6005512409602</c:v>
                </c:pt>
                <c:pt idx="16">
                  <c:v>4804.0962968181902</c:v>
                </c:pt>
                <c:pt idx="17">
                  <c:v>4989.1803587704908</c:v>
                </c:pt>
                <c:pt idx="18">
                  <c:v>5167.2172562831101</c:v>
                </c:pt>
                <c:pt idx="19">
                  <c:v>5336.11518020115</c:v>
                </c:pt>
                <c:pt idx="20">
                  <c:v>5493.8726207002192</c:v>
                </c:pt>
                <c:pt idx="21">
                  <c:v>5641.4842153761601</c:v>
                </c:pt>
                <c:pt idx="22">
                  <c:v>5771.6988237558298</c:v>
                </c:pt>
                <c:pt idx="23">
                  <c:v>5887.4545105598509</c:v>
                </c:pt>
                <c:pt idx="24">
                  <c:v>5984.1916434371997</c:v>
                </c:pt>
                <c:pt idx="25">
                  <c:v>6063.1176842174091</c:v>
                </c:pt>
                <c:pt idx="26">
                  <c:v>6127.1582063220603</c:v>
                </c:pt>
                <c:pt idx="27">
                  <c:v>6168.2880209654904</c:v>
                </c:pt>
                <c:pt idx="28">
                  <c:v>6190.2000617251897</c:v>
                </c:pt>
                <c:pt idx="29">
                  <c:v>6194.8983526696902</c:v>
                </c:pt>
                <c:pt idx="30">
                  <c:v>6183.47664031363</c:v>
                </c:pt>
                <c:pt idx="31">
                  <c:v>6155.3567423392988</c:v>
                </c:pt>
                <c:pt idx="32">
                  <c:v>6114.7888931563502</c:v>
                </c:pt>
                <c:pt idx="33">
                  <c:v>6060.5338726674108</c:v>
                </c:pt>
                <c:pt idx="34">
                  <c:v>5996.9646591095807</c:v>
                </c:pt>
                <c:pt idx="35">
                  <c:v>5920.8729669553704</c:v>
                </c:pt>
                <c:pt idx="36">
                  <c:v>5841.6470761974797</c:v>
                </c:pt>
                <c:pt idx="37">
                  <c:v>5754.44414822412</c:v>
                </c:pt>
                <c:pt idx="38">
                  <c:v>5662.0776401666299</c:v>
                </c:pt>
                <c:pt idx="39">
                  <c:v>5566.7879642980697</c:v>
                </c:pt>
                <c:pt idx="40">
                  <c:v>5470.328940942979</c:v>
                </c:pt>
                <c:pt idx="41">
                  <c:v>5370.9364450415787</c:v>
                </c:pt>
                <c:pt idx="42">
                  <c:v>5271.3586825070006</c:v>
                </c:pt>
                <c:pt idx="43">
                  <c:v>5171.9491789001404</c:v>
                </c:pt>
                <c:pt idx="44">
                  <c:v>5071.8831117169902</c:v>
                </c:pt>
                <c:pt idx="45">
                  <c:v>4974.5299710150002</c:v>
                </c:pt>
                <c:pt idx="46">
                  <c:v>4877.2881222674596</c:v>
                </c:pt>
                <c:pt idx="47">
                  <c:v>4782.67126998411</c:v>
                </c:pt>
                <c:pt idx="48">
                  <c:v>4688.7994766015099</c:v>
                </c:pt>
                <c:pt idx="49">
                  <c:v>4597.1196924247297</c:v>
                </c:pt>
                <c:pt idx="50">
                  <c:v>4507.6032781761896</c:v>
                </c:pt>
                <c:pt idx="51">
                  <c:v>4420.9123593440099</c:v>
                </c:pt>
                <c:pt idx="52">
                  <c:v>4335.6856451625099</c:v>
                </c:pt>
                <c:pt idx="53">
                  <c:v>4253.1978447614101</c:v>
                </c:pt>
                <c:pt idx="54">
                  <c:v>4172.8774810931691</c:v>
                </c:pt>
                <c:pt idx="55">
                  <c:v>4094.8106333341002</c:v>
                </c:pt>
                <c:pt idx="56">
                  <c:v>4018.8888855323698</c:v>
                </c:pt>
                <c:pt idx="57">
                  <c:v>3943.99224721561</c:v>
                </c:pt>
                <c:pt idx="58">
                  <c:v>3873.4891849860905</c:v>
                </c:pt>
                <c:pt idx="59">
                  <c:v>3805.0604442461804</c:v>
                </c:pt>
                <c:pt idx="60">
                  <c:v>3738.5892646526095</c:v>
                </c:pt>
                <c:pt idx="61">
                  <c:v>3672.6159421954899</c:v>
                </c:pt>
                <c:pt idx="62">
                  <c:v>3610.92148264862</c:v>
                </c:pt>
                <c:pt idx="63">
                  <c:v>3548.9823072776994</c:v>
                </c:pt>
                <c:pt idx="64">
                  <c:v>3489.4200498047599</c:v>
                </c:pt>
                <c:pt idx="65">
                  <c:v>3432.3429420244506</c:v>
                </c:pt>
                <c:pt idx="66">
                  <c:v>3375.4608694181202</c:v>
                </c:pt>
                <c:pt idx="67">
                  <c:v>3321.4314067659002</c:v>
                </c:pt>
                <c:pt idx="68">
                  <c:v>3268.3921486190297</c:v>
                </c:pt>
                <c:pt idx="69">
                  <c:v>3217.94781569107</c:v>
                </c:pt>
                <c:pt idx="70">
                  <c:v>3167.9564926696598</c:v>
                </c:pt>
                <c:pt idx="71">
                  <c:v>3119.6483245594</c:v>
                </c:pt>
                <c:pt idx="72">
                  <c:v>3072.2023110238301</c:v>
                </c:pt>
                <c:pt idx="73">
                  <c:v>3026.9272417757502</c:v>
                </c:pt>
                <c:pt idx="74">
                  <c:v>2982.4782691966002</c:v>
                </c:pt>
                <c:pt idx="75">
                  <c:v>2939.4339711685302</c:v>
                </c:pt>
                <c:pt idx="76">
                  <c:v>2896.5362809098801</c:v>
                </c:pt>
                <c:pt idx="77">
                  <c:v>2856.6150131747504</c:v>
                </c:pt>
                <c:pt idx="78">
                  <c:v>2816.6768137306694</c:v>
                </c:pt>
                <c:pt idx="79">
                  <c:v>2778.1921197254901</c:v>
                </c:pt>
                <c:pt idx="80">
                  <c:v>2740.3136385538396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828-45DB-A7EA-DA7C80324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056672"/>
        <c:axId val="404057064"/>
      </c:scatterChart>
      <c:valAx>
        <c:axId val="404056672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186981300234664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7064"/>
        <c:crosses val="autoZero"/>
        <c:crossBetween val="midCat"/>
      </c:valAx>
      <c:valAx>
        <c:axId val="404057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4922118380062305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66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6137202475858732"/>
          <c:y val="0.38616118297712781"/>
          <c:w val="0.98754041258861325"/>
          <c:h val="0.6562507030371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40498507779985443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766468869360989E-2"/>
          <c:y val="0.14732158913921808"/>
          <c:w val="0.81464298372241239"/>
          <c:h val="0.75446510801599553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70.915016219551305</c:v>
                </c:pt>
                <c:pt idx="2">
                  <c:v>79.151116321456982</c:v>
                </c:pt>
                <c:pt idx="3">
                  <c:v>87.505246853820353</c:v>
                </c:pt>
                <c:pt idx="4">
                  <c:v>95.970840375039188</c:v>
                </c:pt>
                <c:pt idx="5">
                  <c:v>104.54550147973526</c:v>
                </c:pt>
                <c:pt idx="6">
                  <c:v>113.23274405312361</c:v>
                </c:pt>
                <c:pt idx="7">
                  <c:v>122.02367292257604</c:v>
                </c:pt>
                <c:pt idx="8">
                  <c:v>130.87713470162191</c:v>
                </c:pt>
                <c:pt idx="9">
                  <c:v>139.74096919351098</c:v>
                </c:pt>
                <c:pt idx="10">
                  <c:v>148.55329087351495</c:v>
                </c:pt>
                <c:pt idx="11">
                  <c:v>157.24110916393408</c:v>
                </c:pt>
                <c:pt idx="12">
                  <c:v>165.71885263521324</c:v>
                </c:pt>
                <c:pt idx="13">
                  <c:v>173.89559574148473</c:v>
                </c:pt>
                <c:pt idx="14">
                  <c:v>181.69948064441911</c:v>
                </c:pt>
                <c:pt idx="15">
                  <c:v>189.06367698465081</c:v>
                </c:pt>
                <c:pt idx="16">
                  <c:v>195.92374953023966</c:v>
                </c:pt>
                <c:pt idx="17">
                  <c:v>202.22083685720045</c:v>
                </c:pt>
                <c:pt idx="18">
                  <c:v>207.90588673827276</c:v>
                </c:pt>
                <c:pt idx="19">
                  <c:v>212.94511841508285</c:v>
                </c:pt>
                <c:pt idx="20">
                  <c:v>217.32080823360155</c:v>
                </c:pt>
                <c:pt idx="21">
                  <c:v>221.01897429954104</c:v>
                </c:pt>
                <c:pt idx="22">
                  <c:v>224.04935553717519</c:v>
                </c:pt>
                <c:pt idx="23">
                  <c:v>226.46030936917762</c:v>
                </c:pt>
                <c:pt idx="24">
                  <c:v>228.35183233344961</c:v>
                </c:pt>
                <c:pt idx="25">
                  <c:v>229.83301717401378</c:v>
                </c:pt>
                <c:pt idx="26">
                  <c:v>230.90575794838244</c:v>
                </c:pt>
                <c:pt idx="27">
                  <c:v>231.56121226764634</c:v>
                </c:pt>
                <c:pt idx="28">
                  <c:v>231.80666843925172</c:v>
                </c:pt>
                <c:pt idx="29">
                  <c:v>231.67142655602493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DD-4CFC-B795-CBB18E24CE7D}"/>
            </c:ext>
          </c:extLst>
        </c:ser>
        <c:ser>
          <c:idx val="1"/>
          <c:order val="1"/>
          <c:tx>
            <c:strRef>
              <c:f>'2643167851x3 5t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738.48518951823837</c:v>
                </c:pt>
                <c:pt idx="2">
                  <c:v>726.49822550840213</c:v>
                </c:pt>
                <c:pt idx="3">
                  <c:v>713.0029633892749</c:v>
                </c:pt>
                <c:pt idx="4">
                  <c:v>698.23919621743528</c:v>
                </c:pt>
                <c:pt idx="5">
                  <c:v>682.58357707154323</c:v>
                </c:pt>
                <c:pt idx="6">
                  <c:v>666.58860174642564</c:v>
                </c:pt>
                <c:pt idx="7">
                  <c:v>651.02334736954651</c:v>
                </c:pt>
                <c:pt idx="8">
                  <c:v>636.50090542350642</c:v>
                </c:pt>
                <c:pt idx="9">
                  <c:v>623.11484398349842</c:v>
                </c:pt>
                <c:pt idx="10">
                  <c:v>610.86456898049414</c:v>
                </c:pt>
                <c:pt idx="11">
                  <c:v>599.68028378883514</c:v>
                </c:pt>
                <c:pt idx="12">
                  <c:v>589.39900382215819</c:v>
                </c:pt>
                <c:pt idx="13">
                  <c:v>579.73390476157306</c:v>
                </c:pt>
                <c:pt idx="14">
                  <c:v>570.23659496039284</c:v>
                </c:pt>
                <c:pt idx="15">
                  <c:v>560.27252697024608</c:v>
                </c:pt>
                <c:pt idx="16">
                  <c:v>549.45783985838466</c:v>
                </c:pt>
                <c:pt idx="17">
                  <c:v>537.79372831364503</c:v>
                </c:pt>
                <c:pt idx="18">
                  <c:v>525.32597018923673</c:v>
                </c:pt>
                <c:pt idx="19">
                  <c:v>512.1382263845353</c:v>
                </c:pt>
                <c:pt idx="20">
                  <c:v>498.36314350416728</c:v>
                </c:pt>
                <c:pt idx="21">
                  <c:v>484.19601287000597</c:v>
                </c:pt>
                <c:pt idx="22">
                  <c:v>469.9115267138128</c:v>
                </c:pt>
                <c:pt idx="23">
                  <c:v>455.88213437553276</c:v>
                </c:pt>
                <c:pt idx="24">
                  <c:v>442.4205189346157</c:v>
                </c:pt>
                <c:pt idx="25">
                  <c:v>429.59150845734803</c:v>
                </c:pt>
                <c:pt idx="26">
                  <c:v>417.40565703773854</c:v>
                </c:pt>
                <c:pt idx="27">
                  <c:v>405.83168083082626</c:v>
                </c:pt>
                <c:pt idx="28">
                  <c:v>394.78097627455514</c:v>
                </c:pt>
                <c:pt idx="29">
                  <c:v>384.08852898077271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DD-4CFC-B795-CBB18E24C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880520"/>
        <c:axId val="403880912"/>
      </c:scatterChart>
      <c:valAx>
        <c:axId val="40388052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880912"/>
        <c:crosses val="autoZero"/>
        <c:crossBetween val="midCat"/>
      </c:valAx>
      <c:valAx>
        <c:axId val="40388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8805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433168984718027"/>
          <c:y val="0.47991118297712781"/>
          <c:w val="0.9875405761195738"/>
          <c:h val="0.571429040119984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945600306960071"/>
          <c:y val="3.11804008908685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97210188151692"/>
          <c:y val="0.14699331848552338"/>
          <c:w val="0.70917627725890997"/>
          <c:h val="0.74832962138084635"/>
        </c:manualLayout>
      </c:layout>
      <c:scatterChart>
        <c:scatterStyle val="lineMarker"/>
        <c:varyColors val="0"/>
        <c:ser>
          <c:idx val="3"/>
          <c:order val="0"/>
          <c:tx>
            <c:v>Rmeas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(2)'!$B$32:$CD$32</c:f>
              <c:numCache>
                <c:formatCode>0</c:formatCode>
                <c:ptCount val="81"/>
                <c:pt idx="0">
                  <c:v>287.90093615404732</c:v>
                </c:pt>
                <c:pt idx="1">
                  <c:v>358.04420068925265</c:v>
                </c:pt>
                <c:pt idx="2">
                  <c:v>441.77513660139221</c:v>
                </c:pt>
                <c:pt idx="3">
                  <c:v>539.98056479059017</c:v>
                </c:pt>
                <c:pt idx="4">
                  <c:v>653.53780627537219</c:v>
                </c:pt>
                <c:pt idx="5">
                  <c:v>781.79520633785069</c:v>
                </c:pt>
                <c:pt idx="6">
                  <c:v>926.33269990709653</c:v>
                </c:pt>
                <c:pt idx="7">
                  <c:v>1087.1399039297282</c:v>
                </c:pt>
                <c:pt idx="8">
                  <c:v>1265.5318629335623</c:v>
                </c:pt>
                <c:pt idx="9">
                  <c:v>1461.2955333050918</c:v>
                </c:pt>
                <c:pt idx="10">
                  <c:v>1674.7160206128008</c:v>
                </c:pt>
                <c:pt idx="11">
                  <c:v>1905.1755604703378</c:v>
                </c:pt>
                <c:pt idx="12">
                  <c:v>2154.7167939636461</c:v>
                </c:pt>
                <c:pt idx="13">
                  <c:v>2418.7476719948445</c:v>
                </c:pt>
                <c:pt idx="14">
                  <c:v>2699.1858571271155</c:v>
                </c:pt>
                <c:pt idx="15">
                  <c:v>2992.4629166641885</c:v>
                </c:pt>
                <c:pt idx="16">
                  <c:v>3296.0206478544264</c:v>
                </c:pt>
                <c:pt idx="17">
                  <c:v>3606.8941402065111</c:v>
                </c:pt>
                <c:pt idx="18">
                  <c:v>3920.7676324072891</c:v>
                </c:pt>
                <c:pt idx="19">
                  <c:v>4233.1624604658646</c:v>
                </c:pt>
                <c:pt idx="20">
                  <c:v>4537.8273138357745</c:v>
                </c:pt>
                <c:pt idx="21">
                  <c:v>4833.336314438865</c:v>
                </c:pt>
                <c:pt idx="22">
                  <c:v>5108.2863327173318</c:v>
                </c:pt>
                <c:pt idx="23">
                  <c:v>5361.694676423198</c:v>
                </c:pt>
                <c:pt idx="24">
                  <c:v>5584.5735786866517</c:v>
                </c:pt>
                <c:pt idx="25">
                  <c:v>5775.7085402245866</c:v>
                </c:pt>
                <c:pt idx="26">
                  <c:v>5934.8800795726584</c:v>
                </c:pt>
                <c:pt idx="27">
                  <c:v>6053.1363315729996</c:v>
                </c:pt>
                <c:pt idx="28">
                  <c:v>6132.2865248052294</c:v>
                </c:pt>
                <c:pt idx="29">
                  <c:v>6174.3825448147436</c:v>
                </c:pt>
                <c:pt idx="30">
                  <c:v>6181.1759164167561</c:v>
                </c:pt>
                <c:pt idx="31">
                  <c:v>6153.3282301397885</c:v>
                </c:pt>
                <c:pt idx="32">
                  <c:v>6096.74106071609</c:v>
                </c:pt>
                <c:pt idx="33">
                  <c:v>6012.5694531409445</c:v>
                </c:pt>
                <c:pt idx="34">
                  <c:v>5906.8232882672401</c:v>
                </c:pt>
                <c:pt idx="35">
                  <c:v>5778.9956600422174</c:v>
                </c:pt>
                <c:pt idx="36">
                  <c:v>5640.1463118233087</c:v>
                </c:pt>
                <c:pt idx="37">
                  <c:v>5488.6502304731503</c:v>
                </c:pt>
                <c:pt idx="38">
                  <c:v>5327.8805062086813</c:v>
                </c:pt>
                <c:pt idx="39">
                  <c:v>5162.5206790327102</c:v>
                </c:pt>
                <c:pt idx="40">
                  <c:v>4994.4957594728421</c:v>
                </c:pt>
                <c:pt idx="41">
                  <c:v>4824.4865975408484</c:v>
                </c:pt>
                <c:pt idx="42">
                  <c:v>4655.7483626077246</c:v>
                </c:pt>
                <c:pt idx="43">
                  <c:v>4488.6606744207065</c:v>
                </c:pt>
                <c:pt idx="44">
                  <c:v>4324.5117037624714</c:v>
                </c:pt>
                <c:pt idx="45">
                  <c:v>4165.2481626639501</c:v>
                </c:pt>
                <c:pt idx="46">
                  <c:v>4009.3118466381716</c:v>
                </c:pt>
                <c:pt idx="47">
                  <c:v>3859.1440781872202</c:v>
                </c:pt>
                <c:pt idx="48">
                  <c:v>3713.2165082679435</c:v>
                </c:pt>
                <c:pt idx="49">
                  <c:v>3573.3346655234109</c:v>
                </c:pt>
                <c:pt idx="50">
                  <c:v>3438.1869467354559</c:v>
                </c:pt>
                <c:pt idx="51">
                  <c:v>3309.4401425072806</c:v>
                </c:pt>
                <c:pt idx="52">
                  <c:v>3185.6887740617221</c:v>
                </c:pt>
                <c:pt idx="53">
                  <c:v>3067.3661634448158</c:v>
                </c:pt>
                <c:pt idx="54">
                  <c:v>2954.1908837319488</c:v>
                </c:pt>
                <c:pt idx="55">
                  <c:v>2846.1617356282723</c:v>
                </c:pt>
                <c:pt idx="56">
                  <c:v>2743.1180874185393</c:v>
                </c:pt>
                <c:pt idx="57">
                  <c:v>2644.1451991355766</c:v>
                </c:pt>
                <c:pt idx="58">
                  <c:v>2551.2281860514008</c:v>
                </c:pt>
                <c:pt idx="59">
                  <c:v>2462.4180406877822</c:v>
                </c:pt>
                <c:pt idx="60">
                  <c:v>2377.3278329588516</c:v>
                </c:pt>
                <c:pt idx="61">
                  <c:v>2295.2750195578137</c:v>
                </c:pt>
                <c:pt idx="62">
                  <c:v>2217.9476780270788</c:v>
                </c:pt>
                <c:pt idx="63">
                  <c:v>2143.1289624218243</c:v>
                </c:pt>
                <c:pt idx="64">
                  <c:v>2072.110866751806</c:v>
                </c:pt>
                <c:pt idx="65">
                  <c:v>2004.9115290439149</c:v>
                </c:pt>
                <c:pt idx="66">
                  <c:v>1939.7018748203341</c:v>
                </c:pt>
                <c:pt idx="67">
                  <c:v>1877.8834817689119</c:v>
                </c:pt>
                <c:pt idx="68">
                  <c:v>1818.5593501994113</c:v>
                </c:pt>
                <c:pt idx="69">
                  <c:v>1762.4096248568667</c:v>
                </c:pt>
                <c:pt idx="70">
                  <c:v>1708.5080093459412</c:v>
                </c:pt>
                <c:pt idx="71">
                  <c:v>1656.9123501805134</c:v>
                </c:pt>
                <c:pt idx="72">
                  <c:v>1606.9599952428694</c:v>
                </c:pt>
                <c:pt idx="73">
                  <c:v>1560.0005543921861</c:v>
                </c:pt>
                <c:pt idx="74">
                  <c:v>1514.5928316844445</c:v>
                </c:pt>
                <c:pt idx="75">
                  <c:v>1471.1045689980679</c:v>
                </c:pt>
                <c:pt idx="76">
                  <c:v>1428.7429715982973</c:v>
                </c:pt>
                <c:pt idx="77">
                  <c:v>1389.1123514033516</c:v>
                </c:pt>
                <c:pt idx="78">
                  <c:v>1350.6410932957638</c:v>
                </c:pt>
                <c:pt idx="79">
                  <c:v>1313.8150513009887</c:v>
                </c:pt>
                <c:pt idx="80">
                  <c:v>1278.0427788912518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7-4F1E-9C59-1846687FCFE6}"/>
            </c:ext>
          </c:extLst>
        </c:ser>
        <c:ser>
          <c:idx val="4"/>
          <c:order val="1"/>
          <c:tx>
            <c:v>Xmeas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(2)'!$B$33:$CD$33</c:f>
              <c:numCache>
                <c:formatCode>0</c:formatCode>
                <c:ptCount val="81"/>
                <c:pt idx="0">
                  <c:v>1916.7087967325392</c:v>
                </c:pt>
                <c:pt idx="1">
                  <c:v>2055.2869844644551</c:v>
                </c:pt>
                <c:pt idx="2">
                  <c:v>2197.0971674035995</c:v>
                </c:pt>
                <c:pt idx="3">
                  <c:v>2340.123265469671</c:v>
                </c:pt>
                <c:pt idx="4">
                  <c:v>2483.0612147237721</c:v>
                </c:pt>
                <c:pt idx="5">
                  <c:v>2623.2443280904854</c:v>
                </c:pt>
                <c:pt idx="6">
                  <c:v>2761.3223919595625</c:v>
                </c:pt>
                <c:pt idx="7">
                  <c:v>2893.3254866341867</c:v>
                </c:pt>
                <c:pt idx="8">
                  <c:v>3018.7750339648155</c:v>
                </c:pt>
                <c:pt idx="9">
                  <c:v>3135.0222892530692</c:v>
                </c:pt>
                <c:pt idx="10">
                  <c:v>3241.2992494272744</c:v>
                </c:pt>
                <c:pt idx="11">
                  <c:v>3333.6517996050779</c:v>
                </c:pt>
                <c:pt idx="12">
                  <c:v>3409.7364733111917</c:v>
                </c:pt>
                <c:pt idx="13">
                  <c:v>3467.5512772351885</c:v>
                </c:pt>
                <c:pt idx="14">
                  <c:v>3502.8805529918604</c:v>
                </c:pt>
                <c:pt idx="15">
                  <c:v>3512.7914740136557</c:v>
                </c:pt>
                <c:pt idx="16">
                  <c:v>3495.080702647585</c:v>
                </c:pt>
                <c:pt idx="17">
                  <c:v>3447.0618378098716</c:v>
                </c:pt>
                <c:pt idx="18">
                  <c:v>3365.6671472825847</c:v>
                </c:pt>
                <c:pt idx="19">
                  <c:v>3248.7629645259967</c:v>
                </c:pt>
                <c:pt idx="20">
                  <c:v>3096.8951616555414</c:v>
                </c:pt>
                <c:pt idx="21">
                  <c:v>2909.5024014193391</c:v>
                </c:pt>
                <c:pt idx="22">
                  <c:v>2686.6183307492238</c:v>
                </c:pt>
                <c:pt idx="23">
                  <c:v>2431.9438337935903</c:v>
                </c:pt>
                <c:pt idx="24">
                  <c:v>2150.1366397553847</c:v>
                </c:pt>
                <c:pt idx="25">
                  <c:v>1844.6102328260736</c:v>
                </c:pt>
                <c:pt idx="26">
                  <c:v>1522.9136963043593</c:v>
                </c:pt>
                <c:pt idx="27">
                  <c:v>1186.3042025455929</c:v>
                </c:pt>
                <c:pt idx="28">
                  <c:v>844.77143765325286</c:v>
                </c:pt>
                <c:pt idx="29">
                  <c:v>503.75171483246555</c:v>
                </c:pt>
                <c:pt idx="30">
                  <c:v>168.66431636187912</c:v>
                </c:pt>
                <c:pt idx="31">
                  <c:v>-158.01366278462336</c:v>
                </c:pt>
                <c:pt idx="32">
                  <c:v>-469.45888685454281</c:v>
                </c:pt>
                <c:pt idx="33">
                  <c:v>-760.97266239034082</c:v>
                </c:pt>
                <c:pt idx="34">
                  <c:v>-1035.8686035366989</c:v>
                </c:pt>
                <c:pt idx="35">
                  <c:v>-1288.3888590158281</c:v>
                </c:pt>
                <c:pt idx="36">
                  <c:v>-1521.0490275045352</c:v>
                </c:pt>
                <c:pt idx="37">
                  <c:v>-1728.6833436340646</c:v>
                </c:pt>
                <c:pt idx="38">
                  <c:v>-1916.4583258804337</c:v>
                </c:pt>
                <c:pt idx="39">
                  <c:v>-2082.6685953395199</c:v>
                </c:pt>
                <c:pt idx="40">
                  <c:v>-2231.481756754049</c:v>
                </c:pt>
                <c:pt idx="41">
                  <c:v>-2360.357465898885</c:v>
                </c:pt>
                <c:pt idx="42">
                  <c:v>-2472.0901164232318</c:v>
                </c:pt>
                <c:pt idx="43">
                  <c:v>-2569.2379529803939</c:v>
                </c:pt>
                <c:pt idx="44">
                  <c:v>-2650.0182684165457</c:v>
                </c:pt>
                <c:pt idx="45">
                  <c:v>-2719.6794252174441</c:v>
                </c:pt>
                <c:pt idx="46">
                  <c:v>-2777.2932765586811</c:v>
                </c:pt>
                <c:pt idx="47">
                  <c:v>-2825.0577800328142</c:v>
                </c:pt>
                <c:pt idx="48">
                  <c:v>-2863.0165375884603</c:v>
                </c:pt>
                <c:pt idx="49">
                  <c:v>-2892.1944669485724</c:v>
                </c:pt>
                <c:pt idx="50">
                  <c:v>-2915.0227842544655</c:v>
                </c:pt>
                <c:pt idx="51">
                  <c:v>-2931.2236407619957</c:v>
                </c:pt>
                <c:pt idx="52">
                  <c:v>-2941.012928989835</c:v>
                </c:pt>
                <c:pt idx="53">
                  <c:v>-2946.34633504565</c:v>
                </c:pt>
                <c:pt idx="54">
                  <c:v>-2947.1448377522142</c:v>
                </c:pt>
                <c:pt idx="55">
                  <c:v>-2943.9493028093193</c:v>
                </c:pt>
                <c:pt idx="56">
                  <c:v>-2937.1365362769343</c:v>
                </c:pt>
                <c:pt idx="57">
                  <c:v>-2926.3579774158047</c:v>
                </c:pt>
                <c:pt idx="58">
                  <c:v>-2914.6446110805832</c:v>
                </c:pt>
                <c:pt idx="59">
                  <c:v>-2900.858903370221</c:v>
                </c:pt>
                <c:pt idx="60">
                  <c:v>-2885.370351343985</c:v>
                </c:pt>
                <c:pt idx="61">
                  <c:v>-2867.0229234281237</c:v>
                </c:pt>
                <c:pt idx="62">
                  <c:v>-2849.4669767146975</c:v>
                </c:pt>
                <c:pt idx="63">
                  <c:v>-2828.8290276718562</c:v>
                </c:pt>
                <c:pt idx="64">
                  <c:v>-2807.5627935753337</c:v>
                </c:pt>
                <c:pt idx="65">
                  <c:v>-2785.9123877774496</c:v>
                </c:pt>
                <c:pt idx="66">
                  <c:v>-2762.4794511075397</c:v>
                </c:pt>
                <c:pt idx="67">
                  <c:v>-2739.6095011425218</c:v>
                </c:pt>
                <c:pt idx="68">
                  <c:v>-2715.737308164546</c:v>
                </c:pt>
                <c:pt idx="69">
                  <c:v>-2692.4153577638808</c:v>
                </c:pt>
                <c:pt idx="70">
                  <c:v>-2667.7609940638649</c:v>
                </c:pt>
                <c:pt idx="71">
                  <c:v>-2643.2644840699463</c:v>
                </c:pt>
                <c:pt idx="72">
                  <c:v>-2618.4168143267793</c:v>
                </c:pt>
                <c:pt idx="73">
                  <c:v>-2593.9712406463227</c:v>
                </c:pt>
                <c:pt idx="74">
                  <c:v>-2569.2771708089504</c:v>
                </c:pt>
                <c:pt idx="75">
                  <c:v>-2544.8228657281052</c:v>
                </c:pt>
                <c:pt idx="76">
                  <c:v>-2519.6459965113563</c:v>
                </c:pt>
                <c:pt idx="77">
                  <c:v>-2496.1202312136388</c:v>
                </c:pt>
                <c:pt idx="78">
                  <c:v>-2471.7275153440319</c:v>
                </c:pt>
                <c:pt idx="79">
                  <c:v>-2447.9055261753451</c:v>
                </c:pt>
                <c:pt idx="80">
                  <c:v>-2424.030835812142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37-4F1E-9C59-1846687FC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881696"/>
        <c:axId val="403882088"/>
      </c:scatterChart>
      <c:valAx>
        <c:axId val="403881696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591012437597712"/>
              <c:y val="0.9198218262806235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882088"/>
        <c:crosses val="autoZero"/>
        <c:crossBetween val="midCat"/>
      </c:valAx>
      <c:valAx>
        <c:axId val="403882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4883359253499222E-2"/>
              <c:y val="0.4253897550111358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8816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6780780707232741"/>
          <c:y val="0.47661469933184858"/>
          <c:w val="0.98755913675642792"/>
          <c:h val="0.567928730512249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9</xdr:row>
      <xdr:rowOff>123825</xdr:rowOff>
    </xdr:from>
    <xdr:to>
      <xdr:col>11</xdr:col>
      <xdr:colOff>504825</xdr:colOff>
      <xdr:row>36</xdr:row>
      <xdr:rowOff>19050</xdr:rowOff>
    </xdr:to>
    <xdr:graphicFrame macro="">
      <xdr:nvGraphicFramePr>
        <xdr:cNvPr id="163869" name="Chart 1">
          <a:extLst>
            <a:ext uri="{FF2B5EF4-FFF2-40B4-BE49-F238E27FC236}">
              <a16:creationId xmlns:a16="http://schemas.microsoft.com/office/drawing/2014/main" id="{00000000-0008-0000-0000-00001D80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561975</xdr:colOff>
      <xdr:row>14</xdr:row>
      <xdr:rowOff>123825</xdr:rowOff>
    </xdr:from>
    <xdr:to>
      <xdr:col>23</xdr:col>
      <xdr:colOff>161925</xdr:colOff>
      <xdr:row>41</xdr:row>
      <xdr:rowOff>19050</xdr:rowOff>
    </xdr:to>
    <xdr:graphicFrame macro="">
      <xdr:nvGraphicFramePr>
        <xdr:cNvPr id="163870" name="Chart 2">
          <a:extLst>
            <a:ext uri="{FF2B5EF4-FFF2-40B4-BE49-F238E27FC236}">
              <a16:creationId xmlns:a16="http://schemas.microsoft.com/office/drawing/2014/main" id="{00000000-0008-0000-0000-00001E80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2</xdr:row>
      <xdr:rowOff>85725</xdr:rowOff>
    </xdr:from>
    <xdr:to>
      <xdr:col>17</xdr:col>
      <xdr:colOff>295275</xdr:colOff>
      <xdr:row>28</xdr:row>
      <xdr:rowOff>142875</xdr:rowOff>
    </xdr:to>
    <xdr:graphicFrame macro="">
      <xdr:nvGraphicFramePr>
        <xdr:cNvPr id="1069" name="Chart 1">
          <a:extLst>
            <a:ext uri="{FF2B5EF4-FFF2-40B4-BE49-F238E27FC236}">
              <a16:creationId xmlns:a16="http://schemas.microsoft.com/office/drawing/2014/main" id="{00000000-0008-0000-0100-00002D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70" name="Chart 2">
          <a:extLst>
            <a:ext uri="{FF2B5EF4-FFF2-40B4-BE49-F238E27FC236}">
              <a16:creationId xmlns:a16="http://schemas.microsoft.com/office/drawing/2014/main" id="{00000000-0008-0000-0100-00002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2</xdr:row>
      <xdr:rowOff>133350</xdr:rowOff>
    </xdr:from>
    <xdr:to>
      <xdr:col>15</xdr:col>
      <xdr:colOff>428625</xdr:colOff>
      <xdr:row>29</xdr:row>
      <xdr:rowOff>28575</xdr:rowOff>
    </xdr:to>
    <xdr:graphicFrame macro="">
      <xdr:nvGraphicFramePr>
        <xdr:cNvPr id="27691" name="Chart 1">
          <a:extLst>
            <a:ext uri="{FF2B5EF4-FFF2-40B4-BE49-F238E27FC236}">
              <a16:creationId xmlns:a16="http://schemas.microsoft.com/office/drawing/2014/main" id="{00000000-0008-0000-0200-00002B6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27692" name="Chart 2">
          <a:extLst>
            <a:ext uri="{FF2B5EF4-FFF2-40B4-BE49-F238E27FC236}">
              <a16:creationId xmlns:a16="http://schemas.microsoft.com/office/drawing/2014/main" id="{00000000-0008-0000-0200-00002C6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21</xdr:row>
      <xdr:rowOff>152400</xdr:rowOff>
    </xdr:from>
    <xdr:to>
      <xdr:col>18</xdr:col>
      <xdr:colOff>266700</xdr:colOff>
      <xdr:row>48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285750</xdr:colOff>
      <xdr:row>23</xdr:row>
      <xdr:rowOff>38100</xdr:rowOff>
    </xdr:from>
    <xdr:to>
      <xdr:col>7</xdr:col>
      <xdr:colOff>371475</xdr:colOff>
      <xdr:row>49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5</xdr:row>
      <xdr:rowOff>95250</xdr:rowOff>
    </xdr:from>
    <xdr:to>
      <xdr:col>20</xdr:col>
      <xdr:colOff>266700</xdr:colOff>
      <xdr:row>31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962025</xdr:colOff>
      <xdr:row>7</xdr:row>
      <xdr:rowOff>28575</xdr:rowOff>
    </xdr:from>
    <xdr:to>
      <xdr:col>8</xdr:col>
      <xdr:colOff>438150</xdr:colOff>
      <xdr:row>33</xdr:row>
      <xdr:rowOff>85725</xdr:rowOff>
    </xdr:to>
    <xdr:graphicFrame macro="">
      <xdr:nvGraphicFramePr>
        <xdr:cNvPr id="336909" name="Chart 1">
          <a:extLst>
            <a:ext uri="{FF2B5EF4-FFF2-40B4-BE49-F238E27FC236}">
              <a16:creationId xmlns:a16="http://schemas.microsoft.com/office/drawing/2014/main" id="{00000000-0008-0000-0500-00000D24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36910" name="Chart 2">
          <a:extLst>
            <a:ext uri="{FF2B5EF4-FFF2-40B4-BE49-F238E27FC236}">
              <a16:creationId xmlns:a16="http://schemas.microsoft.com/office/drawing/2014/main" id="{00000000-0008-0000-0500-00000E24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31</xdr:row>
      <xdr:rowOff>85725</xdr:rowOff>
    </xdr:from>
    <xdr:to>
      <xdr:col>19</xdr:col>
      <xdr:colOff>571500</xdr:colOff>
      <xdr:row>57</xdr:row>
      <xdr:rowOff>142875</xdr:rowOff>
    </xdr:to>
    <xdr:graphicFrame macro="">
      <xdr:nvGraphicFramePr>
        <xdr:cNvPr id="385033" name="Chart 1">
          <a:extLst>
            <a:ext uri="{FF2B5EF4-FFF2-40B4-BE49-F238E27FC236}">
              <a16:creationId xmlns:a16="http://schemas.microsoft.com/office/drawing/2014/main" id="{00000000-0008-0000-0600-000009E0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828675</xdr:colOff>
      <xdr:row>40</xdr:row>
      <xdr:rowOff>47625</xdr:rowOff>
    </xdr:from>
    <xdr:to>
      <xdr:col>8</xdr:col>
      <xdr:colOff>304800</xdr:colOff>
      <xdr:row>66</xdr:row>
      <xdr:rowOff>104775</xdr:rowOff>
    </xdr:to>
    <xdr:graphicFrame macro="">
      <xdr:nvGraphicFramePr>
        <xdr:cNvPr id="385034" name="Chart 2">
          <a:extLst>
            <a:ext uri="{FF2B5EF4-FFF2-40B4-BE49-F238E27FC236}">
              <a16:creationId xmlns:a16="http://schemas.microsoft.com/office/drawing/2014/main" id="{00000000-0008-0000-0600-00000AE0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2</xdr:row>
      <xdr:rowOff>85725</xdr:rowOff>
    </xdr:from>
    <xdr:to>
      <xdr:col>17</xdr:col>
      <xdr:colOff>295275</xdr:colOff>
      <xdr:row>28</xdr:row>
      <xdr:rowOff>142875</xdr:rowOff>
    </xdr:to>
    <xdr:graphicFrame macro="">
      <xdr:nvGraphicFramePr>
        <xdr:cNvPr id="46121" name="Chart 1">
          <a:extLst>
            <a:ext uri="{FF2B5EF4-FFF2-40B4-BE49-F238E27FC236}">
              <a16:creationId xmlns:a16="http://schemas.microsoft.com/office/drawing/2014/main" id="{00000000-0008-0000-0700-000029B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6122" name="Chart 2">
          <a:extLst>
            <a:ext uri="{FF2B5EF4-FFF2-40B4-BE49-F238E27FC236}">
              <a16:creationId xmlns:a16="http://schemas.microsoft.com/office/drawing/2014/main" id="{00000000-0008-0000-0700-00002AB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104775</xdr:rowOff>
    </xdr:from>
    <xdr:to>
      <xdr:col>17</xdr:col>
      <xdr:colOff>323850</xdr:colOff>
      <xdr:row>29</xdr:row>
      <xdr:rowOff>0</xdr:rowOff>
    </xdr:to>
    <xdr:graphicFrame macro="">
      <xdr:nvGraphicFramePr>
        <xdr:cNvPr id="4141" name="Chart 1">
          <a:extLst>
            <a:ext uri="{FF2B5EF4-FFF2-40B4-BE49-F238E27FC236}">
              <a16:creationId xmlns:a16="http://schemas.microsoft.com/office/drawing/2014/main" id="{00000000-0008-0000-0800-00002D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142" name="Chart 2">
          <a:extLst>
            <a:ext uri="{FF2B5EF4-FFF2-40B4-BE49-F238E27FC236}">
              <a16:creationId xmlns:a16="http://schemas.microsoft.com/office/drawing/2014/main" id="{00000000-0008-0000-0800-00002E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180975</xdr:rowOff>
    </xdr:from>
    <xdr:to>
      <xdr:col>15</xdr:col>
      <xdr:colOff>238125</xdr:colOff>
      <xdr:row>26</xdr:row>
      <xdr:rowOff>142875</xdr:rowOff>
    </xdr:to>
    <xdr:graphicFrame macro="">
      <xdr:nvGraphicFramePr>
        <xdr:cNvPr id="6189" name="Chart 1">
          <a:extLst>
            <a:ext uri="{FF2B5EF4-FFF2-40B4-BE49-F238E27FC236}">
              <a16:creationId xmlns:a16="http://schemas.microsoft.com/office/drawing/2014/main" id="{00000000-0008-0000-0900-00002D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9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180975</xdr:rowOff>
    </xdr:from>
    <xdr:to>
      <xdr:col>15</xdr:col>
      <xdr:colOff>238125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2</xdr:row>
      <xdr:rowOff>152400</xdr:rowOff>
    </xdr:from>
    <xdr:to>
      <xdr:col>16</xdr:col>
      <xdr:colOff>409575</xdr:colOff>
      <xdr:row>29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561975</xdr:colOff>
      <xdr:row>34</xdr:row>
      <xdr:rowOff>95250</xdr:rowOff>
    </xdr:from>
    <xdr:to>
      <xdr:col>15</xdr:col>
      <xdr:colOff>161925</xdr:colOff>
      <xdr:row>60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19050</xdr:rowOff>
    </xdr:from>
    <xdr:to>
      <xdr:col>18</xdr:col>
      <xdr:colOff>219075</xdr:colOff>
      <xdr:row>25</xdr:row>
      <xdr:rowOff>142875</xdr:rowOff>
    </xdr:to>
    <xdr:graphicFrame macro="">
      <xdr:nvGraphicFramePr>
        <xdr:cNvPr id="10285" name="Chart 1">
          <a:extLst>
            <a:ext uri="{FF2B5EF4-FFF2-40B4-BE49-F238E27FC236}">
              <a16:creationId xmlns:a16="http://schemas.microsoft.com/office/drawing/2014/main" id="{00000000-0008-0000-0C00-00002D2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286" name="Chart 2">
          <a:extLst>
            <a:ext uri="{FF2B5EF4-FFF2-40B4-BE49-F238E27FC236}">
              <a16:creationId xmlns:a16="http://schemas.microsoft.com/office/drawing/2014/main" id="{00000000-0008-0000-0C00-00002E2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190500</xdr:rowOff>
    </xdr:from>
    <xdr:to>
      <xdr:col>15</xdr:col>
      <xdr:colOff>238125</xdr:colOff>
      <xdr:row>26</xdr:row>
      <xdr:rowOff>152400</xdr:rowOff>
    </xdr:to>
    <xdr:graphicFrame macro="">
      <xdr:nvGraphicFramePr>
        <xdr:cNvPr id="7213" name="Chart 1">
          <a:extLst>
            <a:ext uri="{FF2B5EF4-FFF2-40B4-BE49-F238E27FC236}">
              <a16:creationId xmlns:a16="http://schemas.microsoft.com/office/drawing/2014/main" id="{00000000-0008-0000-0D00-00002D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7214" name="Chart 2">
          <a:extLst>
            <a:ext uri="{FF2B5EF4-FFF2-40B4-BE49-F238E27FC236}">
              <a16:creationId xmlns:a16="http://schemas.microsoft.com/office/drawing/2014/main" id="{00000000-0008-0000-0D00-00002E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30</xdr:row>
      <xdr:rowOff>0</xdr:rowOff>
    </xdr:from>
    <xdr:to>
      <xdr:col>7</xdr:col>
      <xdr:colOff>257175</xdr:colOff>
      <xdr:row>56</xdr:row>
      <xdr:rowOff>57150</xdr:rowOff>
    </xdr:to>
    <xdr:graphicFrame macro="">
      <xdr:nvGraphicFramePr>
        <xdr:cNvPr id="9283" name="Chart 1">
          <a:extLst>
            <a:ext uri="{FF2B5EF4-FFF2-40B4-BE49-F238E27FC236}">
              <a16:creationId xmlns:a16="http://schemas.microsoft.com/office/drawing/2014/main" id="{00000000-0008-0000-0E00-0000432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352425</xdr:colOff>
      <xdr:row>57</xdr:row>
      <xdr:rowOff>47625</xdr:rowOff>
    </xdr:from>
    <xdr:to>
      <xdr:col>7</xdr:col>
      <xdr:colOff>438150</xdr:colOff>
      <xdr:row>83</xdr:row>
      <xdr:rowOff>104775</xdr:rowOff>
    </xdr:to>
    <xdr:graphicFrame macro="">
      <xdr:nvGraphicFramePr>
        <xdr:cNvPr id="9284" name="Chart 2">
          <a:extLst>
            <a:ext uri="{FF2B5EF4-FFF2-40B4-BE49-F238E27FC236}">
              <a16:creationId xmlns:a16="http://schemas.microsoft.com/office/drawing/2014/main" id="{00000000-0008-0000-0E00-0000442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581025</xdr:colOff>
      <xdr:row>31</xdr:row>
      <xdr:rowOff>57150</xdr:rowOff>
    </xdr:from>
    <xdr:to>
      <xdr:col>20</xdr:col>
      <xdr:colOff>123825</xdr:colOff>
      <xdr:row>54</xdr:row>
      <xdr:rowOff>114300</xdr:rowOff>
    </xdr:to>
    <xdr:pic>
      <xdr:nvPicPr>
        <xdr:cNvPr id="9285" name="Picture 3">
          <a:extLst>
            <a:ext uri="{FF2B5EF4-FFF2-40B4-BE49-F238E27FC236}">
              <a16:creationId xmlns:a16="http://schemas.microsoft.com/office/drawing/2014/main" id="{00000000-0008-0000-0E00-00004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850" y="5172075"/>
          <a:ext cx="6858000" cy="3781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36</xdr:row>
      <xdr:rowOff>0</xdr:rowOff>
    </xdr:from>
    <xdr:to>
      <xdr:col>7</xdr:col>
      <xdr:colOff>257175</xdr:colOff>
      <xdr:row>62</xdr:row>
      <xdr:rowOff>57150</xdr:rowOff>
    </xdr:to>
    <xdr:graphicFrame macro="">
      <xdr:nvGraphicFramePr>
        <xdr:cNvPr id="11353" name="Chart 1">
          <a:extLst>
            <a:ext uri="{FF2B5EF4-FFF2-40B4-BE49-F238E27FC236}">
              <a16:creationId xmlns:a16="http://schemas.microsoft.com/office/drawing/2014/main" id="{00000000-0008-0000-1000-0000592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352425</xdr:colOff>
      <xdr:row>63</xdr:row>
      <xdr:rowOff>47625</xdr:rowOff>
    </xdr:from>
    <xdr:to>
      <xdr:col>7</xdr:col>
      <xdr:colOff>438150</xdr:colOff>
      <xdr:row>89</xdr:row>
      <xdr:rowOff>104775</xdr:rowOff>
    </xdr:to>
    <xdr:graphicFrame macro="">
      <xdr:nvGraphicFramePr>
        <xdr:cNvPr id="11354" name="Chart 2">
          <a:extLst>
            <a:ext uri="{FF2B5EF4-FFF2-40B4-BE49-F238E27FC236}">
              <a16:creationId xmlns:a16="http://schemas.microsoft.com/office/drawing/2014/main" id="{00000000-0008-0000-1000-00005A2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581025</xdr:colOff>
      <xdr:row>37</xdr:row>
      <xdr:rowOff>57150</xdr:rowOff>
    </xdr:from>
    <xdr:to>
      <xdr:col>18</xdr:col>
      <xdr:colOff>390525</xdr:colOff>
      <xdr:row>60</xdr:row>
      <xdr:rowOff>114300</xdr:rowOff>
    </xdr:to>
    <xdr:pic>
      <xdr:nvPicPr>
        <xdr:cNvPr id="11355" name="Picture 3">
          <a:extLst>
            <a:ext uri="{FF2B5EF4-FFF2-40B4-BE49-F238E27FC236}">
              <a16:creationId xmlns:a16="http://schemas.microsoft.com/office/drawing/2014/main" id="{00000000-0008-0000-1000-00005B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6143625"/>
          <a:ext cx="6858000" cy="3781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0</xdr:colOff>
      <xdr:row>66</xdr:row>
      <xdr:rowOff>0</xdr:rowOff>
    </xdr:from>
    <xdr:to>
      <xdr:col>18</xdr:col>
      <xdr:colOff>485775</xdr:colOff>
      <xdr:row>92</xdr:row>
      <xdr:rowOff>66675</xdr:rowOff>
    </xdr:to>
    <xdr:graphicFrame macro="">
      <xdr:nvGraphicFramePr>
        <xdr:cNvPr id="11356" name="Chart 4">
          <a:extLst>
            <a:ext uri="{FF2B5EF4-FFF2-40B4-BE49-F238E27FC236}">
              <a16:creationId xmlns:a16="http://schemas.microsoft.com/office/drawing/2014/main" id="{00000000-0008-0000-1000-00005C2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vk1od.net/blog/?p=80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://vk1od.net/blog/?p=806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://vk1od.net/blog/?p=806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://vk1od.net/blog/?p=806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://vk1od.net/blog/?p=806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://vk1od.net/blog/?p=806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://vk1od.net/blog/?p=806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://vk1od.net/blog/?p=806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://vk1od.net/blog/?p=806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://vk1od.net/blog/?p=806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://vk1od.net/blog/?p=806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E35"/>
  <sheetViews>
    <sheetView topLeftCell="B4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6" ht="20.25" x14ac:dyDescent="0.3">
      <c r="A1" s="9" t="s">
        <v>25</v>
      </c>
    </row>
    <row r="3" spans="1:6" x14ac:dyDescent="0.2">
      <c r="A3" s="8" t="s">
        <v>27</v>
      </c>
    </row>
    <row r="4" spans="1:6" x14ac:dyDescent="0.2">
      <c r="A4" s="12" t="s">
        <v>26</v>
      </c>
    </row>
    <row r="6" spans="1:6" x14ac:dyDescent="0.2">
      <c r="A6" s="8" t="s">
        <v>16</v>
      </c>
    </row>
    <row r="7" spans="1:6" x14ac:dyDescent="0.2">
      <c r="A7" t="s">
        <v>1</v>
      </c>
      <c r="B7" s="3">
        <f>100*1450</f>
        <v>145000</v>
      </c>
      <c r="D7" s="16" t="s">
        <v>34</v>
      </c>
      <c r="F7" t="s">
        <v>35</v>
      </c>
    </row>
    <row r="8" spans="1:6" x14ac:dyDescent="0.2">
      <c r="A8" t="s">
        <v>5</v>
      </c>
      <c r="B8" s="3">
        <v>1</v>
      </c>
    </row>
    <row r="9" spans="1:6" x14ac:dyDescent="0.2">
      <c r="A9" t="s">
        <v>8</v>
      </c>
      <c r="B9" s="3">
        <v>9</v>
      </c>
    </row>
    <row r="11" spans="1:6" x14ac:dyDescent="0.2">
      <c r="A11" s="8" t="s">
        <v>17</v>
      </c>
    </row>
    <row r="12" spans="1:6" x14ac:dyDescent="0.2">
      <c r="A12" t="s">
        <v>18</v>
      </c>
      <c r="B12" t="str">
        <f>Mix!B1</f>
        <v>#43</v>
      </c>
    </row>
    <row r="13" spans="1:6" x14ac:dyDescent="0.2">
      <c r="A13" t="s">
        <v>32</v>
      </c>
      <c r="B13">
        <f>Mix!B2</f>
        <v>800</v>
      </c>
    </row>
    <row r="15" spans="1:6" x14ac:dyDescent="0.2">
      <c r="A15" s="8" t="s">
        <v>19</v>
      </c>
    </row>
    <row r="16" spans="1:6" x14ac:dyDescent="0.2">
      <c r="A16" s="2" t="s">
        <v>9</v>
      </c>
      <c r="B16" s="4">
        <f>2*PI()*$B$8^2*$B$7*0.000000001</f>
        <v>9.1106186954104009E-4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3.7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v>7.1</v>
      </c>
      <c r="O18" s="10">
        <f t="shared" ref="O18:Z18" si="0">N18+1</f>
        <v>8.1</v>
      </c>
      <c r="P18" s="10">
        <f t="shared" si="0"/>
        <v>9.1</v>
      </c>
      <c r="Q18" s="10">
        <f t="shared" si="0"/>
        <v>10.1</v>
      </c>
      <c r="R18" s="10">
        <f t="shared" si="0"/>
        <v>11.1</v>
      </c>
      <c r="S18" s="10">
        <f t="shared" si="0"/>
        <v>12.1</v>
      </c>
      <c r="T18" s="10">
        <f t="shared" si="0"/>
        <v>13.1</v>
      </c>
      <c r="U18" s="10">
        <f t="shared" si="0"/>
        <v>14.1</v>
      </c>
      <c r="V18" s="10">
        <f t="shared" si="0"/>
        <v>15.1</v>
      </c>
      <c r="W18" s="10">
        <f t="shared" si="0"/>
        <v>16.100000000000001</v>
      </c>
      <c r="X18" s="10">
        <f t="shared" si="0"/>
        <v>17.100000000000001</v>
      </c>
      <c r="Y18" s="10">
        <f t="shared" si="0"/>
        <v>18.100000000000001</v>
      </c>
      <c r="Z18" s="10">
        <f t="shared" si="0"/>
        <v>19.100000000000001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csinterpolate(CSTableU2,W0IYH!B18*1000000)</f>
        <v>62.806156889999997</v>
      </c>
      <c r="C19" s="7">
        <f>csinterpolate(CSTableU2,W0IYH!C18*1000000)</f>
        <v>88.590879034678693</v>
      </c>
      <c r="D19" s="7">
        <f>csinterpolate(CSTableU2,W0IYH!D18*1000000)</f>
        <v>149.31944870511313</v>
      </c>
      <c r="E19" s="7">
        <f>csinterpolate(CSTableU2,W0IYH!E18*1000000)</f>
        <v>164.84693443845484</v>
      </c>
      <c r="F19" s="7">
        <f>csinterpolate(CSTableU2,W0IYH!F18*1000000)</f>
        <v>194.09240685957292</v>
      </c>
      <c r="G19" s="7">
        <f>csinterpolate(CSTableU2,W0IYH!G18*1000000)</f>
        <v>212.25123818145755</v>
      </c>
      <c r="H19" s="7">
        <f>csinterpolate(CSTableU2,W0IYH!H18*1000000)</f>
        <v>225.2145047942943</v>
      </c>
      <c r="I19" s="7">
        <f>csinterpolate(CSTableU2,W0IYH!I18*1000000)</f>
        <v>227.99294072128737</v>
      </c>
      <c r="J19" s="7">
        <f>csinterpolate(CSTableU2,W0IYH!J18*1000000)</f>
        <v>230.73650181843422</v>
      </c>
      <c r="K19" s="7">
        <f>csinterpolate(CSTableU2,W0IYH!K18*1000000)</f>
        <v>231.76055744625637</v>
      </c>
      <c r="L19" s="7">
        <f>csinterpolate(CSTableU2,W0IYH!L18*1000000)</f>
        <v>231.5816749650173</v>
      </c>
      <c r="M19" s="7">
        <f>csinterpolate(CSTableU2,W0IYH!M18*1000000)</f>
        <v>230.71610985828033</v>
      </c>
      <c r="N19" s="7">
        <f>csinterpolate(CSTableU2,W0IYH!N18*1000000)</f>
        <v>228.00979422744271</v>
      </c>
      <c r="O19" s="7">
        <f>csinterpolate(CSTableU2,W0IYH!O18*1000000)</f>
        <v>225.36799136854913</v>
      </c>
      <c r="P19" s="7">
        <f>csinterpolate(CSTableU2,W0IYH!P18*1000000)</f>
        <v>222.97753737541694</v>
      </c>
      <c r="Q19" s="7">
        <f>csinterpolate(CSTableU2,W0IYH!Q18*1000000)</f>
        <v>220.35678292020023</v>
      </c>
      <c r="R19" s="7">
        <f>csinterpolate(CSTableU2,W0IYH!R18*1000000)</f>
        <v>217.06608960838042</v>
      </c>
      <c r="S19" s="7">
        <f>csinterpolate(CSTableU2,W0IYH!S18*1000000)</f>
        <v>213.22069353441981</v>
      </c>
      <c r="T19" s="7">
        <f>csinterpolate(CSTableU2,W0IYH!T18*1000000)</f>
        <v>209.03846506168489</v>
      </c>
      <c r="U19" s="7">
        <f>csinterpolate(CSTableU2,W0IYH!U18*1000000)</f>
        <v>204.73723202154821</v>
      </c>
      <c r="V19" s="7">
        <f>csinterpolate(CSTableU2,W0IYH!V18*1000000)</f>
        <v>200.53452484557238</v>
      </c>
      <c r="W19" s="7">
        <f>csinterpolate(CSTableU2,W0IYH!W18*1000000)</f>
        <v>196.57799918148302</v>
      </c>
      <c r="X19" s="7">
        <f>csinterpolate(CSTableU2,W0IYH!X18*1000000)</f>
        <v>192.85820699060739</v>
      </c>
      <c r="Y19" s="7">
        <f>csinterpolate(CSTableU2,W0IYH!Y18*1000000)</f>
        <v>189.34425110185933</v>
      </c>
      <c r="Z19" s="7">
        <f>csinterpolate(CSTableU2,W0IYH!Z18*1000000)</f>
        <v>186.00523135923862</v>
      </c>
      <c r="AA19" s="7">
        <f>csinterpolate(CSTableU2,W0IYH!AA18*1000000)</f>
        <v>177.04080458652163</v>
      </c>
      <c r="AB19" s="7">
        <f>csinterpolate(CSTableU2,W0IYH!AB18*1000000)</f>
        <v>171.24984986633834</v>
      </c>
      <c r="AC19" s="7">
        <f>csinterpolate(CSTableU2,W0IYH!AC18*1000000)</f>
        <v>165.57249087919985</v>
      </c>
      <c r="AD19" s="7">
        <f>csinterpolate(CSTableU2,W0IYH!AD18*1000000)</f>
        <v>159.82992478445121</v>
      </c>
      <c r="AE19" s="7">
        <f>csinterpolate(CSTableU2,W0IYH!AE18*1000000)</f>
        <v>153.87192534130403</v>
      </c>
    </row>
    <row r="20" spans="1:31" x14ac:dyDescent="0.2">
      <c r="A20" t="s">
        <v>3</v>
      </c>
      <c r="B20" s="7">
        <f>csinterpolate(CSTableU1,W0IYH!B18*1000000)</f>
        <v>748.82965526252349</v>
      </c>
      <c r="C20" s="7">
        <f>csinterpolate(CSTableU1,W0IYH!C18*1000000)</f>
        <v>711.16368591923231</v>
      </c>
      <c r="D20" s="7">
        <f>csinterpolate(CSTableU1,W0IYH!D18*1000000)</f>
        <v>609.84521067104197</v>
      </c>
      <c r="E20" s="7">
        <f>csinterpolate(CSTableU1,W0IYH!E18*1000000)</f>
        <v>590.43683517566922</v>
      </c>
      <c r="F20" s="7">
        <f>csinterpolate(CSTableU1,W0IYH!F18*1000000)</f>
        <v>552.51543169258457</v>
      </c>
      <c r="G20" s="7">
        <f>csinterpolate(CSTableU1,W0IYH!G18*1000000)</f>
        <v>514.10164955020889</v>
      </c>
      <c r="H20" s="7">
        <f>csinterpolate(CSTableU1,W0IYH!H18*1000000)</f>
        <v>463.49351078451394</v>
      </c>
      <c r="I20" s="7">
        <f>csinterpolate(CSTableU1,W0IYH!I18*1000000)</f>
        <v>445.17842033805402</v>
      </c>
      <c r="J20" s="7">
        <f>csinterpolate(CSTableU1,W0IYH!J18*1000000)</f>
        <v>419.63998064819731</v>
      </c>
      <c r="K20" s="7">
        <f>csinterpolate(CSTableU1,W0IYH!K18*1000000)</f>
        <v>398.91760860580126</v>
      </c>
      <c r="L20" s="7">
        <f>csinterpolate(CSTableU1,W0IYH!L18*1000000)</f>
        <v>381.37346142845843</v>
      </c>
      <c r="M20" s="7">
        <f>csinterpolate(CSTableU1,W0IYH!M18*1000000)</f>
        <v>365.37712557783078</v>
      </c>
      <c r="N20" s="7">
        <f>csinterpolate(CSTableU1,W0IYH!N18*1000000)</f>
        <v>332.02247684063661</v>
      </c>
      <c r="O20" s="7">
        <f>csinterpolate(CSTableU1,W0IYH!O18*1000000)</f>
        <v>304.38179655231596</v>
      </c>
      <c r="P20" s="7">
        <f>csinterpolate(CSTableU1,W0IYH!P18*1000000)</f>
        <v>280.1522317541145</v>
      </c>
      <c r="Q20" s="7">
        <f>csinterpolate(CSTableU1,W0IYH!Q18*1000000)</f>
        <v>259.73537990020242</v>
      </c>
      <c r="R20" s="7">
        <f>csinterpolate(CSTableU1,W0IYH!R18*1000000)</f>
        <v>242.51550788886269</v>
      </c>
      <c r="S20" s="7">
        <f>csinterpolate(CSTableU1,W0IYH!S18*1000000)</f>
        <v>227.72891283719312</v>
      </c>
      <c r="T20" s="7">
        <f>csinterpolate(CSTableU1,W0IYH!T18*1000000)</f>
        <v>214.6119124484959</v>
      </c>
      <c r="U20" s="7">
        <f>csinterpolate(CSTableU1,W0IYH!U18*1000000)</f>
        <v>202.41773734404495</v>
      </c>
      <c r="V20" s="7">
        <f>csinterpolate(CSTableU1,W0IYH!V18*1000000)</f>
        <v>190.79626583866462</v>
      </c>
      <c r="W20" s="7">
        <f>csinterpolate(CSTableU1,W0IYH!W18*1000000)</f>
        <v>179.79805050614442</v>
      </c>
      <c r="X20" s="7">
        <f>csinterpolate(CSTableU1,W0IYH!X18*1000000)</f>
        <v>169.49140872873539</v>
      </c>
      <c r="Y20" s="7">
        <f>csinterpolate(CSTableU1,W0IYH!Y18*1000000)</f>
        <v>159.94463463179537</v>
      </c>
      <c r="Z20" s="7">
        <f>csinterpolate(CSTableU1,W0IYH!Z18*1000000)</f>
        <v>151.21376106185281</v>
      </c>
      <c r="AA20" s="7">
        <f>csinterpolate(CSTableU1,W0IYH!AA18*1000000)</f>
        <v>130.0529425335306</v>
      </c>
      <c r="AB20" s="7">
        <f>csinterpolate(CSTableU1,W0IYH!AB18*1000000)</f>
        <v>118.35127203670631</v>
      </c>
      <c r="AC20" s="7">
        <f>csinterpolate(CSTableU1,W0IYH!AC18*1000000)</f>
        <v>108.33087305026413</v>
      </c>
      <c r="AD20" s="7">
        <f>csinterpolate(CSTableU1,W0IYH!AD18*1000000)</f>
        <v>99.51049694962343</v>
      </c>
      <c r="AE20" s="7">
        <f>csinterpolate(CSTableU1,W0IYH!AE18*1000000)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71.525368393614087</v>
      </c>
      <c r="C21" s="5">
        <f t="shared" si="1"/>
        <v>121.06765781642775</v>
      </c>
      <c r="D21" s="5">
        <f t="shared" si="1"/>
        <v>306.0883262162651</v>
      </c>
      <c r="E21" s="5">
        <f t="shared" si="1"/>
        <v>375.46439069401981</v>
      </c>
      <c r="F21" s="5">
        <f t="shared" si="1"/>
        <v>552.5943470537585</v>
      </c>
      <c r="G21" s="5">
        <f t="shared" si="1"/>
        <v>725.15253701249742</v>
      </c>
      <c r="H21" s="5">
        <f t="shared" si="1"/>
        <v>948.97760850862801</v>
      </c>
      <c r="I21" s="5">
        <f t="shared" si="1"/>
        <v>1038.5783740784782</v>
      </c>
      <c r="J21" s="5">
        <f t="shared" si="1"/>
        <v>1182.4606615391003</v>
      </c>
      <c r="K21" s="5">
        <f t="shared" si="1"/>
        <v>1319.6762922053745</v>
      </c>
      <c r="L21" s="5">
        <f t="shared" si="1"/>
        <v>1450.5234819973848</v>
      </c>
      <c r="M21" s="5">
        <f t="shared" si="1"/>
        <v>1576.4748778554067</v>
      </c>
      <c r="N21" s="5">
        <f t="shared" si="1"/>
        <v>1843.6128859473808</v>
      </c>
      <c r="O21" s="5">
        <f t="shared" si="1"/>
        <v>2078.9073584532607</v>
      </c>
      <c r="P21" s="5">
        <f t="shared" si="1"/>
        <v>2310.7895272610385</v>
      </c>
      <c r="Q21" s="5">
        <f t="shared" si="1"/>
        <v>2534.5781154932506</v>
      </c>
      <c r="R21" s="5">
        <f t="shared" si="1"/>
        <v>2743.9288440994646</v>
      </c>
      <c r="S21" s="5">
        <f t="shared" si="1"/>
        <v>2938.1408106041235</v>
      </c>
      <c r="T21" s="5">
        <f t="shared" si="1"/>
        <v>3118.5692121058169</v>
      </c>
      <c r="U21" s="5">
        <f t="shared" si="1"/>
        <v>3287.5610296499399</v>
      </c>
      <c r="V21" s="5">
        <f t="shared" si="1"/>
        <v>3448.4504032641285</v>
      </c>
      <c r="W21" s="5">
        <f t="shared" si="1"/>
        <v>3604.2812288289947</v>
      </c>
      <c r="X21" s="5">
        <f t="shared" si="1"/>
        <v>3755.7105904425575</v>
      </c>
      <c r="Y21" s="5">
        <f t="shared" si="1"/>
        <v>3902.9104073278963</v>
      </c>
      <c r="Z21" s="5">
        <f t="shared" si="1"/>
        <v>4045.9117876091595</v>
      </c>
      <c r="AA21" s="5">
        <f t="shared" si="1"/>
        <v>4435.6159763202741</v>
      </c>
      <c r="AB21" s="5">
        <f t="shared" si="1"/>
        <v>4680.5762513354593</v>
      </c>
      <c r="AC21" s="5">
        <f t="shared" si="1"/>
        <v>4902.5204502615452</v>
      </c>
      <c r="AD21" s="5">
        <f t="shared" si="1"/>
        <v>5096.5232528954084</v>
      </c>
      <c r="AE21" s="5">
        <f t="shared" si="1"/>
        <v>5257.006648924792</v>
      </c>
    </row>
    <row r="22" spans="1:31" x14ac:dyDescent="0.2">
      <c r="A22" t="s">
        <v>11</v>
      </c>
      <c r="B22" s="5">
        <f t="shared" ref="B22:AE22" si="2">B20/$B$13*$B$16*B18*1000000</f>
        <v>852.78768211405895</v>
      </c>
      <c r="C22" s="5">
        <f t="shared" si="2"/>
        <v>971.87117586490922</v>
      </c>
      <c r="D22" s="5">
        <f t="shared" si="2"/>
        <v>1250.1151149703703</v>
      </c>
      <c r="E22" s="5">
        <f t="shared" si="2"/>
        <v>1344.8112172526003</v>
      </c>
      <c r="F22" s="5">
        <f t="shared" si="2"/>
        <v>1573.0491942128781</v>
      </c>
      <c r="G22" s="5">
        <f t="shared" si="2"/>
        <v>1756.4190374000473</v>
      </c>
      <c r="H22" s="5">
        <f t="shared" si="2"/>
        <v>1953.0045981065928</v>
      </c>
      <c r="I22" s="5">
        <f t="shared" si="2"/>
        <v>2027.9254195625724</v>
      </c>
      <c r="J22" s="5">
        <f t="shared" si="2"/>
        <v>2150.5386673322582</v>
      </c>
      <c r="K22" s="5">
        <f t="shared" si="2"/>
        <v>2271.4913893077642</v>
      </c>
      <c r="L22" s="5">
        <f t="shared" si="2"/>
        <v>2388.7518789911496</v>
      </c>
      <c r="M22" s="5">
        <f t="shared" si="2"/>
        <v>2496.608753373524</v>
      </c>
      <c r="N22" s="5">
        <f t="shared" si="2"/>
        <v>2684.625539010684</v>
      </c>
      <c r="O22" s="5">
        <f t="shared" si="2"/>
        <v>2807.7703172897864</v>
      </c>
      <c r="P22" s="5">
        <f t="shared" si="2"/>
        <v>2903.3096822047301</v>
      </c>
      <c r="Q22" s="5">
        <f t="shared" si="2"/>
        <v>2987.5168850726122</v>
      </c>
      <c r="R22" s="5">
        <f t="shared" si="2"/>
        <v>3065.6345191376695</v>
      </c>
      <c r="S22" s="5">
        <f t="shared" si="2"/>
        <v>3138.0613273047761</v>
      </c>
      <c r="T22" s="5">
        <f t="shared" si="2"/>
        <v>3201.7174567155889</v>
      </c>
      <c r="U22" s="5">
        <f t="shared" si="2"/>
        <v>3250.3158240029406</v>
      </c>
      <c r="V22" s="5">
        <f t="shared" si="2"/>
        <v>3280.9884501399856</v>
      </c>
      <c r="W22" s="5">
        <f t="shared" si="2"/>
        <v>3296.6188541834913</v>
      </c>
      <c r="X22" s="5">
        <f t="shared" si="2"/>
        <v>3300.6667887488015</v>
      </c>
      <c r="Y22" s="5">
        <f t="shared" si="2"/>
        <v>3296.9027338721344</v>
      </c>
      <c r="Z22" s="5">
        <f t="shared" si="2"/>
        <v>3289.1415679985826</v>
      </c>
      <c r="AA22" s="5">
        <f t="shared" si="2"/>
        <v>3258.3726165075755</v>
      </c>
      <c r="AB22" s="5">
        <f t="shared" si="2"/>
        <v>3234.7599349296556</v>
      </c>
      <c r="AC22" s="5">
        <f t="shared" si="2"/>
        <v>3207.6241512310676</v>
      </c>
      <c r="AD22" s="5">
        <f t="shared" si="2"/>
        <v>3173.1076786458657</v>
      </c>
      <c r="AE22" s="5">
        <f t="shared" si="2"/>
        <v>3133.4205346511094</v>
      </c>
    </row>
    <row r="23" spans="1:31" x14ac:dyDescent="0.2">
      <c r="A23" t="s">
        <v>12</v>
      </c>
      <c r="B23" s="5" t="str">
        <f t="shared" ref="B23:AE23" si="3">IMDIV(1,COMPLEX(B21,B22))</f>
        <v>0.0000976638590495077-0.00116443351297132i</v>
      </c>
      <c r="C23" s="5" t="str">
        <f t="shared" si="3"/>
        <v>0.000126218514179234-0.00101321969883396i</v>
      </c>
      <c r="D23" s="5" t="str">
        <f t="shared" si="3"/>
        <v>0.000184782623930971-0.00075468265652438i</v>
      </c>
      <c r="E23" s="5" t="str">
        <f t="shared" si="3"/>
        <v>0.00019259614169339-0.000689826940099669i</v>
      </c>
      <c r="F23" s="5" t="str">
        <f t="shared" si="3"/>
        <v>0.000198786079877688-0.000565876731167346i</v>
      </c>
      <c r="G23" s="5" t="str">
        <f t="shared" si="3"/>
        <v>0.000200825768531945-0.000486427592880263i</v>
      </c>
      <c r="H23" s="5" t="str">
        <f t="shared" si="3"/>
        <v>0.000201276943823281-0.000414229791361968i</v>
      </c>
      <c r="I23" s="5" t="str">
        <f t="shared" si="3"/>
        <v>0.000200068013136073-0.000390652279699176i</v>
      </c>
      <c r="J23" s="5" t="str">
        <f t="shared" si="3"/>
        <v>0.000196323230261007-0.000357052637524812i</v>
      </c>
      <c r="K23" s="5" t="str">
        <f t="shared" si="3"/>
        <v>0.000191223660563974-0.000329143518731472i</v>
      </c>
      <c r="L23" s="5" t="str">
        <f t="shared" si="3"/>
        <v>0.000185722778128035-0.000305852087698641i</v>
      </c>
      <c r="M23" s="5" t="str">
        <f t="shared" si="3"/>
        <v>0.000180823068617569-0.000286363241345536i</v>
      </c>
      <c r="N23" s="5" t="str">
        <f t="shared" si="3"/>
        <v>0.000173825339195445-0.000253120353241339i</v>
      </c>
      <c r="O23" s="5" t="str">
        <f t="shared" si="3"/>
        <v>0.000170326433834778-0.000230042720868009i</v>
      </c>
      <c r="P23" s="5" t="str">
        <f t="shared" si="3"/>
        <v>0.000167826060039268-0.000210859110832052i</v>
      </c>
      <c r="Q23" s="5" t="str">
        <f t="shared" si="3"/>
        <v>0.000165126159191042-0.000194634833203561i</v>
      </c>
      <c r="R23" s="5" t="str">
        <f t="shared" si="3"/>
        <v>0.000162101176564305-0.000181106359057739i</v>
      </c>
      <c r="S23" s="5" t="str">
        <f t="shared" si="3"/>
        <v>0.000158989440545571-0.000169807591598476i</v>
      </c>
      <c r="T23" s="5" t="str">
        <f t="shared" si="3"/>
        <v>0.000156112137436829-0.000160274446915087i</v>
      </c>
      <c r="U23" s="5" t="str">
        <f t="shared" si="3"/>
        <v>0.000153821220520207-0.000152078559946159i</v>
      </c>
      <c r="V23" s="5" t="str">
        <f t="shared" si="3"/>
        <v>0.000152204473924263-0.000144813195089729i</v>
      </c>
      <c r="W23" s="5" t="str">
        <f t="shared" si="3"/>
        <v>0.000151068815313565-0.000138173542302543i</v>
      </c>
      <c r="X23" s="5" t="str">
        <f t="shared" si="3"/>
        <v>0.000150229846056911-0.000132027921645704i</v>
      </c>
      <c r="Y23" s="5" t="str">
        <f t="shared" si="3"/>
        <v>0.00014952375092897-0.000126307091828439i</v>
      </c>
      <c r="Z23" s="5" t="str">
        <f t="shared" si="3"/>
        <v>0.000148813206111176-0.000120978342529966i</v>
      </c>
      <c r="AA23" s="5" t="str">
        <f t="shared" si="3"/>
        <v>0.000146430168316371-0.000107566582233405i</v>
      </c>
      <c r="AB23" s="5" t="str">
        <f t="shared" si="3"/>
        <v>0.000144589567507196-0.0000999262729343718i</v>
      </c>
      <c r="AC23" s="5" t="str">
        <f t="shared" si="3"/>
        <v>0.000142832518750321-0.0000934525498410214i</v>
      </c>
      <c r="AD23" s="5" t="str">
        <f t="shared" si="3"/>
        <v>0.000141400560483098-0.0000880363302529519i</v>
      </c>
      <c r="AE23" s="5" t="str">
        <f t="shared" si="3"/>
        <v>0.000140357356998636-0.0000836595146210882i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0.0000565486677646163i</v>
      </c>
      <c r="C24" s="6" t="str">
        <f t="shared" si="4"/>
        <v>0.0000678584013175395i</v>
      </c>
      <c r="D24" s="6" t="str">
        <f t="shared" si="4"/>
        <v>0.000101787601976309i</v>
      </c>
      <c r="E24" s="6" t="str">
        <f t="shared" si="4"/>
        <v>0.000113097335529233i</v>
      </c>
      <c r="F24" s="6" t="str">
        <f t="shared" si="4"/>
        <v>0.000141371669411541i</v>
      </c>
      <c r="G24" s="6" t="str">
        <f t="shared" si="4"/>
        <v>0.000169646003293849i</v>
      </c>
      <c r="H24" s="6" t="str">
        <f t="shared" si="4"/>
        <v>0.00020923007072908i</v>
      </c>
      <c r="I24" s="6" t="str">
        <f t="shared" si="4"/>
        <v>0.000226194671058465i</v>
      </c>
      <c r="J24" s="6" t="str">
        <f t="shared" si="4"/>
        <v>0.000254469004940773i</v>
      </c>
      <c r="K24" s="6" t="str">
        <f t="shared" si="4"/>
        <v>0.000282743338823081i</v>
      </c>
      <c r="L24" s="6" t="str">
        <f t="shared" si="4"/>
        <v>0.000311017672705389i</v>
      </c>
      <c r="M24" s="6" t="str">
        <f t="shared" si="4"/>
        <v>0.000339292006587698i</v>
      </c>
      <c r="N24" s="6" t="str">
        <f t="shared" si="4"/>
        <v>0.000401495541128776i</v>
      </c>
      <c r="O24" s="6" t="str">
        <f t="shared" si="4"/>
        <v>0.000458044208893392i</v>
      </c>
      <c r="P24" s="6" t="str">
        <f t="shared" si="4"/>
        <v>0.000514592876658008i</v>
      </c>
      <c r="Q24" s="6" t="str">
        <f t="shared" si="4"/>
        <v>0.000571141544422624i</v>
      </c>
      <c r="R24" s="6" t="str">
        <f t="shared" si="4"/>
        <v>0.000627690212187241i</v>
      </c>
      <c r="S24" s="6" t="str">
        <f t="shared" si="4"/>
        <v>0.000684238879951857i</v>
      </c>
      <c r="T24" s="6" t="str">
        <f t="shared" si="4"/>
        <v>0.000740787547716473i</v>
      </c>
      <c r="U24" s="6" t="str">
        <f t="shared" si="4"/>
        <v>0.00079733621548109i</v>
      </c>
      <c r="V24" s="6" t="str">
        <f t="shared" si="4"/>
        <v>0.000853884883245706i</v>
      </c>
      <c r="W24" s="6" t="str">
        <f t="shared" si="4"/>
        <v>0.000910433551010322i</v>
      </c>
      <c r="X24" s="6" t="str">
        <f t="shared" si="4"/>
        <v>0.000966982218774938i</v>
      </c>
      <c r="Y24" s="6" t="str">
        <f t="shared" si="4"/>
        <v>0.00102353088653955i</v>
      </c>
      <c r="Z24" s="6" t="str">
        <f t="shared" si="4"/>
        <v>0.00108007955430417i</v>
      </c>
      <c r="AA24" s="6" t="str">
        <f t="shared" si="4"/>
        <v>0.00124407069082156i</v>
      </c>
      <c r="AB24" s="6" t="str">
        <f t="shared" si="4"/>
        <v>0.00135716802635079i</v>
      </c>
      <c r="AC24" s="6" t="str">
        <f t="shared" si="4"/>
        <v>0.00147026536188002i</v>
      </c>
      <c r="AD24" s="6" t="str">
        <f t="shared" si="4"/>
        <v>0.00158336269740926i</v>
      </c>
      <c r="AE24" s="6" t="str">
        <f t="shared" si="4"/>
        <v>0.00169646003293849i</v>
      </c>
    </row>
    <row r="25" spans="1:31" x14ac:dyDescent="0.2">
      <c r="A25" t="s">
        <v>14</v>
      </c>
      <c r="B25" s="6" t="str">
        <f t="shared" ref="B25:AE25" si="5">IMDIV(1,IMSUM(B23,B24))</f>
        <v>78.9555691096787+895.660680548587i</v>
      </c>
      <c r="C25" s="6" t="str">
        <f t="shared" si="5"/>
        <v>138.756694508369+1039.27074100436i</v>
      </c>
      <c r="D25" s="6" t="str">
        <f t="shared" si="5"/>
        <v>401.337909681295+1418.05290378096i</v>
      </c>
      <c r="E25" s="6" t="str">
        <f t="shared" si="5"/>
        <v>520.93797814187+1559.95001508275i</v>
      </c>
      <c r="F25" s="6" t="str">
        <f t="shared" si="5"/>
        <v>904.722692653236+1932.0234231338i</v>
      </c>
      <c r="G25" s="6" t="str">
        <f t="shared" si="5"/>
        <v>1427.52015025543+2251.76333530435i</v>
      </c>
      <c r="H25" s="6" t="str">
        <f t="shared" si="5"/>
        <v>2438.6181701226+2483.72234846898i</v>
      </c>
      <c r="I25" s="6" t="str">
        <f t="shared" si="5"/>
        <v>2982.81688941734+2451.90085590075i</v>
      </c>
      <c r="J25" s="6" t="str">
        <f t="shared" si="5"/>
        <v>4001.18983310756+2090.71838922376i</v>
      </c>
      <c r="K25" s="6" t="str">
        <f t="shared" si="5"/>
        <v>4938.69582888766+1198.36831016287i</v>
      </c>
      <c r="L25" s="6" t="str">
        <f t="shared" si="5"/>
        <v>5380.20711244775-149.641942002934i</v>
      </c>
      <c r="M25" s="6" t="str">
        <f t="shared" si="5"/>
        <v>5093.83193430065-1491.01680828035i</v>
      </c>
      <c r="N25" s="6" t="str">
        <f t="shared" si="5"/>
        <v>3328.04630399467-2840.77970414936i</v>
      </c>
      <c r="O25" s="6" t="str">
        <f t="shared" si="5"/>
        <v>2102.90523020426-2814.98009949546i</v>
      </c>
      <c r="P25" s="6" t="str">
        <f t="shared" si="5"/>
        <v>1393.67511200849-2522.29117461975i</v>
      </c>
      <c r="Q25" s="6" t="str">
        <f t="shared" si="5"/>
        <v>976.939405308867-2227.53465807677i</v>
      </c>
      <c r="R25" s="6" t="str">
        <f t="shared" si="5"/>
        <v>718.17090355479-1978.53918221108i</v>
      </c>
      <c r="S25" s="6" t="str">
        <f t="shared" si="5"/>
        <v>548.396040596131-1774.40766332466i</v>
      </c>
      <c r="T25" s="6" t="str">
        <f t="shared" si="5"/>
        <v>432.005055435826-1606.43879720375i</v>
      </c>
      <c r="U25" s="6" t="str">
        <f t="shared" si="5"/>
        <v>349.579056367441-1466.43331507135i</v>
      </c>
      <c r="V25" s="6" t="str">
        <f t="shared" si="5"/>
        <v>289.390253046575-1348.17610792261i</v>
      </c>
      <c r="W25" s="6" t="str">
        <f t="shared" si="5"/>
        <v>243.971305505372-1247.1752169563i</v>
      </c>
      <c r="X25" s="6" t="str">
        <f t="shared" si="5"/>
        <v>208.734409616816-1160.11363149684i</v>
      </c>
      <c r="Y25" s="6" t="str">
        <f t="shared" si="5"/>
        <v>180.722206839898-1084.43149133201i</v>
      </c>
      <c r="Z25" s="6" t="str">
        <f t="shared" si="5"/>
        <v>157.972364043472-1018.13199070342i</v>
      </c>
      <c r="AA25" s="6" t="str">
        <f t="shared" si="5"/>
        <v>111.516275515098-865.523182514754i</v>
      </c>
      <c r="AB25" s="6" t="str">
        <f t="shared" si="5"/>
        <v>90.2802888520966-785.009254901477i</v>
      </c>
      <c r="AC25" s="6" t="str">
        <f t="shared" si="5"/>
        <v>74.5466736978131-718.581569099502i</v>
      </c>
      <c r="AD25" s="6" t="str">
        <f t="shared" si="5"/>
        <v>62.6776905737034-662.823421824599i</v>
      </c>
      <c r="AE25" s="6" t="str">
        <f t="shared" si="5"/>
        <v>53.5546324285568-615.378778754815i</v>
      </c>
    </row>
    <row r="26" spans="1:31" x14ac:dyDescent="0.2">
      <c r="A26" t="s">
        <v>6</v>
      </c>
      <c r="B26" s="5">
        <f t="shared" ref="B26:AE26" si="6">IMREAL(B25)</f>
        <v>78.955569109678706</v>
      </c>
      <c r="C26" s="5">
        <f t="shared" si="6"/>
        <v>138.75669450836901</v>
      </c>
      <c r="D26" s="5">
        <f t="shared" si="6"/>
        <v>401.337909681295</v>
      </c>
      <c r="E26" s="5">
        <f t="shared" si="6"/>
        <v>520.93797814186996</v>
      </c>
      <c r="F26" s="5">
        <f t="shared" si="6"/>
        <v>904.72269265323598</v>
      </c>
      <c r="G26" s="5">
        <f t="shared" si="6"/>
        <v>1427.5201502554301</v>
      </c>
      <c r="H26" s="5">
        <f t="shared" si="6"/>
        <v>2438.6181701226001</v>
      </c>
      <c r="I26" s="5">
        <f t="shared" si="6"/>
        <v>2982.81688941734</v>
      </c>
      <c r="J26" s="5">
        <f t="shared" si="6"/>
        <v>4001.1898331075599</v>
      </c>
      <c r="K26" s="5">
        <f t="shared" si="6"/>
        <v>4938.6958288876604</v>
      </c>
      <c r="L26" s="5">
        <f t="shared" si="6"/>
        <v>5380.2071124477498</v>
      </c>
      <c r="M26" s="5">
        <f t="shared" si="6"/>
        <v>5093.8319343006497</v>
      </c>
      <c r="N26" s="5">
        <f t="shared" si="6"/>
        <v>3328.0463039946699</v>
      </c>
      <c r="O26" s="5">
        <f t="shared" si="6"/>
        <v>2102.9052302042601</v>
      </c>
      <c r="P26" s="5">
        <f t="shared" si="6"/>
        <v>1393.67511200849</v>
      </c>
      <c r="Q26" s="5">
        <f t="shared" si="6"/>
        <v>976.93940530886698</v>
      </c>
      <c r="R26" s="5">
        <f t="shared" si="6"/>
        <v>718.17090355479002</v>
      </c>
      <c r="S26" s="5">
        <f t="shared" si="6"/>
        <v>548.396040596131</v>
      </c>
      <c r="T26" s="5">
        <f t="shared" si="6"/>
        <v>432.00505543582602</v>
      </c>
      <c r="U26" s="5">
        <f t="shared" si="6"/>
        <v>349.57905636744101</v>
      </c>
      <c r="V26" s="5">
        <f t="shared" si="6"/>
        <v>289.39025304657503</v>
      </c>
      <c r="W26" s="5">
        <f t="shared" si="6"/>
        <v>243.97130550537199</v>
      </c>
      <c r="X26" s="5">
        <f t="shared" si="6"/>
        <v>208.73440961681601</v>
      </c>
      <c r="Y26" s="5">
        <f t="shared" si="6"/>
        <v>180.72220683989801</v>
      </c>
      <c r="Z26" s="5">
        <f t="shared" si="6"/>
        <v>157.972364043472</v>
      </c>
      <c r="AA26" s="5">
        <f t="shared" si="6"/>
        <v>111.516275515098</v>
      </c>
      <c r="AB26" s="5">
        <f t="shared" si="6"/>
        <v>90.280288852096604</v>
      </c>
      <c r="AC26" s="5">
        <f t="shared" si="6"/>
        <v>74.546673697813105</v>
      </c>
      <c r="AD26" s="5">
        <f t="shared" si="6"/>
        <v>62.677690573703401</v>
      </c>
      <c r="AE26" s="5">
        <f t="shared" si="6"/>
        <v>53.554632428556801</v>
      </c>
    </row>
    <row r="27" spans="1:31" x14ac:dyDescent="0.2">
      <c r="A27" t="s">
        <v>7</v>
      </c>
      <c r="B27" s="5">
        <f t="shared" ref="B27:AE27" si="7">IMAGINARY(B25)</f>
        <v>895.66068054858704</v>
      </c>
      <c r="C27" s="5">
        <f t="shared" si="7"/>
        <v>1039.2707410043599</v>
      </c>
      <c r="D27" s="5">
        <f t="shared" si="7"/>
        <v>1418.0529037809599</v>
      </c>
      <c r="E27" s="5">
        <f t="shared" si="7"/>
        <v>1559.95001508275</v>
      </c>
      <c r="F27" s="5">
        <f t="shared" si="7"/>
        <v>1932.0234231338</v>
      </c>
      <c r="G27" s="5">
        <f t="shared" si="7"/>
        <v>2251.7633353043502</v>
      </c>
      <c r="H27" s="5">
        <f t="shared" si="7"/>
        <v>2483.7223484689798</v>
      </c>
      <c r="I27" s="5">
        <f t="shared" si="7"/>
        <v>2451.9008559007498</v>
      </c>
      <c r="J27" s="5">
        <f t="shared" si="7"/>
        <v>2090.7183892237599</v>
      </c>
      <c r="K27" s="5">
        <f t="shared" si="7"/>
        <v>1198.3683101628701</v>
      </c>
      <c r="L27" s="5">
        <f t="shared" si="7"/>
        <v>-149.641942002934</v>
      </c>
      <c r="M27" s="5">
        <f t="shared" si="7"/>
        <v>-1491.01680828035</v>
      </c>
      <c r="N27" s="5">
        <f t="shared" si="7"/>
        <v>-2840.77970414936</v>
      </c>
      <c r="O27" s="5">
        <f t="shared" si="7"/>
        <v>-2814.9800994954599</v>
      </c>
      <c r="P27" s="5">
        <f t="shared" si="7"/>
        <v>-2522.2911746197501</v>
      </c>
      <c r="Q27" s="5">
        <f t="shared" si="7"/>
        <v>-2227.53465807677</v>
      </c>
      <c r="R27" s="5">
        <f t="shared" si="7"/>
        <v>-1978.5391822110801</v>
      </c>
      <c r="S27" s="5">
        <f t="shared" si="7"/>
        <v>-1774.40766332466</v>
      </c>
      <c r="T27" s="5">
        <f t="shared" si="7"/>
        <v>-1606.43879720375</v>
      </c>
      <c r="U27" s="5">
        <f t="shared" si="7"/>
        <v>-1466.4333150713501</v>
      </c>
      <c r="V27" s="5">
        <f t="shared" si="7"/>
        <v>-1348.1761079226101</v>
      </c>
      <c r="W27" s="5">
        <f t="shared" si="7"/>
        <v>-1247.1752169562999</v>
      </c>
      <c r="X27" s="5">
        <f t="shared" si="7"/>
        <v>-1160.1136314968401</v>
      </c>
      <c r="Y27" s="5">
        <f t="shared" si="7"/>
        <v>-1084.43149133201</v>
      </c>
      <c r="Z27" s="5">
        <f t="shared" si="7"/>
        <v>-1018.13199070342</v>
      </c>
      <c r="AA27" s="5">
        <f t="shared" si="7"/>
        <v>-865.52318251475401</v>
      </c>
      <c r="AB27" s="5">
        <f t="shared" si="7"/>
        <v>-785.00925490147699</v>
      </c>
      <c r="AC27" s="5">
        <f t="shared" si="7"/>
        <v>-718.58156909950196</v>
      </c>
      <c r="AD27" s="5">
        <f t="shared" si="7"/>
        <v>-662.823421824599</v>
      </c>
      <c r="AE27" s="5">
        <f t="shared" si="7"/>
        <v>-615.37877875481502</v>
      </c>
    </row>
    <row r="28" spans="1:31" x14ac:dyDescent="0.2">
      <c r="A28" t="s">
        <v>15</v>
      </c>
      <c r="B28" s="5">
        <f t="shared" ref="B28:AE28" si="8">IMABS(B25)</f>
        <v>899.13404816756395</v>
      </c>
      <c r="C28" s="5">
        <f t="shared" si="8"/>
        <v>1048.4927722109678</v>
      </c>
      <c r="D28" s="5">
        <f t="shared" si="8"/>
        <v>1473.7524065015002</v>
      </c>
      <c r="E28" s="5">
        <f t="shared" si="8"/>
        <v>1644.6338275212545</v>
      </c>
      <c r="F28" s="5">
        <f t="shared" si="8"/>
        <v>2133.3629925869077</v>
      </c>
      <c r="G28" s="5">
        <f t="shared" si="8"/>
        <v>2666.1305102350593</v>
      </c>
      <c r="H28" s="5">
        <f t="shared" si="8"/>
        <v>3480.7664793743866</v>
      </c>
      <c r="I28" s="5">
        <f t="shared" si="8"/>
        <v>3861.2192896752399</v>
      </c>
      <c r="J28" s="5">
        <f t="shared" si="8"/>
        <v>4514.4903880284983</v>
      </c>
      <c r="K28" s="5">
        <f t="shared" si="8"/>
        <v>5082.0077820754059</v>
      </c>
      <c r="L28" s="5">
        <f t="shared" si="8"/>
        <v>5382.2877369794869</v>
      </c>
      <c r="M28" s="5">
        <f t="shared" si="8"/>
        <v>5307.5658165938576</v>
      </c>
      <c r="N28" s="5">
        <f t="shared" si="8"/>
        <v>4375.6052757349471</v>
      </c>
      <c r="O28" s="5">
        <f t="shared" si="8"/>
        <v>3513.7335368203294</v>
      </c>
      <c r="P28" s="5">
        <f t="shared" si="8"/>
        <v>2881.7153029743513</v>
      </c>
      <c r="Q28" s="5">
        <f t="shared" si="8"/>
        <v>2432.3489171125175</v>
      </c>
      <c r="R28" s="5">
        <f t="shared" si="8"/>
        <v>2104.848389375632</v>
      </c>
      <c r="S28" s="5">
        <f t="shared" si="8"/>
        <v>1857.2185582226969</v>
      </c>
      <c r="T28" s="5">
        <f t="shared" si="8"/>
        <v>1663.5125419074971</v>
      </c>
      <c r="U28" s="5">
        <f t="shared" si="8"/>
        <v>1507.5251852628865</v>
      </c>
      <c r="V28" s="5">
        <f t="shared" si="8"/>
        <v>1378.8856140128946</v>
      </c>
      <c r="W28" s="5">
        <f t="shared" si="8"/>
        <v>1270.8139201708443</v>
      </c>
      <c r="X28" s="5">
        <f t="shared" si="8"/>
        <v>1178.7424195908395</v>
      </c>
      <c r="Y28" s="5">
        <f t="shared" si="8"/>
        <v>1099.3871817688478</v>
      </c>
      <c r="Z28" s="5">
        <f t="shared" si="8"/>
        <v>1030.3145239659548</v>
      </c>
      <c r="AA28" s="5">
        <f t="shared" si="8"/>
        <v>872.67763760464697</v>
      </c>
      <c r="AB28" s="5">
        <f t="shared" si="8"/>
        <v>790.18356148188127</v>
      </c>
      <c r="AC28" s="5">
        <f t="shared" si="8"/>
        <v>722.4380098035474</v>
      </c>
      <c r="AD28" s="5">
        <f t="shared" si="8"/>
        <v>665.78028013371147</v>
      </c>
      <c r="AE28" s="5">
        <f t="shared" si="8"/>
        <v>617.70473528727734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 xr:uid="{00000000-0004-0000-0000-000000000000}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35"/>
  <sheetViews>
    <sheetView topLeftCell="A10" workbookViewId="0">
      <selection activeCell="D33" sqref="D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510</v>
      </c>
    </row>
    <row r="8" spans="1:2" x14ac:dyDescent="0.2">
      <c r="A8" t="s">
        <v>5</v>
      </c>
      <c r="B8" s="3">
        <v>12</v>
      </c>
    </row>
    <row r="9" spans="1:2" x14ac:dyDescent="0.2">
      <c r="A9" t="s">
        <v>8</v>
      </c>
      <c r="B9" s="3">
        <v>1.6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4.6143712895926881E-4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csinterpolate(CSTableU2,'FT114-43'!B18*1000000)</f>
        <v>62.806156889999997</v>
      </c>
      <c r="C19" s="7">
        <f>csinterpolate(CSTableU2,'FT114-43'!C18*1000000)</f>
        <v>88.590879034678693</v>
      </c>
      <c r="D19" s="7">
        <f>csinterpolate(CSTableU2,'FT114-43'!D18*1000000)</f>
        <v>149.31944870511313</v>
      </c>
      <c r="E19" s="7">
        <f>csinterpolate(CSTableU2,'FT114-43'!E18*1000000)</f>
        <v>164.84693443845484</v>
      </c>
      <c r="F19" s="7">
        <f>csinterpolate(CSTableU2,'FT114-43'!F18*1000000)</f>
        <v>194.09240685957292</v>
      </c>
      <c r="G19" s="7">
        <f>csinterpolate(CSTableU2,'FT114-43'!G18*1000000)</f>
        <v>212.25123818145755</v>
      </c>
      <c r="H19" s="7">
        <f>csinterpolate(CSTableU2,'FT114-43'!H18*1000000)</f>
        <v>222.61469783871939</v>
      </c>
      <c r="I19" s="7">
        <f>csinterpolate(CSTableU2,'FT114-43'!I18*1000000)</f>
        <v>227.99294072128737</v>
      </c>
      <c r="J19" s="7">
        <f>csinterpolate(CSTableU2,'FT114-43'!J18*1000000)</f>
        <v>230.73650181843422</v>
      </c>
      <c r="K19" s="7">
        <f>csinterpolate(CSTableU2,'FT114-43'!K18*1000000)</f>
        <v>231.76055744625637</v>
      </c>
      <c r="L19" s="7">
        <f>csinterpolate(CSTableU2,'FT114-43'!L18*1000000)</f>
        <v>231.5816749650173</v>
      </c>
      <c r="M19" s="7">
        <f>csinterpolate(CSTableU2,'FT114-43'!M18*1000000)</f>
        <v>230.71610985828033</v>
      </c>
      <c r="N19" s="7">
        <f>csinterpolate(CSTableU2,'FT114-43'!N18*1000000)</f>
        <v>228.27786020805809</v>
      </c>
      <c r="O19" s="7">
        <f>csinterpolate(CSTableU2,'FT114-43'!O18*1000000)</f>
        <v>225.61849570541494</v>
      </c>
      <c r="P19" s="7">
        <f>csinterpolate(CSTableU2,'FT114-43'!P18*1000000)</f>
        <v>223.21661937748814</v>
      </c>
      <c r="Q19" s="7">
        <f>csinterpolate(CSTableU2,'FT114-43'!Q18*1000000)</f>
        <v>220.6469586</v>
      </c>
      <c r="R19" s="7">
        <f>csinterpolate(CSTableU2,'FT114-43'!R18*1000000)</f>
        <v>217.42371569860856</v>
      </c>
      <c r="S19" s="7">
        <f>csinterpolate(CSTableU2,'FT114-43'!S18*1000000)</f>
        <v>213.62398562766845</v>
      </c>
      <c r="T19" s="7">
        <f>csinterpolate(CSTableU2,'FT114-43'!T18*1000000)</f>
        <v>209.4656387187986</v>
      </c>
      <c r="U19" s="7">
        <f>csinterpolate(CSTableU2,'FT114-43'!U18*1000000)</f>
        <v>205.16650282262194</v>
      </c>
      <c r="V19" s="7">
        <f>csinterpolate(CSTableU2,'FT114-43'!V18*1000000)</f>
        <v>200.94438123173398</v>
      </c>
      <c r="W19" s="7">
        <f>csinterpolate(CSTableU2,'FT114-43'!W18*1000000)</f>
        <v>196.96248291112678</v>
      </c>
      <c r="X19" s="7">
        <f>csinterpolate(CSTableU2,'FT114-43'!X18*1000000)</f>
        <v>193.22040777268447</v>
      </c>
      <c r="Y19" s="7">
        <f>csinterpolate(CSTableU2,'FT114-43'!Y18*1000000)</f>
        <v>189.68726462651435</v>
      </c>
      <c r="Z19" s="7">
        <f>csinterpolate(CSTableU2,'FT114-43'!Z18*1000000)</f>
        <v>186.33214134317572</v>
      </c>
      <c r="AA19" s="7">
        <f>csinterpolate(CSTableU2,'FT114-43'!AA18*1000000)</f>
        <v>177.04080458652163</v>
      </c>
      <c r="AB19" s="7">
        <f>csinterpolate(CSTableU2,'FT114-43'!AB18*1000000)</f>
        <v>171.24984986633834</v>
      </c>
      <c r="AC19" s="7">
        <f>csinterpolate(CSTableU2,'FT114-43'!AC18*1000000)</f>
        <v>165.57249087919985</v>
      </c>
      <c r="AD19" s="7">
        <f>csinterpolate(CSTableU2,'FT114-43'!AD18*1000000)</f>
        <v>159.82992478445121</v>
      </c>
      <c r="AE19" s="7">
        <f>csinterpolate(CSTableU2,'FT114-43'!AE18*1000000)</f>
        <v>153.87192534130403</v>
      </c>
    </row>
    <row r="20" spans="1:31" x14ac:dyDescent="0.2">
      <c r="A20" t="s">
        <v>3</v>
      </c>
      <c r="B20" s="7">
        <f>csinterpolate(CSTableU1,'FT114-43'!B18*1000000)</f>
        <v>748.82965526252349</v>
      </c>
      <c r="C20" s="7">
        <f>csinterpolate(CSTableU1,'FT114-43'!C18*1000000)</f>
        <v>711.16368591923231</v>
      </c>
      <c r="D20" s="7">
        <f>csinterpolate(CSTableU1,'FT114-43'!D18*1000000)</f>
        <v>609.84521067104197</v>
      </c>
      <c r="E20" s="7">
        <f>csinterpolate(CSTableU1,'FT114-43'!E18*1000000)</f>
        <v>590.43683517566922</v>
      </c>
      <c r="F20" s="7">
        <f>csinterpolate(CSTableU1,'FT114-43'!F18*1000000)</f>
        <v>552.51543169258457</v>
      </c>
      <c r="G20" s="7">
        <f>csinterpolate(CSTableU1,'FT114-43'!G18*1000000)</f>
        <v>514.10164955020889</v>
      </c>
      <c r="H20" s="7">
        <f>csinterpolate(CSTableU1,'FT114-43'!H18*1000000)</f>
        <v>477.05218730162227</v>
      </c>
      <c r="I20" s="7">
        <f>csinterpolate(CSTableU1,'FT114-43'!I18*1000000)</f>
        <v>445.17842033805402</v>
      </c>
      <c r="J20" s="7">
        <f>csinterpolate(CSTableU1,'FT114-43'!J18*1000000)</f>
        <v>419.63998064819731</v>
      </c>
      <c r="K20" s="7">
        <f>csinterpolate(CSTableU1,'FT114-43'!K18*1000000)</f>
        <v>398.91760860580126</v>
      </c>
      <c r="L20" s="7">
        <f>csinterpolate(CSTableU1,'FT114-43'!L18*1000000)</f>
        <v>381.37346142845843</v>
      </c>
      <c r="M20" s="7">
        <f>csinterpolate(CSTableU1,'FT114-43'!M18*1000000)</f>
        <v>365.37712557783078</v>
      </c>
      <c r="N20" s="7">
        <f>csinterpolate(CSTableU1,'FT114-43'!N18*1000000)</f>
        <v>334.94222955130334</v>
      </c>
      <c r="O20" s="7">
        <f>csinterpolate(CSTableU1,'FT114-43'!O18*1000000)</f>
        <v>307.00600947171955</v>
      </c>
      <c r="P20" s="7">
        <f>csinterpolate(CSTableU1,'FT114-43'!P18*1000000)</f>
        <v>282.39915680429408</v>
      </c>
      <c r="Q20" s="7">
        <f>csinterpolate(CSTableU1,'FT114-43'!Q18*1000000)</f>
        <v>261.62060355602716</v>
      </c>
      <c r="R20" s="7">
        <f>csinterpolate(CSTableU1,'FT114-43'!R18*1000000)</f>
        <v>244.11539967135678</v>
      </c>
      <c r="S20" s="7">
        <f>csinterpolate(CSTableU1,'FT114-43'!S18*1000000)</f>
        <v>229.11984224841194</v>
      </c>
      <c r="T20" s="7">
        <f>csinterpolate(CSTableU1,'FT114-43'!T18*1000000)</f>
        <v>215.87024501467678</v>
      </c>
      <c r="U20" s="7">
        <f>csinterpolate(CSTableU1,'FT114-43'!U18*1000000)</f>
        <v>203.61154173946414</v>
      </c>
      <c r="V20" s="7">
        <f>csinterpolate(CSTableU1,'FT114-43'!V18*1000000)</f>
        <v>191.93148822449245</v>
      </c>
      <c r="W20" s="7">
        <f>csinterpolate(CSTableU1,'FT114-43'!W18*1000000)</f>
        <v>180.86787915758393</v>
      </c>
      <c r="X20" s="7">
        <f>csinterpolate(CSTableU1,'FT114-43'!X18*1000000)</f>
        <v>170.48900691856036</v>
      </c>
      <c r="Y20" s="7">
        <f>csinterpolate(CSTableU1,'FT114-43'!Y18*1000000)</f>
        <v>160.86317032687728</v>
      </c>
      <c r="Z20" s="7">
        <f>csinterpolate(CSTableU1,'FT114-43'!Z18*1000000)</f>
        <v>152.05044940691147</v>
      </c>
      <c r="AA20" s="7">
        <f>csinterpolate(CSTableU1,'FT114-43'!AA18*1000000)</f>
        <v>130.0529425335306</v>
      </c>
      <c r="AB20" s="7">
        <f>csinterpolate(CSTableU1,'FT114-43'!AB18*1000000)</f>
        <v>118.35127203670631</v>
      </c>
      <c r="AC20" s="7">
        <f>csinterpolate(CSTableU1,'FT114-43'!AC18*1000000)</f>
        <v>108.33087305026413</v>
      </c>
      <c r="AD20" s="7">
        <f>csinterpolate(CSTableU1,'FT114-43'!AD18*1000000)</f>
        <v>99.51049694962343</v>
      </c>
      <c r="AE20" s="7">
        <f>csinterpolate(CSTableU1,'FT114-43'!AE18*1000000)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36.226365895358747</v>
      </c>
      <c r="C21" s="5">
        <f t="shared" si="1"/>
        <v>61.318681310610017</v>
      </c>
      <c r="D21" s="5">
        <f t="shared" si="1"/>
        <v>155.02845984360346</v>
      </c>
      <c r="E21" s="5">
        <f t="shared" si="1"/>
        <v>190.16624036254353</v>
      </c>
      <c r="F21" s="5">
        <f t="shared" si="1"/>
        <v>279.8795092939863</v>
      </c>
      <c r="G21" s="5">
        <f t="shared" si="1"/>
        <v>367.27725736688143</v>
      </c>
      <c r="H21" s="5">
        <f t="shared" si="1"/>
        <v>449.41175577739796</v>
      </c>
      <c r="I21" s="5">
        <f t="shared" si="1"/>
        <v>526.02203994705803</v>
      </c>
      <c r="J21" s="5">
        <f t="shared" si="1"/>
        <v>598.89593781676899</v>
      </c>
      <c r="K21" s="5">
        <f t="shared" si="1"/>
        <v>668.3932889625014</v>
      </c>
      <c r="L21" s="5">
        <f t="shared" si="1"/>
        <v>734.66513460612362</v>
      </c>
      <c r="M21" s="5">
        <f t="shared" si="1"/>
        <v>798.45734503242102</v>
      </c>
      <c r="N21" s="5">
        <f t="shared" si="1"/>
        <v>921.68895366950176</v>
      </c>
      <c r="O21" s="5">
        <f t="shared" si="1"/>
        <v>1041.0875089841579</v>
      </c>
      <c r="P21" s="5">
        <f t="shared" si="1"/>
        <v>1158.7549047923476</v>
      </c>
      <c r="Q21" s="5">
        <f t="shared" si="1"/>
        <v>1272.6837386247332</v>
      </c>
      <c r="R21" s="5">
        <f t="shared" si="1"/>
        <v>1379.5014081698059</v>
      </c>
      <c r="S21" s="5">
        <f t="shared" si="1"/>
        <v>1478.6105790730114</v>
      </c>
      <c r="T21" s="5">
        <f t="shared" si="1"/>
        <v>1570.6473728728558</v>
      </c>
      <c r="U21" s="5">
        <f t="shared" si="1"/>
        <v>1656.7502353689767</v>
      </c>
      <c r="V21" s="5">
        <f t="shared" si="1"/>
        <v>1738.559969176277</v>
      </c>
      <c r="W21" s="5">
        <f t="shared" si="1"/>
        <v>1817.7160525439879</v>
      </c>
      <c r="X21" s="5">
        <f t="shared" si="1"/>
        <v>1894.6302421530427</v>
      </c>
      <c r="Y21" s="5">
        <f t="shared" si="1"/>
        <v>1969.3968027614064</v>
      </c>
      <c r="Z21" s="5">
        <f t="shared" si="1"/>
        <v>2042.0384979379073</v>
      </c>
      <c r="AA21" s="5">
        <f t="shared" si="1"/>
        <v>2246.5630158686959</v>
      </c>
      <c r="AB21" s="5">
        <f t="shared" si="1"/>
        <v>2370.6311717108692</v>
      </c>
      <c r="AC21" s="5">
        <f t="shared" si="1"/>
        <v>2483.0420818428124</v>
      </c>
      <c r="AD21" s="5">
        <f t="shared" si="1"/>
        <v>2581.3011565009569</v>
      </c>
      <c r="AE21" s="5">
        <f t="shared" si="1"/>
        <v>2662.5832296347357</v>
      </c>
    </row>
    <row r="22" spans="1:31" x14ac:dyDescent="0.2">
      <c r="A22" t="s">
        <v>11</v>
      </c>
      <c r="B22" s="5">
        <f t="shared" ref="B22:AE22" si="2">B20/$B$13*$B$16*B18*1000000</f>
        <v>431.92225775487231</v>
      </c>
      <c r="C22" s="5">
        <f t="shared" si="2"/>
        <v>492.23599417599257</v>
      </c>
      <c r="D22" s="5">
        <f t="shared" si="2"/>
        <v>633.16175202361364</v>
      </c>
      <c r="E22" s="5">
        <f t="shared" si="2"/>
        <v>681.12369513814451</v>
      </c>
      <c r="F22" s="5">
        <f t="shared" si="2"/>
        <v>796.72229533099141</v>
      </c>
      <c r="G22" s="5">
        <f t="shared" si="2"/>
        <v>889.59595935627215</v>
      </c>
      <c r="H22" s="5">
        <f t="shared" si="2"/>
        <v>963.06696356587474</v>
      </c>
      <c r="I22" s="5">
        <f t="shared" si="2"/>
        <v>1027.1092607770709</v>
      </c>
      <c r="J22" s="5">
        <f t="shared" si="2"/>
        <v>1089.2107567509033</v>
      </c>
      <c r="K22" s="5">
        <f t="shared" si="2"/>
        <v>1150.4712250397392</v>
      </c>
      <c r="L22" s="5">
        <f t="shared" si="2"/>
        <v>1209.8616413317932</v>
      </c>
      <c r="M22" s="5">
        <f t="shared" si="2"/>
        <v>1264.4892886051834</v>
      </c>
      <c r="N22" s="5">
        <f t="shared" si="2"/>
        <v>1352.3543317494855</v>
      </c>
      <c r="O22" s="5">
        <f t="shared" si="2"/>
        <v>1416.6397158387238</v>
      </c>
      <c r="P22" s="5">
        <f t="shared" si="2"/>
        <v>1465.9813815332827</v>
      </c>
      <c r="Q22" s="5">
        <f t="shared" si="2"/>
        <v>1509.0182522685529</v>
      </c>
      <c r="R22" s="5">
        <f t="shared" si="2"/>
        <v>1548.8537509375603</v>
      </c>
      <c r="S22" s="5">
        <f t="shared" si="2"/>
        <v>1585.8660329206168</v>
      </c>
      <c r="T22" s="5">
        <f t="shared" si="2"/>
        <v>1618.6713739187282</v>
      </c>
      <c r="U22" s="5">
        <f t="shared" si="2"/>
        <v>1644.1936917565017</v>
      </c>
      <c r="V22" s="5">
        <f t="shared" si="2"/>
        <v>1660.5809040598035</v>
      </c>
      <c r="W22" s="5">
        <f t="shared" si="2"/>
        <v>1669.1830975885503</v>
      </c>
      <c r="X22" s="5">
        <f t="shared" si="2"/>
        <v>1671.7366047718699</v>
      </c>
      <c r="Y22" s="5">
        <f t="shared" si="2"/>
        <v>1670.1353880957024</v>
      </c>
      <c r="Z22" s="5">
        <f t="shared" si="2"/>
        <v>1666.3409172431798</v>
      </c>
      <c r="AA22" s="5">
        <f t="shared" si="2"/>
        <v>1650.3095514228712</v>
      </c>
      <c r="AB22" s="5">
        <f t="shared" si="2"/>
        <v>1638.3501353188544</v>
      </c>
      <c r="AC22" s="5">
        <f t="shared" si="2"/>
        <v>1624.6063287338593</v>
      </c>
      <c r="AD22" s="5">
        <f t="shared" si="2"/>
        <v>1607.1243304810509</v>
      </c>
      <c r="AE22" s="5">
        <f t="shared" si="2"/>
        <v>1587.0234763088099</v>
      </c>
    </row>
    <row r="23" spans="1:31" x14ac:dyDescent="0.2">
      <c r="A23" t="s">
        <v>12</v>
      </c>
      <c r="B23" s="5" t="str">
        <f t="shared" ref="B23:AE23" si="3">IMDIV(1,COMPLEX(B21,B22))</f>
        <v>0.000192827608417465-0.00229905854276745i</v>
      </c>
      <c r="C23" s="5" t="str">
        <f t="shared" si="3"/>
        <v>0.000249205944389827-0.0020005018563579i</v>
      </c>
      <c r="D23" s="5" t="str">
        <f t="shared" si="3"/>
        <v>0.000364834973719916-0.00149004609471725i</v>
      </c>
      <c r="E23" s="5" t="str">
        <f t="shared" si="3"/>
        <v>0.000380261989999205-0.00136199491168916i</v>
      </c>
      <c r="F23" s="5" t="str">
        <f t="shared" si="3"/>
        <v>0.000392483409344565-0.00111726751115557i</v>
      </c>
      <c r="G23" s="5" t="str">
        <f t="shared" si="3"/>
        <v>0.000396510572401037-0.000960403063284835i</v>
      </c>
      <c r="H23" s="5" t="str">
        <f t="shared" si="3"/>
        <v>0.000397896528860228-0.000852672403284056i</v>
      </c>
      <c r="I23" s="5" t="str">
        <f t="shared" si="3"/>
        <v>0.000395014459487072-0.000771304201475769i</v>
      </c>
      <c r="J23" s="5" t="str">
        <f t="shared" si="3"/>
        <v>0.000387620756915116-0.000704965038685972i</v>
      </c>
      <c r="K23" s="5" t="str">
        <f t="shared" si="3"/>
        <v>0.000377552162061223-0.000649861250218727i</v>
      </c>
      <c r="L23" s="5" t="str">
        <f t="shared" si="3"/>
        <v>0.000366691214985911-0.000603874628489964i</v>
      </c>
      <c r="M23" s="5" t="str">
        <f t="shared" si="3"/>
        <v>0.000357017224258544-0.000565395833266649i</v>
      </c>
      <c r="N23" s="5" t="str">
        <f t="shared" si="3"/>
        <v>0.000344122732055036-0.000504916398851592i</v>
      </c>
      <c r="O23" s="5" t="str">
        <f t="shared" si="3"/>
        <v>0.000336841806257623-0.000458350980663491i</v>
      </c>
      <c r="P23" s="5" t="str">
        <f t="shared" si="3"/>
        <v>0.000331848944942875-0.000419833713545226i</v>
      </c>
      <c r="Q23" s="5" t="str">
        <f t="shared" si="3"/>
        <v>0.000326592113591969-0.000387239536029434i</v>
      </c>
      <c r="R23" s="5" t="str">
        <f t="shared" si="3"/>
        <v>0.000320667215755707-0.000360033427283601i</v>
      </c>
      <c r="S23" s="5" t="str">
        <f t="shared" si="3"/>
        <v>0.000314513657778753-0.000337327849414985i</v>
      </c>
      <c r="T23" s="5" t="str">
        <f t="shared" si="3"/>
        <v>0.000308755268838934-0.000318195747720274i</v>
      </c>
      <c r="U23" s="5" t="str">
        <f t="shared" si="3"/>
        <v>0.000304091624283459-0.000301786907699758i</v>
      </c>
      <c r="V23" s="5" t="str">
        <f t="shared" si="3"/>
        <v>0.000300782692712576-0.000287291784376491i</v>
      </c>
      <c r="W23" s="5" t="str">
        <f t="shared" si="3"/>
        <v>0.000298462610823569-0.000274074019730205i</v>
      </c>
      <c r="X23" s="5" t="str">
        <f t="shared" si="3"/>
        <v>0.000296762718010267-0.000261850089580319i</v>
      </c>
      <c r="Y23" s="5" t="str">
        <f t="shared" si="3"/>
        <v>0.00029535594367466-0.000250474872775149i</v>
      </c>
      <c r="Z23" s="5" t="str">
        <f t="shared" si="3"/>
        <v>0.000293961735850843-0.000239878175189519i</v>
      </c>
      <c r="AA23" s="5" t="str">
        <f t="shared" si="3"/>
        <v>0.000289111851931833-0.000212379553701575i</v>
      </c>
      <c r="AB23" s="5" t="str">
        <f t="shared" si="3"/>
        <v>0.000285477768090189-0.000197294520363343i</v>
      </c>
      <c r="AC23" s="5" t="str">
        <f t="shared" si="3"/>
        <v>0.000282008649493417-0.000184512795846244i</v>
      </c>
      <c r="AD23" s="5" t="str">
        <f t="shared" si="3"/>
        <v>0.000279181389842719-0.000173819007171541i</v>
      </c>
      <c r="AE23" s="5" t="str">
        <f t="shared" si="3"/>
        <v>0.000277121687973885-0.000165177418573771i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0.0000100530964914873i</v>
      </c>
      <c r="C24" s="6" t="str">
        <f t="shared" si="4"/>
        <v>0.0000120637157897848i</v>
      </c>
      <c r="D24" s="6" t="str">
        <f t="shared" si="4"/>
        <v>0.0000180955736846772i</v>
      </c>
      <c r="E24" s="6" t="str">
        <f t="shared" si="4"/>
        <v>0.0000201061929829747i</v>
      </c>
      <c r="F24" s="6" t="str">
        <f t="shared" si="4"/>
        <v>0.0000251327412287183i</v>
      </c>
      <c r="G24" s="6" t="str">
        <f t="shared" si="4"/>
        <v>0.000030159289474462i</v>
      </c>
      <c r="H24" s="6" t="str">
        <f t="shared" si="4"/>
        <v>0.0000351858377202057i</v>
      </c>
      <c r="I24" s="6" t="str">
        <f t="shared" si="4"/>
        <v>0.0000402123859659493i</v>
      </c>
      <c r="J24" s="6" t="str">
        <f t="shared" si="4"/>
        <v>0.000045238934211693i</v>
      </c>
      <c r="K24" s="6" t="str">
        <f t="shared" si="4"/>
        <v>0.0000502654824574367i</v>
      </c>
      <c r="L24" s="6" t="str">
        <f t="shared" si="4"/>
        <v>0.0000552920307031803i</v>
      </c>
      <c r="M24" s="6" t="str">
        <f t="shared" si="4"/>
        <v>0.000060318578948924i</v>
      </c>
      <c r="N24" s="6" t="str">
        <f t="shared" si="4"/>
        <v>0.0000703716754404114i</v>
      </c>
      <c r="O24" s="6" t="str">
        <f t="shared" si="4"/>
        <v>0.0000804247719318987i</v>
      </c>
      <c r="P24" s="6" t="str">
        <f t="shared" si="4"/>
        <v>0.000090477868423386i</v>
      </c>
      <c r="Q24" s="6" t="str">
        <f t="shared" si="4"/>
        <v>0.000100530964914873i</v>
      </c>
      <c r="R24" s="6" t="str">
        <f t="shared" si="4"/>
        <v>0.000110584061406361i</v>
      </c>
      <c r="S24" s="6" t="str">
        <f t="shared" si="4"/>
        <v>0.000120637157897848i</v>
      </c>
      <c r="T24" s="6" t="str">
        <f t="shared" si="4"/>
        <v>0.000130690254389335i</v>
      </c>
      <c r="U24" s="6" t="str">
        <f t="shared" si="4"/>
        <v>0.000140743350880823i</v>
      </c>
      <c r="V24" s="6" t="str">
        <f t="shared" si="4"/>
        <v>0.00015079644737231i</v>
      </c>
      <c r="W24" s="6" t="str">
        <f t="shared" si="4"/>
        <v>0.000160849543863797i</v>
      </c>
      <c r="X24" s="6" t="str">
        <f t="shared" si="4"/>
        <v>0.000170902640355285i</v>
      </c>
      <c r="Y24" s="6" t="str">
        <f t="shared" si="4"/>
        <v>0.000180955736846772i</v>
      </c>
      <c r="Z24" s="6" t="str">
        <f t="shared" si="4"/>
        <v>0.000191008833338259i</v>
      </c>
      <c r="AA24" s="6" t="str">
        <f t="shared" si="4"/>
        <v>0.000221168122812721i</v>
      </c>
      <c r="AB24" s="6" t="str">
        <f t="shared" si="4"/>
        <v>0.000241274315795696i</v>
      </c>
      <c r="AC24" s="6" t="str">
        <f t="shared" si="4"/>
        <v>0.000261380508778671i</v>
      </c>
      <c r="AD24" s="6" t="str">
        <f t="shared" si="4"/>
        <v>0.000281486701761645i</v>
      </c>
      <c r="AE24" s="6" t="str">
        <f t="shared" si="4"/>
        <v>0.00030159289474462i</v>
      </c>
    </row>
    <row r="25" spans="1:31" x14ac:dyDescent="0.2">
      <c r="A25" t="s">
        <v>14</v>
      </c>
      <c r="B25" s="6" t="str">
        <f t="shared" ref="B25:AE25" si="5">IMDIV(1,IMSUM(B23,B24))</f>
        <v>36.5430230783587+433.792544212124i</v>
      </c>
      <c r="C25" s="6" t="str">
        <f t="shared" si="5"/>
        <v>62.0534299687019+495.130271490733i</v>
      </c>
      <c r="D25" s="6" t="str">
        <f t="shared" si="5"/>
        <v>158.641635378272+640.050035421698i</v>
      </c>
      <c r="E25" s="6" t="str">
        <f t="shared" si="5"/>
        <v>195.480865033312+689.823265038078i</v>
      </c>
      <c r="F25" s="6" t="str">
        <f t="shared" si="5"/>
        <v>291.418880482808+810.90992488047i</v>
      </c>
      <c r="G25" s="6" t="str">
        <f t="shared" si="5"/>
        <v>387.757295497206+909.707924561966i</v>
      </c>
      <c r="H25" s="6" t="str">
        <f t="shared" si="5"/>
        <v>481.361811219617+988.967697141558i</v>
      </c>
      <c r="I25" s="6" t="str">
        <f t="shared" si="5"/>
        <v>572.043946698531+1058.73756643311i</v>
      </c>
      <c r="J25" s="6" t="str">
        <f t="shared" si="5"/>
        <v>662.046878180507+1126.79623092793i</v>
      </c>
      <c r="K25" s="6" t="str">
        <f t="shared" si="5"/>
        <v>752.004981022752+1194.26942622973i</v>
      </c>
      <c r="L25" s="6" t="str">
        <f t="shared" si="5"/>
        <v>842.183600916979+1259.93546810827i</v>
      </c>
      <c r="M25" s="6" t="str">
        <f t="shared" si="5"/>
        <v>933.221409051309+1320.241363517i</v>
      </c>
      <c r="N25" s="6" t="str">
        <f t="shared" si="5"/>
        <v>1120.01045446579+1414.30538531127i</v>
      </c>
      <c r="O25" s="6" t="str">
        <f t="shared" si="5"/>
        <v>1314.2962627255+1474.60022626188i</v>
      </c>
      <c r="P25" s="6" t="str">
        <f t="shared" si="5"/>
        <v>1518.07168637662+1506.66678572137i</v>
      </c>
      <c r="Q25" s="6" t="str">
        <f t="shared" si="5"/>
        <v>1729.24297141042+1518.06721843381i</v>
      </c>
      <c r="R25" s="6" t="str">
        <f t="shared" si="5"/>
        <v>1942.82009704844+1511.33392317692i</v>
      </c>
      <c r="S25" s="6" t="str">
        <f t="shared" si="5"/>
        <v>2156.06833069729+1485.46788345087i</v>
      </c>
      <c r="T25" s="6" t="str">
        <f t="shared" si="5"/>
        <v>2366.15604920973+1436.95444930691i</v>
      </c>
      <c r="U25" s="6" t="str">
        <f t="shared" si="5"/>
        <v>2568.19515669358+1360.08771571284i</v>
      </c>
      <c r="V25" s="6" t="str">
        <f t="shared" si="5"/>
        <v>2756.91448135401+1251.08917614391i</v>
      </c>
      <c r="W25" s="6" t="str">
        <f t="shared" si="5"/>
        <v>2928.98385069696+1111.1363678058i</v>
      </c>
      <c r="X25" s="6" t="str">
        <f t="shared" si="5"/>
        <v>3080.38308358999+944.030254092639i</v>
      </c>
      <c r="Y25" s="6" t="str">
        <f t="shared" si="5"/>
        <v>3208.01802370761+755.084317167057i</v>
      </c>
      <c r="Z25" s="6" t="str">
        <f t="shared" si="5"/>
        <v>3310.31598642307+550.319799643188i</v>
      </c>
      <c r="AA25" s="6" t="str">
        <f t="shared" si="5"/>
        <v>3455.67563943222-105.047385570393i</v>
      </c>
      <c r="AB25" s="6" t="str">
        <f t="shared" si="5"/>
        <v>3421.69103057691-527.134818813449i</v>
      </c>
      <c r="AC25" s="6" t="str">
        <f t="shared" si="5"/>
        <v>3300.75869881016-899.695000756611i</v>
      </c>
      <c r="AD25" s="6" t="str">
        <f t="shared" si="5"/>
        <v>3118.14035491824-1202.52637044163i</v>
      </c>
      <c r="AE25" s="6" t="str">
        <f t="shared" si="5"/>
        <v>2904.66862398711-1429.84750257824i</v>
      </c>
    </row>
    <row r="26" spans="1:31" x14ac:dyDescent="0.2">
      <c r="A26" t="s">
        <v>6</v>
      </c>
      <c r="B26" s="5">
        <f t="shared" ref="B26:AE26" si="6">IMREAL(B25)</f>
        <v>36.543023078358701</v>
      </c>
      <c r="C26" s="5">
        <f t="shared" si="6"/>
        <v>62.053429968701899</v>
      </c>
      <c r="D26" s="5">
        <f t="shared" si="6"/>
        <v>158.64163537827201</v>
      </c>
      <c r="E26" s="5">
        <f t="shared" si="6"/>
        <v>195.480865033312</v>
      </c>
      <c r="F26" s="5">
        <f t="shared" si="6"/>
        <v>291.41888048280799</v>
      </c>
      <c r="G26" s="5">
        <f t="shared" si="6"/>
        <v>387.75729549720597</v>
      </c>
      <c r="H26" s="5">
        <f t="shared" si="6"/>
        <v>481.36181121961698</v>
      </c>
      <c r="I26" s="5">
        <f t="shared" si="6"/>
        <v>572.04394669853104</v>
      </c>
      <c r="J26" s="5">
        <f t="shared" si="6"/>
        <v>662.04687818050695</v>
      </c>
      <c r="K26" s="5">
        <f t="shared" si="6"/>
        <v>752.00498102275196</v>
      </c>
      <c r="L26" s="5">
        <f t="shared" si="6"/>
        <v>842.183600916979</v>
      </c>
      <c r="M26" s="5">
        <f t="shared" si="6"/>
        <v>933.22140905130902</v>
      </c>
      <c r="N26" s="5">
        <f t="shared" si="6"/>
        <v>1120.01045446579</v>
      </c>
      <c r="O26" s="5">
        <f t="shared" si="6"/>
        <v>1314.2962627254999</v>
      </c>
      <c r="P26" s="5">
        <f t="shared" si="6"/>
        <v>1518.0716863766199</v>
      </c>
      <c r="Q26" s="5">
        <f t="shared" si="6"/>
        <v>1729.2429714104201</v>
      </c>
      <c r="R26" s="5">
        <f t="shared" si="6"/>
        <v>1942.8200970484399</v>
      </c>
      <c r="S26" s="5">
        <f t="shared" si="6"/>
        <v>2156.0683306972901</v>
      </c>
      <c r="T26" s="5">
        <f t="shared" si="6"/>
        <v>2366.1560492097301</v>
      </c>
      <c r="U26" s="5">
        <f t="shared" si="6"/>
        <v>2568.19515669358</v>
      </c>
      <c r="V26" s="5">
        <f t="shared" si="6"/>
        <v>2756.9144813540101</v>
      </c>
      <c r="W26" s="5">
        <f t="shared" si="6"/>
        <v>2928.98385069696</v>
      </c>
      <c r="X26" s="5">
        <f t="shared" si="6"/>
        <v>3080.3830835899898</v>
      </c>
      <c r="Y26" s="5">
        <f t="shared" si="6"/>
        <v>3208.0180237076102</v>
      </c>
      <c r="Z26" s="5">
        <f t="shared" si="6"/>
        <v>3310.3159864230702</v>
      </c>
      <c r="AA26" s="5">
        <f t="shared" si="6"/>
        <v>3455.6756394322201</v>
      </c>
      <c r="AB26" s="5">
        <f t="shared" si="6"/>
        <v>3421.6910305769102</v>
      </c>
      <c r="AC26" s="5">
        <f t="shared" si="6"/>
        <v>3300.7586988101598</v>
      </c>
      <c r="AD26" s="5">
        <f t="shared" si="6"/>
        <v>3118.1403549182401</v>
      </c>
      <c r="AE26" s="5">
        <f t="shared" si="6"/>
        <v>2904.6686239871101</v>
      </c>
    </row>
    <row r="27" spans="1:31" x14ac:dyDescent="0.2">
      <c r="A27" t="s">
        <v>7</v>
      </c>
      <c r="B27" s="5">
        <f t="shared" ref="B27:AE27" si="7">IMAGINARY(B25)</f>
        <v>433.79254421212403</v>
      </c>
      <c r="C27" s="5">
        <f t="shared" si="7"/>
        <v>495.13027149073298</v>
      </c>
      <c r="D27" s="5">
        <f t="shared" si="7"/>
        <v>640.050035421698</v>
      </c>
      <c r="E27" s="5">
        <f t="shared" si="7"/>
        <v>689.82326503807803</v>
      </c>
      <c r="F27" s="5">
        <f t="shared" si="7"/>
        <v>810.90992488047004</v>
      </c>
      <c r="G27" s="5">
        <f t="shared" si="7"/>
        <v>909.70792456196602</v>
      </c>
      <c r="H27" s="5">
        <f t="shared" si="7"/>
        <v>988.96769714155801</v>
      </c>
      <c r="I27" s="5">
        <f t="shared" si="7"/>
        <v>1058.73756643311</v>
      </c>
      <c r="J27" s="5">
        <f t="shared" si="7"/>
        <v>1126.7962309279301</v>
      </c>
      <c r="K27" s="5">
        <f t="shared" si="7"/>
        <v>1194.26942622973</v>
      </c>
      <c r="L27" s="5">
        <f t="shared" si="7"/>
        <v>1259.93546810827</v>
      </c>
      <c r="M27" s="5">
        <f t="shared" si="7"/>
        <v>1320.2413635170001</v>
      </c>
      <c r="N27" s="5">
        <f t="shared" si="7"/>
        <v>1414.3053853112699</v>
      </c>
      <c r="O27" s="5">
        <f t="shared" si="7"/>
        <v>1474.6002262618799</v>
      </c>
      <c r="P27" s="5">
        <f t="shared" si="7"/>
        <v>1506.6667857213699</v>
      </c>
      <c r="Q27" s="5">
        <f t="shared" si="7"/>
        <v>1518.06721843381</v>
      </c>
      <c r="R27" s="5">
        <f t="shared" si="7"/>
        <v>1511.3339231769201</v>
      </c>
      <c r="S27" s="5">
        <f t="shared" si="7"/>
        <v>1485.46788345087</v>
      </c>
      <c r="T27" s="5">
        <f t="shared" si="7"/>
        <v>1436.95444930691</v>
      </c>
      <c r="U27" s="5">
        <f t="shared" si="7"/>
        <v>1360.08771571284</v>
      </c>
      <c r="V27" s="5">
        <f t="shared" si="7"/>
        <v>1251.08917614391</v>
      </c>
      <c r="W27" s="5">
        <f t="shared" si="7"/>
        <v>1111.1363678058001</v>
      </c>
      <c r="X27" s="5">
        <f t="shared" si="7"/>
        <v>944.03025409263898</v>
      </c>
      <c r="Y27" s="5">
        <f t="shared" si="7"/>
        <v>755.08431716705695</v>
      </c>
      <c r="Z27" s="5">
        <f t="shared" si="7"/>
        <v>550.31979964318805</v>
      </c>
      <c r="AA27" s="5">
        <f t="shared" si="7"/>
        <v>-105.047385570393</v>
      </c>
      <c r="AB27" s="5">
        <f t="shared" si="7"/>
        <v>-527.13481881344899</v>
      </c>
      <c r="AC27" s="5">
        <f t="shared" si="7"/>
        <v>-899.69500075661097</v>
      </c>
      <c r="AD27" s="5">
        <f t="shared" si="7"/>
        <v>-1202.52637044163</v>
      </c>
      <c r="AE27" s="5">
        <f t="shared" si="7"/>
        <v>-1429.84750257824</v>
      </c>
    </row>
    <row r="28" spans="1:31" x14ac:dyDescent="0.2">
      <c r="A28" t="s">
        <v>15</v>
      </c>
      <c r="B28" s="5">
        <f t="shared" ref="B28:AE28" si="8">IMABS(B25)</f>
        <v>435.32902952793421</v>
      </c>
      <c r="C28" s="5">
        <f t="shared" si="8"/>
        <v>499.00362114654797</v>
      </c>
      <c r="D28" s="5">
        <f t="shared" si="8"/>
        <v>659.41733092087406</v>
      </c>
      <c r="E28" s="5">
        <f t="shared" si="8"/>
        <v>716.9859870192488</v>
      </c>
      <c r="F28" s="5">
        <f t="shared" si="8"/>
        <v>861.6843216465661</v>
      </c>
      <c r="G28" s="5">
        <f t="shared" si="8"/>
        <v>988.90051482550427</v>
      </c>
      <c r="H28" s="5">
        <f t="shared" si="8"/>
        <v>1099.8937672748702</v>
      </c>
      <c r="I28" s="5">
        <f t="shared" si="8"/>
        <v>1203.3949939779272</v>
      </c>
      <c r="J28" s="5">
        <f t="shared" si="8"/>
        <v>1306.8954873829598</v>
      </c>
      <c r="K28" s="5">
        <f t="shared" si="8"/>
        <v>1411.3082419904299</v>
      </c>
      <c r="L28" s="5">
        <f t="shared" si="8"/>
        <v>1515.4902181969685</v>
      </c>
      <c r="M28" s="5">
        <f t="shared" si="8"/>
        <v>1616.7682135213254</v>
      </c>
      <c r="N28" s="5">
        <f t="shared" si="8"/>
        <v>1804.0740397869276</v>
      </c>
      <c r="O28" s="5">
        <f t="shared" si="8"/>
        <v>1975.3026333971723</v>
      </c>
      <c r="P28" s="5">
        <f t="shared" si="8"/>
        <v>2138.8282886137258</v>
      </c>
      <c r="Q28" s="5">
        <f t="shared" si="8"/>
        <v>2301.0452698405788</v>
      </c>
      <c r="R28" s="5">
        <f t="shared" si="8"/>
        <v>2461.4386356033033</v>
      </c>
      <c r="S28" s="5">
        <f t="shared" si="8"/>
        <v>2618.2523712201246</v>
      </c>
      <c r="T28" s="5">
        <f t="shared" si="8"/>
        <v>2768.3086060977239</v>
      </c>
      <c r="U28" s="5">
        <f t="shared" si="8"/>
        <v>2906.108215001178</v>
      </c>
      <c r="V28" s="5">
        <f t="shared" si="8"/>
        <v>3027.5074870533185</v>
      </c>
      <c r="W28" s="5">
        <f t="shared" si="8"/>
        <v>3132.6618753871689</v>
      </c>
      <c r="X28" s="5">
        <f t="shared" si="8"/>
        <v>3221.7934543216124</v>
      </c>
      <c r="Y28" s="5">
        <f t="shared" si="8"/>
        <v>3295.6838389725008</v>
      </c>
      <c r="Z28" s="5">
        <f t="shared" si="8"/>
        <v>3355.7478766807653</v>
      </c>
      <c r="AA28" s="5">
        <f t="shared" si="8"/>
        <v>3457.2719126763027</v>
      </c>
      <c r="AB28" s="5">
        <f t="shared" si="8"/>
        <v>3462.0572823013727</v>
      </c>
      <c r="AC28" s="5">
        <f t="shared" si="8"/>
        <v>3421.1780254990204</v>
      </c>
      <c r="AD28" s="5">
        <f t="shared" si="8"/>
        <v>3341.9857786317953</v>
      </c>
      <c r="AE28" s="5">
        <f t="shared" si="8"/>
        <v>3237.5243158630333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 xr:uid="{00000000-0004-0000-0100-000000000000}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E35"/>
  <sheetViews>
    <sheetView tabSelected="1" workbookViewId="0">
      <selection activeCell="D8" sqref="D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1075</v>
      </c>
      <c r="D7" s="16" t="s">
        <v>33</v>
      </c>
    </row>
    <row r="8" spans="1:4" x14ac:dyDescent="0.2">
      <c r="A8" t="s">
        <v>5</v>
      </c>
      <c r="B8" s="3">
        <v>11</v>
      </c>
      <c r="D8" s="16" t="s">
        <v>36</v>
      </c>
    </row>
    <row r="9" spans="1:4" x14ac:dyDescent="0.2">
      <c r="A9" t="s">
        <v>8</v>
      </c>
      <c r="B9" s="3">
        <v>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8.1728532883138482E-4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csinterpolate(CSTableU2,'FT240-43'!B18*1000000)</f>
        <v>62.806156889999997</v>
      </c>
      <c r="C19" s="7">
        <f>csinterpolate(CSTableU2,'FT240-43'!C18*1000000)</f>
        <v>88.590879034678693</v>
      </c>
      <c r="D19" s="7">
        <f>csinterpolate(CSTableU2,'FT240-43'!D18*1000000)</f>
        <v>149.31944870511313</v>
      </c>
      <c r="E19" s="7">
        <f>csinterpolate(CSTableU2,'FT240-43'!E18*1000000)</f>
        <v>164.84693443845484</v>
      </c>
      <c r="F19" s="7">
        <f>csinterpolate(CSTableU2,'FT240-43'!F18*1000000)</f>
        <v>194.09240685957292</v>
      </c>
      <c r="G19" s="7">
        <f>csinterpolate(CSTableU2,'FT240-43'!G18*1000000)</f>
        <v>212.25123818145755</v>
      </c>
      <c r="H19" s="7">
        <f>csinterpolate(CSTableU2,'FT240-43'!H18*1000000)</f>
        <v>222.61469783871939</v>
      </c>
      <c r="I19" s="7">
        <f>csinterpolate(CSTableU2,'FT240-43'!I18*1000000)</f>
        <v>227.99294072128737</v>
      </c>
      <c r="J19" s="7">
        <f>csinterpolate(CSTableU2,'FT240-43'!J18*1000000)</f>
        <v>230.73650181843422</v>
      </c>
      <c r="K19" s="7">
        <f>csinterpolate(CSTableU2,'FT240-43'!K18*1000000)</f>
        <v>231.76055744625637</v>
      </c>
      <c r="L19" s="7">
        <f>csinterpolate(CSTableU2,'FT240-43'!L18*1000000)</f>
        <v>231.5816749650173</v>
      </c>
      <c r="M19" s="7">
        <f>csinterpolate(CSTableU2,'FT240-43'!M18*1000000)</f>
        <v>230.71610985828033</v>
      </c>
      <c r="N19" s="7">
        <f>csinterpolate(CSTableU2,'FT240-43'!N18*1000000)</f>
        <v>228.27786020805809</v>
      </c>
      <c r="O19" s="7">
        <f>csinterpolate(CSTableU2,'FT240-43'!O18*1000000)</f>
        <v>225.61849570541494</v>
      </c>
      <c r="P19" s="7">
        <f>csinterpolate(CSTableU2,'FT240-43'!P18*1000000)</f>
        <v>223.21661937748814</v>
      </c>
      <c r="Q19" s="7">
        <f>csinterpolate(CSTableU2,'FT240-43'!Q18*1000000)</f>
        <v>220.6469586</v>
      </c>
      <c r="R19" s="7">
        <f>csinterpolate(CSTableU2,'FT240-43'!R18*1000000)</f>
        <v>217.42371569860856</v>
      </c>
      <c r="S19" s="7">
        <f>csinterpolate(CSTableU2,'FT240-43'!S18*1000000)</f>
        <v>213.62398562766845</v>
      </c>
      <c r="T19" s="7">
        <f>csinterpolate(CSTableU2,'FT240-43'!T18*1000000)</f>
        <v>209.4656387187986</v>
      </c>
      <c r="U19" s="7">
        <f>csinterpolate(CSTableU2,'FT240-43'!U18*1000000)</f>
        <v>205.16650282262194</v>
      </c>
      <c r="V19" s="7">
        <f>csinterpolate(CSTableU2,'FT240-43'!V18*1000000)</f>
        <v>200.94438123173398</v>
      </c>
      <c r="W19" s="7">
        <f>csinterpolate(CSTableU2,'FT240-43'!W18*1000000)</f>
        <v>196.96248291112678</v>
      </c>
      <c r="X19" s="7">
        <f>csinterpolate(CSTableU2,'FT240-43'!X18*1000000)</f>
        <v>193.22040777268447</v>
      </c>
      <c r="Y19" s="7">
        <f>csinterpolate(CSTableU2,'FT240-43'!Y18*1000000)</f>
        <v>189.68726462651435</v>
      </c>
      <c r="Z19" s="7">
        <f>csinterpolate(CSTableU2,'FT240-43'!Z18*1000000)</f>
        <v>186.33214134317572</v>
      </c>
      <c r="AA19" s="7">
        <f>csinterpolate(CSTableU2,'FT240-43'!AA18*1000000)</f>
        <v>177.04080458652163</v>
      </c>
      <c r="AB19" s="7">
        <f>csinterpolate(CSTableU2,'FT240-43'!AB18*1000000)</f>
        <v>171.24984986633834</v>
      </c>
      <c r="AC19" s="7">
        <f>csinterpolate(CSTableU2,'FT240-43'!AC18*1000000)</f>
        <v>165.57249087919985</v>
      </c>
      <c r="AD19" s="7">
        <f>csinterpolate(CSTableU2,'FT240-43'!AD18*1000000)</f>
        <v>159.82992478445121</v>
      </c>
      <c r="AE19" s="7">
        <f>csinterpolate(CSTableU2,'FT240-43'!AE18*1000000)</f>
        <v>153.87192534130403</v>
      </c>
    </row>
    <row r="20" spans="1:31" x14ac:dyDescent="0.2">
      <c r="A20" t="s">
        <v>3</v>
      </c>
      <c r="B20" s="7">
        <f>csinterpolate(CSTableU1,'FT240-43'!B18*1000000)</f>
        <v>748.82965526252349</v>
      </c>
      <c r="C20" s="7">
        <f>csinterpolate(CSTableU1,'FT240-43'!C18*1000000)</f>
        <v>711.16368591923231</v>
      </c>
      <c r="D20" s="7">
        <f>csinterpolate(CSTableU1,'FT240-43'!D18*1000000)</f>
        <v>609.84521067104197</v>
      </c>
      <c r="E20" s="7">
        <f>csinterpolate(CSTableU1,'FT240-43'!E18*1000000)</f>
        <v>590.43683517566922</v>
      </c>
      <c r="F20" s="7">
        <f>csinterpolate(CSTableU1,'FT240-43'!F18*1000000)</f>
        <v>552.51543169258457</v>
      </c>
      <c r="G20" s="7">
        <f>csinterpolate(CSTableU1,'FT240-43'!G18*1000000)</f>
        <v>514.10164955020889</v>
      </c>
      <c r="H20" s="7">
        <f>csinterpolate(CSTableU1,'FT240-43'!H18*1000000)</f>
        <v>477.05218730162227</v>
      </c>
      <c r="I20" s="7">
        <f>csinterpolate(CSTableU1,'FT240-43'!I18*1000000)</f>
        <v>445.17842033805402</v>
      </c>
      <c r="J20" s="7">
        <f>csinterpolate(CSTableU1,'FT240-43'!J18*1000000)</f>
        <v>419.63998064819731</v>
      </c>
      <c r="K20" s="7">
        <f>csinterpolate(CSTableU1,'FT240-43'!K18*1000000)</f>
        <v>398.91760860580126</v>
      </c>
      <c r="L20" s="7">
        <f>csinterpolate(CSTableU1,'FT240-43'!L18*1000000)</f>
        <v>381.37346142845843</v>
      </c>
      <c r="M20" s="7">
        <f>csinterpolate(CSTableU1,'FT240-43'!M18*1000000)</f>
        <v>365.37712557783078</v>
      </c>
      <c r="N20" s="7">
        <f>csinterpolate(CSTableU1,'FT240-43'!N18*1000000)</f>
        <v>334.94222955130334</v>
      </c>
      <c r="O20" s="7">
        <f>csinterpolate(CSTableU1,'FT240-43'!O18*1000000)</f>
        <v>307.00600947171955</v>
      </c>
      <c r="P20" s="7">
        <f>csinterpolate(CSTableU1,'FT240-43'!P18*1000000)</f>
        <v>282.39915680429408</v>
      </c>
      <c r="Q20" s="7">
        <f>csinterpolate(CSTableU1,'FT240-43'!Q18*1000000)</f>
        <v>261.62060355602716</v>
      </c>
      <c r="R20" s="7">
        <f>csinterpolate(CSTableU1,'FT240-43'!R18*1000000)</f>
        <v>244.11539967135678</v>
      </c>
      <c r="S20" s="7">
        <f>csinterpolate(CSTableU1,'FT240-43'!S18*1000000)</f>
        <v>229.11984224841194</v>
      </c>
      <c r="T20" s="7">
        <f>csinterpolate(CSTableU1,'FT240-43'!T18*1000000)</f>
        <v>215.87024501467678</v>
      </c>
      <c r="U20" s="7">
        <f>csinterpolate(CSTableU1,'FT240-43'!U18*1000000)</f>
        <v>203.61154173946414</v>
      </c>
      <c r="V20" s="7">
        <f>csinterpolate(CSTableU1,'FT240-43'!V18*1000000)</f>
        <v>191.93148822449245</v>
      </c>
      <c r="W20" s="7">
        <f>csinterpolate(CSTableU1,'FT240-43'!W18*1000000)</f>
        <v>180.86787915758393</v>
      </c>
      <c r="X20" s="7">
        <f>csinterpolate(CSTableU1,'FT240-43'!X18*1000000)</f>
        <v>170.48900691856036</v>
      </c>
      <c r="Y20" s="7">
        <f>csinterpolate(CSTableU1,'FT240-43'!Y18*1000000)</f>
        <v>160.86317032687728</v>
      </c>
      <c r="Z20" s="7">
        <f>csinterpolate(CSTableU1,'FT240-43'!Z18*1000000)</f>
        <v>152.05044940691147</v>
      </c>
      <c r="AA20" s="7">
        <f>csinterpolate(CSTableU1,'FT240-43'!AA18*1000000)</f>
        <v>130.0529425335306</v>
      </c>
      <c r="AB20" s="7">
        <f>csinterpolate(CSTableU1,'FT240-43'!AB18*1000000)</f>
        <v>118.35127203670631</v>
      </c>
      <c r="AC20" s="7">
        <f>csinterpolate(CSTableU1,'FT240-43'!AC18*1000000)</f>
        <v>108.33087305026413</v>
      </c>
      <c r="AD20" s="7">
        <f>csinterpolate(CSTableU1,'FT240-43'!AD18*1000000)</f>
        <v>99.51049694962343</v>
      </c>
      <c r="AE20" s="7">
        <f>csinterpolate(CSTableU1,'FT240-43'!AE18*1000000)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64.163188233098992</v>
      </c>
      <c r="C21" s="5">
        <f t="shared" si="1"/>
        <v>108.60603855497821</v>
      </c>
      <c r="D21" s="5">
        <f t="shared" si="1"/>
        <v>274.58233815572885</v>
      </c>
      <c r="E21" s="5">
        <f t="shared" si="1"/>
        <v>336.81745254844577</v>
      </c>
      <c r="F21" s="5">
        <f t="shared" si="1"/>
        <v>495.71523926219055</v>
      </c>
      <c r="G21" s="5">
        <f t="shared" si="1"/>
        <v>650.51183622000417</v>
      </c>
      <c r="H21" s="5">
        <f t="shared" si="1"/>
        <v>795.98630355044997</v>
      </c>
      <c r="I21" s="5">
        <f t="shared" si="1"/>
        <v>931.67642764315895</v>
      </c>
      <c r="J21" s="5">
        <f t="shared" si="1"/>
        <v>1060.7487624117139</v>
      </c>
      <c r="K21" s="5">
        <f t="shared" si="1"/>
        <v>1183.8406462663045</v>
      </c>
      <c r="L21" s="5">
        <f t="shared" si="1"/>
        <v>1301.2195994538608</v>
      </c>
      <c r="M21" s="5">
        <f t="shared" si="1"/>
        <v>1414.2066878416692</v>
      </c>
      <c r="N21" s="5">
        <f t="shared" si="1"/>
        <v>1632.4712778943419</v>
      </c>
      <c r="O21" s="5">
        <f t="shared" si="1"/>
        <v>1843.9468645304244</v>
      </c>
      <c r="P21" s="5">
        <f t="shared" si="1"/>
        <v>2052.356266896305</v>
      </c>
      <c r="Q21" s="5">
        <f t="shared" si="1"/>
        <v>2254.1440264380744</v>
      </c>
      <c r="R21" s="5">
        <f t="shared" si="1"/>
        <v>2443.3366784815844</v>
      </c>
      <c r="S21" s="5">
        <f t="shared" si="1"/>
        <v>2618.8762400997007</v>
      </c>
      <c r="T21" s="5">
        <f t="shared" si="1"/>
        <v>2781.8893930615022</v>
      </c>
      <c r="U21" s="5">
        <f t="shared" si="1"/>
        <v>2934.3925226800066</v>
      </c>
      <c r="V21" s="5">
        <f t="shared" si="1"/>
        <v>3079.2917754711907</v>
      </c>
      <c r="W21" s="5">
        <f t="shared" si="1"/>
        <v>3219.4909522693251</v>
      </c>
      <c r="X21" s="5">
        <f t="shared" si="1"/>
        <v>3355.7193456979448</v>
      </c>
      <c r="Y21" s="5">
        <f t="shared" si="1"/>
        <v>3488.1439150216506</v>
      </c>
      <c r="Z21" s="5">
        <f t="shared" si="1"/>
        <v>3616.8049784759442</v>
      </c>
      <c r="AA21" s="5">
        <f t="shared" si="1"/>
        <v>3979.0534353093767</v>
      </c>
      <c r="AB21" s="5">
        <f t="shared" si="1"/>
        <v>4198.7996958100684</v>
      </c>
      <c r="AC21" s="5">
        <f t="shared" si="1"/>
        <v>4397.8989487432455</v>
      </c>
      <c r="AD21" s="5">
        <f t="shared" si="1"/>
        <v>4571.9328422094495</v>
      </c>
      <c r="AE21" s="5">
        <f t="shared" si="1"/>
        <v>4715.8975162682227</v>
      </c>
    </row>
    <row r="22" spans="1:31" x14ac:dyDescent="0.2">
      <c r="A22" t="s">
        <v>11</v>
      </c>
      <c r="B22" s="5">
        <f t="shared" ref="B22:AE22" si="2">B20/$B$13*$B$16*B18*1000000</f>
        <v>765.00936379990503</v>
      </c>
      <c r="C22" s="5">
        <f t="shared" si="2"/>
        <v>871.83547034915921</v>
      </c>
      <c r="D22" s="5">
        <f t="shared" si="2"/>
        <v>1121.4394729639375</v>
      </c>
      <c r="E22" s="5">
        <f t="shared" si="2"/>
        <v>1206.3884074767725</v>
      </c>
      <c r="F22" s="5">
        <f t="shared" si="2"/>
        <v>1411.1336133602767</v>
      </c>
      <c r="G22" s="5">
        <f t="shared" si="2"/>
        <v>1575.6290088952494</v>
      </c>
      <c r="H22" s="5">
        <f t="shared" si="2"/>
        <v>1705.7589227373526</v>
      </c>
      <c r="I22" s="5">
        <f t="shared" si="2"/>
        <v>1819.1889582731146</v>
      </c>
      <c r="J22" s="5">
        <f t="shared" si="2"/>
        <v>1929.1814976085757</v>
      </c>
      <c r="K22" s="5">
        <f t="shared" si="2"/>
        <v>2037.6844307876374</v>
      </c>
      <c r="L22" s="5">
        <f t="shared" si="2"/>
        <v>2142.8751769639571</v>
      </c>
      <c r="M22" s="5">
        <f t="shared" si="2"/>
        <v>2239.6302316900769</v>
      </c>
      <c r="N22" s="5">
        <f t="shared" si="2"/>
        <v>2395.2544894105981</v>
      </c>
      <c r="O22" s="5">
        <f t="shared" si="2"/>
        <v>2509.1150740430558</v>
      </c>
      <c r="P22" s="5">
        <f t="shared" si="2"/>
        <v>2596.5077369681621</v>
      </c>
      <c r="Q22" s="5">
        <f t="shared" si="2"/>
        <v>2672.7335125794129</v>
      </c>
      <c r="R22" s="5">
        <f t="shared" si="2"/>
        <v>2743.2891020316342</v>
      </c>
      <c r="S22" s="5">
        <f t="shared" si="2"/>
        <v>2808.8442842068253</v>
      </c>
      <c r="T22" s="5">
        <f t="shared" si="2"/>
        <v>2866.9482429531399</v>
      </c>
      <c r="U22" s="5">
        <f t="shared" si="2"/>
        <v>2912.1527022770561</v>
      </c>
      <c r="V22" s="5">
        <f t="shared" si="2"/>
        <v>2941.1773024997133</v>
      </c>
      <c r="W22" s="5">
        <f t="shared" si="2"/>
        <v>2956.4132818468229</v>
      </c>
      <c r="X22" s="5">
        <f t="shared" si="2"/>
        <v>2960.9359867334019</v>
      </c>
      <c r="Y22" s="5">
        <f t="shared" si="2"/>
        <v>2958.0999537928719</v>
      </c>
      <c r="Z22" s="5">
        <f t="shared" si="2"/>
        <v>2951.3792866340773</v>
      </c>
      <c r="AA22" s="5">
        <f t="shared" si="2"/>
        <v>2922.9849523601583</v>
      </c>
      <c r="AB22" s="5">
        <f t="shared" si="2"/>
        <v>2901.8027485239659</v>
      </c>
      <c r="AC22" s="5">
        <f t="shared" si="2"/>
        <v>2877.4600791129737</v>
      </c>
      <c r="AD22" s="5">
        <f t="shared" si="2"/>
        <v>2846.496422757662</v>
      </c>
      <c r="AE22" s="5">
        <f t="shared" si="2"/>
        <v>2810.8943175499526</v>
      </c>
    </row>
    <row r="23" spans="1:31" x14ac:dyDescent="0.2">
      <c r="A23" t="s">
        <v>12</v>
      </c>
      <c r="B23" s="5" t="str">
        <f t="shared" ref="B23:AE23" si="3">IMDIV(1,COMPLEX(B21,B22))</f>
        <v>0.000108869956272755-0.00129804235541681i</v>
      </c>
      <c r="C23" s="5" t="str">
        <f t="shared" si="3"/>
        <v>0.00014070101522959-0.00112947804213665i</v>
      </c>
      <c r="D23" s="5" t="str">
        <f t="shared" si="3"/>
        <v>0.000205984858504637-0.000841276073004304i</v>
      </c>
      <c r="E23" s="5" t="str">
        <f t="shared" si="3"/>
        <v>0.000214694910978602-0.000768978714698844i</v>
      </c>
      <c r="F23" s="5" t="str">
        <f t="shared" si="3"/>
        <v>0.000221595091925926-0.000630806273451971i</v>
      </c>
      <c r="G23" s="5" t="str">
        <f t="shared" si="3"/>
        <v>0.000223868817506301-0.000542241022238233i</v>
      </c>
      <c r="H23" s="5" t="str">
        <f t="shared" si="3"/>
        <v>0.000224651324847167-0.000481416577337545i</v>
      </c>
      <c r="I23" s="5" t="str">
        <f t="shared" si="3"/>
        <v>0.000223024116123242-0.000435476306410767i</v>
      </c>
      <c r="J23" s="5" t="str">
        <f t="shared" si="3"/>
        <v>0.000218849651261548-0.000398021391052068i</v>
      </c>
      <c r="K23" s="5" t="str">
        <f t="shared" si="3"/>
        <v>0.000213164949312137-0.00036690993823612i</v>
      </c>
      <c r="L23" s="5" t="str">
        <f t="shared" si="3"/>
        <v>0.000207032887400078-0.000340946013579111i</v>
      </c>
      <c r="M23" s="5" t="str">
        <f t="shared" si="3"/>
        <v>0.000201570977893887-0.000319220987853951i</v>
      </c>
      <c r="N23" s="5" t="str">
        <f t="shared" si="3"/>
        <v>0.000194290781796055-0.00028507445959378i</v>
      </c>
      <c r="O23" s="5" t="str">
        <f t="shared" si="3"/>
        <v>0.00019017999040215-0.000258783747990981i</v>
      </c>
      <c r="P23" s="5" t="str">
        <f t="shared" si="3"/>
        <v>0.00018736103414649-0.000237037001135971i</v>
      </c>
      <c r="Q23" s="5" t="str">
        <f t="shared" si="3"/>
        <v>0.000184393041108547-0.000218634414960612i</v>
      </c>
      <c r="R23" s="5" t="str">
        <f t="shared" si="3"/>
        <v>0.000181047859504894-0.000203273918121912i</v>
      </c>
      <c r="S23" s="5" t="str">
        <f t="shared" si="3"/>
        <v>0.000177573576992286-0.000190454409079658i</v>
      </c>
      <c r="T23" s="5" t="str">
        <f t="shared" si="3"/>
        <v>0.000174322405869932-0.000179652475207204i</v>
      </c>
      <c r="U23" s="5" t="str">
        <f t="shared" si="3"/>
        <v>0.000171689324523369-0.000170388087653048i</v>
      </c>
      <c r="V23" s="5" t="str">
        <f t="shared" si="3"/>
        <v>0.00016982111053478-0.000162204179470379i</v>
      </c>
      <c r="W23" s="5" t="str">
        <f t="shared" si="3"/>
        <v>0.000168511198453838-0.000154741464608774i</v>
      </c>
      <c r="X23" s="5" t="str">
        <f t="shared" si="3"/>
        <v>0.0001675514434801-0.000147839866067874i</v>
      </c>
      <c r="Y23" s="5" t="str">
        <f t="shared" si="3"/>
        <v>0.000166757182421426-0.000141417448830344i</v>
      </c>
      <c r="Z23" s="5" t="str">
        <f t="shared" si="3"/>
        <v>0.000165970016381979-0.000135434581479287i</v>
      </c>
      <c r="AA23" s="5" t="str">
        <f t="shared" si="3"/>
        <v>0.00016323178478473-0.000119908932722227i</v>
      </c>
      <c r="AB23" s="5" t="str">
        <f t="shared" si="3"/>
        <v>0.000161179990686477-0.000111391962909736i</v>
      </c>
      <c r="AC23" s="5" t="str">
        <f t="shared" si="3"/>
        <v>0.000159221335527938-0.000104175435148553i</v>
      </c>
      <c r="AD23" s="5" t="str">
        <f t="shared" si="3"/>
        <v>0.00015762507222794-0.0000981377504261236i</v>
      </c>
      <c r="AE23" s="5" t="str">
        <f t="shared" si="3"/>
        <v>0.000156462170015777-0.000093258732424046i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66.0543760055464+776.121209691286i</v>
      </c>
      <c r="C25" s="6" t="str">
        <f t="shared" si="5"/>
        <v>113.018974759755+889.091106769183i</v>
      </c>
      <c r="D25" s="6" t="str">
        <f t="shared" si="5"/>
        <v>296.70608733216+1162.92398068719i</v>
      </c>
      <c r="E25" s="6" t="str">
        <f t="shared" si="5"/>
        <v>369.613194854682+1258.9520129358i</v>
      </c>
      <c r="F25" s="6" t="str">
        <f t="shared" si="5"/>
        <v>568.499373084364+1497.42968718489i</v>
      </c>
      <c r="G25" s="6" t="str">
        <f t="shared" si="5"/>
        <v>782.718938086786+1698.14004542978i</v>
      </c>
      <c r="H25" s="6" t="str">
        <f t="shared" si="5"/>
        <v>1007.12858799571+1862.46243959485i</v>
      </c>
      <c r="I25" s="6" t="str">
        <f t="shared" si="5"/>
        <v>1243.19460000209+2007.16916091252i</v>
      </c>
      <c r="J25" s="6" t="str">
        <f t="shared" si="5"/>
        <v>1499.08930975014+2145.36488718046i</v>
      </c>
      <c r="K25" s="6" t="str">
        <f t="shared" si="5"/>
        <v>1779.57858481895+2276.28294403666i</v>
      </c>
      <c r="L25" s="6" t="str">
        <f t="shared" si="5"/>
        <v>2087.83938683892+2392.80277221423i</v>
      </c>
      <c r="M25" s="6" t="str">
        <f t="shared" si="5"/>
        <v>2425.12351611603+2479.89726350163i</v>
      </c>
      <c r="N25" s="6" t="str">
        <f t="shared" si="5"/>
        <v>3174.84368086683+2502.20873883585i</v>
      </c>
      <c r="O25" s="6" t="str">
        <f t="shared" si="5"/>
        <v>3976.19150210114+2257.74639144133i</v>
      </c>
      <c r="P25" s="6" t="str">
        <f t="shared" si="5"/>
        <v>4725.88494160853+1699.8310419927i</v>
      </c>
      <c r="Q25" s="6" t="str">
        <f t="shared" si="5"/>
        <v>5282.08425471102+863.351319712441i</v>
      </c>
      <c r="R25" s="6" t="str">
        <f t="shared" si="5"/>
        <v>5520.60985219302-124.141154790607i</v>
      </c>
      <c r="S25" s="6" t="str">
        <f t="shared" si="5"/>
        <v>5412.22114175448-1089.31860679895i</v>
      </c>
      <c r="T25" s="6" t="str">
        <f t="shared" si="5"/>
        <v>5028.86230361019-1886.42483343554i</v>
      </c>
      <c r="U25" s="6" t="str">
        <f t="shared" si="5"/>
        <v>4492.06965994306-2446.47765854816i</v>
      </c>
      <c r="V25" s="6" t="str">
        <f t="shared" si="5"/>
        <v>3915.73492357981-2779.39176377992i</v>
      </c>
      <c r="W25" s="6" t="str">
        <f t="shared" si="5"/>
        <v>3372.83005115679-2939.299709231i</v>
      </c>
      <c r="X25" s="6" t="str">
        <f t="shared" si="5"/>
        <v>2895.55072446879-2982.84233485645i</v>
      </c>
      <c r="Y25" s="6" t="str">
        <f t="shared" si="5"/>
        <v>2490.31449285439-2955.01442153761i</v>
      </c>
      <c r="Z25" s="6" t="str">
        <f t="shared" si="5"/>
        <v>2151.41887138756-2886.88289741959i</v>
      </c>
      <c r="AA25" s="6" t="str">
        <f t="shared" si="5"/>
        <v>1437.65087699385-2596.26267951048i</v>
      </c>
      <c r="AB25" s="6" t="str">
        <f t="shared" si="5"/>
        <v>1133.01017722292-2397.03141439945i</v>
      </c>
      <c r="AC25" s="6" t="str">
        <f t="shared" si="5"/>
        <v>913.593464331966-2214.32391970422i</v>
      </c>
      <c r="AD25" s="6" t="str">
        <f t="shared" si="5"/>
        <v>752.585894891722-2051.3766384065i</v>
      </c>
      <c r="AE25" s="6" t="str">
        <f t="shared" si="5"/>
        <v>632.222384781439-1908.14864486835i</v>
      </c>
    </row>
    <row r="26" spans="1:31" x14ac:dyDescent="0.2">
      <c r="A26" t="s">
        <v>6</v>
      </c>
      <c r="B26" s="5">
        <f t="shared" ref="B26:AE26" si="6">IMREAL(B25)</f>
        <v>66.054376005546402</v>
      </c>
      <c r="C26" s="5">
        <f t="shared" si="6"/>
        <v>113.018974759755</v>
      </c>
      <c r="D26" s="5">
        <f t="shared" si="6"/>
        <v>296.70608733216</v>
      </c>
      <c r="E26" s="5">
        <f t="shared" si="6"/>
        <v>369.61319485468198</v>
      </c>
      <c r="F26" s="5">
        <f t="shared" si="6"/>
        <v>568.49937308436404</v>
      </c>
      <c r="G26" s="5">
        <f t="shared" si="6"/>
        <v>782.71893808678601</v>
      </c>
      <c r="H26" s="5">
        <f t="shared" si="6"/>
        <v>1007.1285879957099</v>
      </c>
      <c r="I26" s="5">
        <f t="shared" si="6"/>
        <v>1243.1946000020901</v>
      </c>
      <c r="J26" s="5">
        <f t="shared" si="6"/>
        <v>1499.08930975014</v>
      </c>
      <c r="K26" s="5">
        <f t="shared" si="6"/>
        <v>1779.57858481895</v>
      </c>
      <c r="L26" s="5">
        <f t="shared" si="6"/>
        <v>2087.8393868389198</v>
      </c>
      <c r="M26" s="5">
        <f t="shared" si="6"/>
        <v>2425.1235161160298</v>
      </c>
      <c r="N26" s="5">
        <f t="shared" si="6"/>
        <v>3174.8436808668298</v>
      </c>
      <c r="O26" s="5">
        <f t="shared" si="6"/>
        <v>3976.19150210114</v>
      </c>
      <c r="P26" s="5">
        <f t="shared" si="6"/>
        <v>4725.8849416085304</v>
      </c>
      <c r="Q26" s="5">
        <f t="shared" si="6"/>
        <v>5282.0842547110196</v>
      </c>
      <c r="R26" s="5">
        <f t="shared" si="6"/>
        <v>5520.6098521930198</v>
      </c>
      <c r="S26" s="5">
        <f t="shared" si="6"/>
        <v>5412.2211417544804</v>
      </c>
      <c r="T26" s="5">
        <f t="shared" si="6"/>
        <v>5028.8623036101899</v>
      </c>
      <c r="U26" s="5">
        <f t="shared" si="6"/>
        <v>4492.0696599430603</v>
      </c>
      <c r="V26" s="5">
        <f t="shared" si="6"/>
        <v>3915.7349235798101</v>
      </c>
      <c r="W26" s="5">
        <f t="shared" si="6"/>
        <v>3372.83005115679</v>
      </c>
      <c r="X26" s="5">
        <f t="shared" si="6"/>
        <v>2895.5507244687901</v>
      </c>
      <c r="Y26" s="5">
        <f t="shared" si="6"/>
        <v>2490.3144928543902</v>
      </c>
      <c r="Z26" s="5">
        <f t="shared" si="6"/>
        <v>2151.4188713875601</v>
      </c>
      <c r="AA26" s="5">
        <f t="shared" si="6"/>
        <v>1437.65087699385</v>
      </c>
      <c r="AB26" s="5">
        <f t="shared" si="6"/>
        <v>1133.01017722292</v>
      </c>
      <c r="AC26" s="5">
        <f t="shared" si="6"/>
        <v>913.59346433196595</v>
      </c>
      <c r="AD26" s="5">
        <f t="shared" si="6"/>
        <v>752.58589489172198</v>
      </c>
      <c r="AE26" s="5">
        <f t="shared" si="6"/>
        <v>632.22238478143902</v>
      </c>
    </row>
    <row r="27" spans="1:31" x14ac:dyDescent="0.2">
      <c r="A27" t="s">
        <v>7</v>
      </c>
      <c r="B27" s="5">
        <f t="shared" ref="B27:AE27" si="7">IMAGINARY(B25)</f>
        <v>776.12120969128603</v>
      </c>
      <c r="C27" s="5">
        <f t="shared" si="7"/>
        <v>889.09110676918306</v>
      </c>
      <c r="D27" s="5">
        <f t="shared" si="7"/>
        <v>1162.9239806871899</v>
      </c>
      <c r="E27" s="5">
        <f t="shared" si="7"/>
        <v>1258.9520129358</v>
      </c>
      <c r="F27" s="5">
        <f t="shared" si="7"/>
        <v>1497.4296871848901</v>
      </c>
      <c r="G27" s="5">
        <f t="shared" si="7"/>
        <v>1698.14004542978</v>
      </c>
      <c r="H27" s="5">
        <f t="shared" si="7"/>
        <v>1862.4624395948499</v>
      </c>
      <c r="I27" s="5">
        <f t="shared" si="7"/>
        <v>2007.1691609125201</v>
      </c>
      <c r="J27" s="5">
        <f t="shared" si="7"/>
        <v>2145.3648871804598</v>
      </c>
      <c r="K27" s="5">
        <f t="shared" si="7"/>
        <v>2276.28294403666</v>
      </c>
      <c r="L27" s="5">
        <f t="shared" si="7"/>
        <v>2392.8027722142301</v>
      </c>
      <c r="M27" s="5">
        <f t="shared" si="7"/>
        <v>2479.8972635016298</v>
      </c>
      <c r="N27" s="5">
        <f t="shared" si="7"/>
        <v>2502.20873883585</v>
      </c>
      <c r="O27" s="5">
        <f t="shared" si="7"/>
        <v>2257.7463914413302</v>
      </c>
      <c r="P27" s="5">
        <f t="shared" si="7"/>
        <v>1699.8310419927</v>
      </c>
      <c r="Q27" s="5">
        <f t="shared" si="7"/>
        <v>863.35131971244095</v>
      </c>
      <c r="R27" s="5">
        <f t="shared" si="7"/>
        <v>-124.141154790607</v>
      </c>
      <c r="S27" s="5">
        <f t="shared" si="7"/>
        <v>-1089.31860679895</v>
      </c>
      <c r="T27" s="5">
        <f t="shared" si="7"/>
        <v>-1886.42483343554</v>
      </c>
      <c r="U27" s="5">
        <f t="shared" si="7"/>
        <v>-2446.47765854816</v>
      </c>
      <c r="V27" s="5">
        <f t="shared" si="7"/>
        <v>-2779.39176377992</v>
      </c>
      <c r="W27" s="5">
        <f t="shared" si="7"/>
        <v>-2939.2997092310002</v>
      </c>
      <c r="X27" s="5">
        <f t="shared" si="7"/>
        <v>-2982.8423348564502</v>
      </c>
      <c r="Y27" s="5">
        <f t="shared" si="7"/>
        <v>-2955.0144215376099</v>
      </c>
      <c r="Z27" s="5">
        <f t="shared" si="7"/>
        <v>-2886.8828974195899</v>
      </c>
      <c r="AA27" s="5">
        <f t="shared" si="7"/>
        <v>-2596.2626795104802</v>
      </c>
      <c r="AB27" s="5">
        <f t="shared" si="7"/>
        <v>-2397.0314143994501</v>
      </c>
      <c r="AC27" s="5">
        <f t="shared" si="7"/>
        <v>-2214.3239197042199</v>
      </c>
      <c r="AD27" s="5">
        <f t="shared" si="7"/>
        <v>-2051.3766384065002</v>
      </c>
      <c r="AE27" s="5">
        <f t="shared" si="7"/>
        <v>-1908.1486448683499</v>
      </c>
    </row>
    <row r="28" spans="1:31" x14ac:dyDescent="0.2">
      <c r="A28" t="s">
        <v>15</v>
      </c>
      <c r="B28" s="5">
        <f t="shared" ref="B28:AE28" si="8">IMABS(B25)</f>
        <v>778.92702657062</v>
      </c>
      <c r="C28" s="5">
        <f t="shared" si="8"/>
        <v>896.24566096121055</v>
      </c>
      <c r="D28" s="5">
        <f t="shared" si="8"/>
        <v>1200.1777731308387</v>
      </c>
      <c r="E28" s="5">
        <f t="shared" si="8"/>
        <v>1312.0876817826575</v>
      </c>
      <c r="F28" s="5">
        <f t="shared" si="8"/>
        <v>1601.7138337605604</v>
      </c>
      <c r="G28" s="5">
        <f t="shared" si="8"/>
        <v>1869.8471996213921</v>
      </c>
      <c r="H28" s="5">
        <f t="shared" si="8"/>
        <v>2117.3271668922193</v>
      </c>
      <c r="I28" s="5">
        <f t="shared" si="8"/>
        <v>2360.9872625646726</v>
      </c>
      <c r="J28" s="5">
        <f t="shared" si="8"/>
        <v>2617.2235780983592</v>
      </c>
      <c r="K28" s="5">
        <f t="shared" si="8"/>
        <v>2889.3535576073796</v>
      </c>
      <c r="L28" s="5">
        <f t="shared" si="8"/>
        <v>3175.622523530154</v>
      </c>
      <c r="M28" s="5">
        <f t="shared" si="8"/>
        <v>3468.5896998552375</v>
      </c>
      <c r="N28" s="5">
        <f t="shared" si="8"/>
        <v>4042.3608164841667</v>
      </c>
      <c r="O28" s="5">
        <f t="shared" si="8"/>
        <v>4572.4739069181869</v>
      </c>
      <c r="P28" s="5">
        <f t="shared" si="8"/>
        <v>5022.2917132166122</v>
      </c>
      <c r="Q28" s="5">
        <f t="shared" si="8"/>
        <v>5352.1761532217224</v>
      </c>
      <c r="R28" s="5">
        <f t="shared" si="8"/>
        <v>5522.0054478824431</v>
      </c>
      <c r="S28" s="5">
        <f t="shared" si="8"/>
        <v>5520.7565346039828</v>
      </c>
      <c r="T28" s="5">
        <f t="shared" si="8"/>
        <v>5371.0385141864217</v>
      </c>
      <c r="U28" s="5">
        <f t="shared" si="8"/>
        <v>5115.0701621342641</v>
      </c>
      <c r="V28" s="5">
        <f t="shared" si="8"/>
        <v>4801.8744848559127</v>
      </c>
      <c r="W28" s="5">
        <f t="shared" si="8"/>
        <v>4473.8646978503666</v>
      </c>
      <c r="X28" s="5">
        <f t="shared" si="8"/>
        <v>4157.1098605381612</v>
      </c>
      <c r="Y28" s="5">
        <f t="shared" si="8"/>
        <v>3864.4244726499533</v>
      </c>
      <c r="Z28" s="5">
        <f t="shared" si="8"/>
        <v>3600.3744282471857</v>
      </c>
      <c r="AA28" s="5">
        <f t="shared" si="8"/>
        <v>2967.7297628221008</v>
      </c>
      <c r="AB28" s="5">
        <f t="shared" si="8"/>
        <v>2651.3150818619315</v>
      </c>
      <c r="AC28" s="5">
        <f t="shared" si="8"/>
        <v>2395.3879517615396</v>
      </c>
      <c r="AD28" s="5">
        <f t="shared" si="8"/>
        <v>2185.0701686192888</v>
      </c>
      <c r="AE28" s="5">
        <f t="shared" si="8"/>
        <v>2010.1583009135502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 xr:uid="{00000000-0004-0000-0200-000000000000}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/>
  <dimension ref="A1:AE35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2500</v>
      </c>
      <c r="D7" s="16" t="s">
        <v>41</v>
      </c>
    </row>
    <row r="8" spans="1:4" x14ac:dyDescent="0.2">
      <c r="A8" t="s">
        <v>5</v>
      </c>
      <c r="B8" s="3">
        <v>6</v>
      </c>
      <c r="D8" s="20" t="s">
        <v>42</v>
      </c>
    </row>
    <row r="9" spans="1:4" x14ac:dyDescent="0.2">
      <c r="A9" t="s">
        <v>8</v>
      </c>
      <c r="B9" s="3">
        <v>2.65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5.6548667764616284E-4</v>
      </c>
    </row>
    <row r="18" spans="1:31" x14ac:dyDescent="0.2">
      <c r="A18" t="s">
        <v>2</v>
      </c>
      <c r="B18" s="10">
        <v>1</v>
      </c>
      <c r="C18" s="10">
        <f>30^(1/29)*B18</f>
        <v>1.1244372275696026</v>
      </c>
      <c r="D18" s="10">
        <f>$C$18/$B$18*C18</f>
        <v>1.2643590787444143</v>
      </c>
      <c r="E18" s="10">
        <f t="shared" ref="E18:AE18" si="0">$C$18/$B$18*D18</f>
        <v>1.4216924171558261</v>
      </c>
      <c r="F18" s="10">
        <f t="shared" si="0"/>
        <v>1.5986038800034241</v>
      </c>
      <c r="G18" s="10">
        <f t="shared" si="0"/>
        <v>1.79752971481306</v>
      </c>
      <c r="H18" s="10">
        <f t="shared" si="0"/>
        <v>2.0212093289983755</v>
      </c>
      <c r="I18" s="10">
        <f t="shared" si="0"/>
        <v>2.27272301423675</v>
      </c>
      <c r="J18" s="10">
        <f t="shared" si="0"/>
        <v>2.5555343651620017</v>
      </c>
      <c r="K18" s="10">
        <f t="shared" si="0"/>
        <v>2.8735379765216056</v>
      </c>
      <c r="L18" s="10">
        <f t="shared" si="0"/>
        <v>3.2311130756359199</v>
      </c>
      <c r="M18" s="10">
        <f t="shared" si="0"/>
        <v>3.6331838287319456</v>
      </c>
      <c r="N18" s="10">
        <f t="shared" si="0"/>
        <v>4.0852871516300633</v>
      </c>
      <c r="O18" s="10">
        <f t="shared" si="0"/>
        <v>4.5936489586046267</v>
      </c>
      <c r="P18" s="10">
        <f t="shared" si="0"/>
        <v>5.1652698994413786</v>
      </c>
      <c r="Q18" s="10">
        <f t="shared" si="0"/>
        <v>5.8080217653765835</v>
      </c>
      <c r="R18" s="10">
        <f t="shared" si="0"/>
        <v>6.5307558915239543</v>
      </c>
      <c r="S18" s="10">
        <f t="shared" si="0"/>
        <v>7.3434250485990438</v>
      </c>
      <c r="T18" s="10">
        <f t="shared" si="0"/>
        <v>8.257220502511883</v>
      </c>
      <c r="U18" s="10">
        <f t="shared" si="0"/>
        <v>9.2847261292753434</v>
      </c>
      <c r="V18" s="10">
        <f t="shared" si="0"/>
        <v>10.440091707545415</v>
      </c>
      <c r="W18" s="10">
        <f t="shared" si="0"/>
        <v>11.739227775204766</v>
      </c>
      <c r="X18" s="10">
        <f t="shared" si="0"/>
        <v>13.200024733359321</v>
      </c>
      <c r="Y18" s="10">
        <f t="shared" si="0"/>
        <v>14.842599215028738</v>
      </c>
      <c r="Z18" s="10">
        <f t="shared" si="0"/>
        <v>16.689571111273676</v>
      </c>
      <c r="AA18" s="10">
        <f t="shared" si="0"/>
        <v>18.766375069686305</v>
      </c>
      <c r="AB18" s="10">
        <f t="shared" si="0"/>
        <v>21.101610754889379</v>
      </c>
      <c r="AC18" s="10">
        <f t="shared" si="0"/>
        <v>23.727436694480723</v>
      </c>
      <c r="AD18" s="10">
        <f t="shared" si="0"/>
        <v>26.680013134075161</v>
      </c>
      <c r="AE18" s="10">
        <f t="shared" si="0"/>
        <v>30.000000000000057</v>
      </c>
    </row>
    <row r="19" spans="1:31" x14ac:dyDescent="0.2">
      <c r="A19" t="s">
        <v>4</v>
      </c>
      <c r="B19" s="7">
        <f>csinterpolate(CSTableU2,'BN-43-202'!B18*1000000)</f>
        <v>62.806156889999997</v>
      </c>
      <c r="C19" s="7">
        <f>csinterpolate(CSTableU2,'BN-43-202'!C18*1000000)</f>
        <v>79.257177946729328</v>
      </c>
      <c r="D19" s="7">
        <f>csinterpolate(CSTableU2,'BN-43-202'!D18*1000000)</f>
        <v>96.18869926556313</v>
      </c>
      <c r="E19" s="7">
        <f>csinterpolate(CSTableU2,'BN-43-202'!E18*1000000)</f>
        <v>113.56816449246116</v>
      </c>
      <c r="F19" s="7">
        <f>csinterpolate(CSTableU2,'BN-43-202'!F18*1000000)</f>
        <v>131.33058873834889</v>
      </c>
      <c r="G19" s="7">
        <f>csinterpolate(CSTableU2,'BN-43-202'!G18*1000000)</f>
        <v>149.11313506302696</v>
      </c>
      <c r="H19" s="7">
        <f>csinterpolate(CSTableU2,'BN-43-202'!H18*1000000)</f>
        <v>166.35767552796719</v>
      </c>
      <c r="I19" s="7">
        <f>csinterpolate(CSTableU2,'BN-43-202'!I18*1000000)</f>
        <v>182.37731967639692</v>
      </c>
      <c r="J19" s="7">
        <f>csinterpolate(CSTableU2,'BN-43-202'!J18*1000000)</f>
        <v>196.59447901549697</v>
      </c>
      <c r="K19" s="7">
        <f>csinterpolate(CSTableU2,'BN-43-202'!K18*1000000)</f>
        <v>208.51895683940316</v>
      </c>
      <c r="L19" s="7">
        <f>csinterpolate(CSTableU2,'BN-43-202'!L18*1000000)</f>
        <v>217.83142258379127</v>
      </c>
      <c r="M19" s="7">
        <f>csinterpolate(CSTableU2,'BN-43-202'!M18*1000000)</f>
        <v>224.42411543005389</v>
      </c>
      <c r="N19" s="7">
        <f>csinterpolate(CSTableU2,'BN-43-202'!N18*1000000)</f>
        <v>228.60485716531642</v>
      </c>
      <c r="O19" s="7">
        <f>csinterpolate(CSTableU2,'BN-43-202'!O18*1000000)</f>
        <v>231.04361020189779</v>
      </c>
      <c r="P19" s="7">
        <f>csinterpolate(CSTableU2,'BN-43-202'!P18*1000000)</f>
        <v>231.80917548300866</v>
      </c>
      <c r="Q19" s="7">
        <f>csinterpolate(CSTableU2,'BN-43-202'!Q18*1000000)</f>
        <v>231.09690134455539</v>
      </c>
      <c r="R19" s="7">
        <f>csinterpolate(CSTableU2,'BN-43-202'!R18*1000000)</f>
        <v>229.49418606942248</v>
      </c>
      <c r="S19" s="7">
        <f>csinterpolate(CSTableU2,'BN-43-202'!S18*1000000)</f>
        <v>227.35252950801905</v>
      </c>
      <c r="T19" s="7">
        <f>csinterpolate(CSTableU2,'BN-43-202'!T18*1000000)</f>
        <v>224.98194176743948</v>
      </c>
      <c r="U19" s="7">
        <f>csinterpolate(CSTableU2,'BN-43-202'!U18*1000000)</f>
        <v>222.52937465543559</v>
      </c>
      <c r="V19" s="7">
        <f>csinterpolate(CSTableU2,'BN-43-202'!V18*1000000)</f>
        <v>219.31341127960496</v>
      </c>
      <c r="W19" s="7">
        <f>csinterpolate(CSTableU2,'BN-43-202'!W18*1000000)</f>
        <v>214.65824905972698</v>
      </c>
      <c r="X19" s="7">
        <f>csinterpolate(CSTableU2,'BN-43-202'!X18*1000000)</f>
        <v>208.60999713170213</v>
      </c>
      <c r="Y19" s="7">
        <f>csinterpolate(CSTableU2,'BN-43-202'!Y18*1000000)</f>
        <v>201.59500044955359</v>
      </c>
      <c r="Z19" s="7">
        <f>csinterpolate(CSTableU2,'BN-43-202'!Z18*1000000)</f>
        <v>194.35825471894512</v>
      </c>
      <c r="AA19" s="7">
        <f>csinterpolate(CSTableU2,'BN-43-202'!AA18*1000000)</f>
        <v>187.10167204097144</v>
      </c>
      <c r="AB19" s="7">
        <f>csinterpolate(CSTableU2,'BN-43-202'!AB18*1000000)</f>
        <v>179.7265531330107</v>
      </c>
      <c r="AC19" s="7">
        <f>csinterpolate(CSTableU2,'BN-43-202'!AC18*1000000)</f>
        <v>172.02837681836741</v>
      </c>
      <c r="AD19" s="7">
        <f>csinterpolate(CSTableU2,'BN-43-202'!AD18*1000000)</f>
        <v>163.63625972235332</v>
      </c>
      <c r="AE19" s="7">
        <f>csinterpolate(CSTableU2,'BN-43-202'!AE18*1000000)</f>
        <v>153.87192534130494</v>
      </c>
    </row>
    <row r="20" spans="1:31" x14ac:dyDescent="0.2">
      <c r="A20" t="s">
        <v>3</v>
      </c>
      <c r="B20" s="7">
        <f>csinterpolate(CSTableU1,'BN-43-202'!B18*1000000)</f>
        <v>748.82965526252349</v>
      </c>
      <c r="C20" s="7">
        <f>csinterpolate(CSTableU1,'BN-43-202'!C18*1000000)</f>
        <v>726.33481891775443</v>
      </c>
      <c r="D20" s="7">
        <f>csinterpolate(CSTableU1,'BN-43-202'!D18*1000000)</f>
        <v>697.84811895183941</v>
      </c>
      <c r="E20" s="7">
        <f>csinterpolate(CSTableU1,'BN-43-202'!E18*1000000)</f>
        <v>665.97812040175313</v>
      </c>
      <c r="F20" s="7">
        <f>csinterpolate(CSTableU1,'BN-43-202'!F18*1000000)</f>
        <v>635.78863954796498</v>
      </c>
      <c r="G20" s="7">
        <f>csinterpolate(CSTableU1,'BN-43-202'!G18*1000000)</f>
        <v>610.11901568765848</v>
      </c>
      <c r="H20" s="7">
        <f>csinterpolate(CSTableU1,'BN-43-202'!H18*1000000)</f>
        <v>588.64048889447758</v>
      </c>
      <c r="I20" s="7">
        <f>csinterpolate(CSTableU1,'BN-43-202'!I18*1000000)</f>
        <v>569.37450772290242</v>
      </c>
      <c r="J20" s="7">
        <f>csinterpolate(CSTableU1,'BN-43-202'!J18*1000000)</f>
        <v>548.30351825787739</v>
      </c>
      <c r="K20" s="7">
        <f>csinterpolate(CSTableU1,'BN-43-202'!K18*1000000)</f>
        <v>523.84336747023292</v>
      </c>
      <c r="L20" s="7">
        <f>csinterpolate(CSTableU1,'BN-43-202'!L18*1000000)</f>
        <v>496.5691043376371</v>
      </c>
      <c r="M20" s="7">
        <f>csinterpolate(CSTableU1,'BN-43-202'!M18*1000000)</f>
        <v>467.9135588978848</v>
      </c>
      <c r="N20" s="7">
        <f>csinterpolate(CSTableU1,'BN-43-202'!N18*1000000)</f>
        <v>440.41087145803141</v>
      </c>
      <c r="O20" s="7">
        <f>csinterpolate(CSTableU1,'BN-43-202'!O18*1000000)</f>
        <v>415.441498668875</v>
      </c>
      <c r="P20" s="7">
        <f>csinterpolate(CSTableU1,'BN-43-202'!P18*1000000)</f>
        <v>392.84730795180161</v>
      </c>
      <c r="Q20" s="7">
        <f>csinterpolate(CSTableU1,'BN-43-202'!Q18*1000000)</f>
        <v>371.43658417245837</v>
      </c>
      <c r="R20" s="7">
        <f>csinterpolate(CSTableU1,'BN-43-202'!R18*1000000)</f>
        <v>348.96313994549593</v>
      </c>
      <c r="S20" s="7">
        <f>csinterpolate(CSTableU1,'BN-43-202'!S18*1000000)</f>
        <v>325.02457634622351</v>
      </c>
      <c r="T20" s="7">
        <f>csinterpolate(CSTableU1,'BN-43-202'!T18*1000000)</f>
        <v>300.3253299209577</v>
      </c>
      <c r="U20" s="7">
        <f>csinterpolate(CSTableU1,'BN-43-202'!U18*1000000)</f>
        <v>276.10517217817056</v>
      </c>
      <c r="V20" s="7">
        <f>csinterpolate(CSTableU1,'BN-43-202'!V18*1000000)</f>
        <v>253.55857012956633</v>
      </c>
      <c r="W20" s="7">
        <f>csinterpolate(CSTableU1,'BN-43-202'!W18*1000000)</f>
        <v>232.83104613646381</v>
      </c>
      <c r="X20" s="7">
        <f>csinterpolate(CSTableU1,'BN-43-202'!X18*1000000)</f>
        <v>213.36232918425154</v>
      </c>
      <c r="Y20" s="7">
        <f>csinterpolate(CSTableU1,'BN-43-202'!Y18*1000000)</f>
        <v>193.73081483563661</v>
      </c>
      <c r="Z20" s="7">
        <f>csinterpolate(CSTableU1,'BN-43-202'!Z18*1000000)</f>
        <v>173.63349916389717</v>
      </c>
      <c r="AA20" s="7">
        <f>csinterpolate(CSTableU1,'BN-43-202'!AA18*1000000)</f>
        <v>154.03605366597392</v>
      </c>
      <c r="AB20" s="7">
        <f>csinterpolate(CSTableU1,'BN-43-202'!AB18*1000000)</f>
        <v>136.01350454994829</v>
      </c>
      <c r="AC20" s="7">
        <f>csinterpolate(CSTableU1,'BN-43-202'!AC18*1000000)</f>
        <v>119.83387993123816</v>
      </c>
      <c r="AD20" s="7">
        <f>csinterpolate(CSTableU1,'BN-43-202'!AD18*1000000)</f>
        <v>105.20931337822698</v>
      </c>
      <c r="AE20" s="7">
        <f>csinterpolate(CSTableU1,'BN-43-202'!AE18*1000000)</f>
        <v>91.714826092023088</v>
      </c>
    </row>
    <row r="21" spans="1:31" x14ac:dyDescent="0.2">
      <c r="A21" t="s">
        <v>10</v>
      </c>
      <c r="B21" s="5">
        <f t="shared" ref="B21:AE21" si="1">B19/$B$13*$B$16*B18*1000000</f>
        <v>44.395056244312194</v>
      </c>
      <c r="C21" s="5">
        <f t="shared" si="1"/>
        <v>62.995018984077589</v>
      </c>
      <c r="D21" s="5">
        <f t="shared" si="1"/>
        <v>85.96603060494391</v>
      </c>
      <c r="E21" s="5">
        <f t="shared" si="1"/>
        <v>114.12864064832306</v>
      </c>
      <c r="F21" s="5">
        <f t="shared" si="1"/>
        <v>148.4017918148584</v>
      </c>
      <c r="G21" s="5">
        <f t="shared" si="1"/>
        <v>189.46298285169007</v>
      </c>
      <c r="H21" s="5">
        <f t="shared" si="1"/>
        <v>237.6766559020098</v>
      </c>
      <c r="I21" s="5">
        <f t="shared" si="1"/>
        <v>292.98792994260822</v>
      </c>
      <c r="J21" s="5">
        <f t="shared" si="1"/>
        <v>355.12842362020075</v>
      </c>
      <c r="K21" s="5">
        <f t="shared" si="1"/>
        <v>423.54043227945328</v>
      </c>
      <c r="L21" s="5">
        <f t="shared" si="1"/>
        <v>497.51373544334552</v>
      </c>
      <c r="M21" s="5">
        <f t="shared" si="1"/>
        <v>576.35396520360905</v>
      </c>
      <c r="N21" s="5">
        <f t="shared" si="1"/>
        <v>660.14666342675935</v>
      </c>
      <c r="O21" s="5">
        <f t="shared" si="1"/>
        <v>750.21225927699663</v>
      </c>
      <c r="P21" s="5">
        <f t="shared" si="1"/>
        <v>846.36175913558077</v>
      </c>
      <c r="Q21" s="5">
        <f t="shared" si="1"/>
        <v>948.75646505269572</v>
      </c>
      <c r="R21" s="5">
        <f t="shared" si="1"/>
        <v>1059.4184437223178</v>
      </c>
      <c r="S21" s="5">
        <f t="shared" si="1"/>
        <v>1180.1327097164026</v>
      </c>
      <c r="T21" s="5">
        <f t="shared" si="1"/>
        <v>1313.1487778123503</v>
      </c>
      <c r="U21" s="5">
        <f t="shared" si="1"/>
        <v>1460.4572070858405</v>
      </c>
      <c r="V21" s="5">
        <f t="shared" si="1"/>
        <v>1618.459717442219</v>
      </c>
      <c r="W21" s="5">
        <f t="shared" si="1"/>
        <v>1781.2279558569855</v>
      </c>
      <c r="X21" s="5">
        <f t="shared" si="1"/>
        <v>1946.4455214541176</v>
      </c>
      <c r="Y21" s="5">
        <f t="shared" si="1"/>
        <v>2115.057160311324</v>
      </c>
      <c r="Z21" s="5">
        <f t="shared" si="1"/>
        <v>2292.8759430595824</v>
      </c>
      <c r="AA21" s="5">
        <f t="shared" si="1"/>
        <v>2481.9352739904007</v>
      </c>
      <c r="AB21" s="5">
        <f t="shared" si="1"/>
        <v>2680.7742533535838</v>
      </c>
      <c r="AC21" s="5">
        <f t="shared" si="1"/>
        <v>2885.2490434665228</v>
      </c>
      <c r="AD21" s="5">
        <f t="shared" si="1"/>
        <v>3086.014583029842</v>
      </c>
      <c r="AE21" s="5">
        <f t="shared" si="1"/>
        <v>3262.9696441602418</v>
      </c>
    </row>
    <row r="22" spans="1:31" x14ac:dyDescent="0.2">
      <c r="A22" t="s">
        <v>11</v>
      </c>
      <c r="B22" s="5">
        <f t="shared" ref="B22:AE22" si="2">B20/$B$13*$B$16*B18*1000000</f>
        <v>529.31649234665736</v>
      </c>
      <c r="C22" s="5">
        <f t="shared" si="2"/>
        <v>577.30387192531475</v>
      </c>
      <c r="D22" s="5">
        <f t="shared" si="2"/>
        <v>623.68275285425398</v>
      </c>
      <c r="E22" s="5">
        <f t="shared" si="2"/>
        <v>669.26482366475852</v>
      </c>
      <c r="F22" s="5">
        <f t="shared" si="2"/>
        <v>718.43257713880985</v>
      </c>
      <c r="G22" s="5">
        <f t="shared" si="2"/>
        <v>775.21653982971577</v>
      </c>
      <c r="H22" s="5">
        <f t="shared" si="2"/>
        <v>840.99577903421277</v>
      </c>
      <c r="I22" s="5">
        <f t="shared" si="2"/>
        <v>914.69629379257947</v>
      </c>
      <c r="J22" s="5">
        <f t="shared" si="2"/>
        <v>990.45591249274537</v>
      </c>
      <c r="K22" s="5">
        <f t="shared" si="2"/>
        <v>1064.0224259127942</v>
      </c>
      <c r="L22" s="5">
        <f t="shared" si="2"/>
        <v>1134.1336666418902</v>
      </c>
      <c r="M22" s="5">
        <f t="shared" si="2"/>
        <v>1201.6704823657001</v>
      </c>
      <c r="N22" s="5">
        <f t="shared" si="2"/>
        <v>1271.7829836819442</v>
      </c>
      <c r="O22" s="5">
        <f t="shared" si="2"/>
        <v>1348.9631028594363</v>
      </c>
      <c r="P22" s="5">
        <f t="shared" si="2"/>
        <v>1434.3303621910998</v>
      </c>
      <c r="Q22" s="5">
        <f t="shared" si="2"/>
        <v>1524.9138285298445</v>
      </c>
      <c r="R22" s="5">
        <f t="shared" si="2"/>
        <v>1610.925282985932</v>
      </c>
      <c r="S22" s="5">
        <f t="shared" si="2"/>
        <v>1687.1249897149944</v>
      </c>
      <c r="T22" s="5">
        <f t="shared" si="2"/>
        <v>1752.9044190553432</v>
      </c>
      <c r="U22" s="5">
        <f t="shared" si="2"/>
        <v>1812.0744249861955</v>
      </c>
      <c r="V22" s="5">
        <f t="shared" si="2"/>
        <v>1871.1775507598145</v>
      </c>
      <c r="W22" s="5">
        <f t="shared" si="2"/>
        <v>1932.0253015494545</v>
      </c>
      <c r="X22" s="5">
        <f t="shared" si="2"/>
        <v>1990.7873821862652</v>
      </c>
      <c r="Y22" s="5">
        <f t="shared" si="2"/>
        <v>2032.5491514041555</v>
      </c>
      <c r="Z22" s="5">
        <f t="shared" si="2"/>
        <v>2048.3826309197102</v>
      </c>
      <c r="AA22" s="5">
        <f t="shared" si="2"/>
        <v>2043.3142627188363</v>
      </c>
      <c r="AB22" s="5">
        <f t="shared" si="2"/>
        <v>2028.7569908273126</v>
      </c>
      <c r="AC22" s="5">
        <f t="shared" si="2"/>
        <v>2009.8462465383873</v>
      </c>
      <c r="AD22" s="5">
        <f t="shared" si="2"/>
        <v>1984.1413871635505</v>
      </c>
      <c r="AE22" s="5">
        <f t="shared" si="2"/>
        <v>1944.8817111627691</v>
      </c>
    </row>
    <row r="23" spans="1:31" x14ac:dyDescent="0.2">
      <c r="A23" t="s">
        <v>12</v>
      </c>
      <c r="B23" s="5" t="str">
        <f t="shared" ref="B23:AE23" si="3">IMDIV(1,COMPLEX(B21,B22))</f>
        <v>0.000157347328468651-0.00187603177089824i</v>
      </c>
      <c r="C23" s="5" t="str">
        <f t="shared" si="3"/>
        <v>0.000186791305356622-0.00171180746610486i</v>
      </c>
      <c r="D23" s="5" t="str">
        <f t="shared" si="3"/>
        <v>0.000216883109292462-0.00157348494165943i</v>
      </c>
      <c r="E23" s="5" t="str">
        <f t="shared" si="3"/>
        <v>0.000247599372473483-0.00145195412314241i</v>
      </c>
      <c r="F23" s="5" t="str">
        <f t="shared" si="3"/>
        <v>0.000275753417239149-0.00133495853236808i</v>
      </c>
      <c r="G23" s="5" t="str">
        <f t="shared" si="3"/>
        <v>0.000297496943530742-0.00121725388095652i</v>
      </c>
      <c r="H23" s="5" t="str">
        <f t="shared" si="3"/>
        <v>0.000311191188542161-0.0011011198177767i</v>
      </c>
      <c r="I23" s="5" t="str">
        <f t="shared" si="3"/>
        <v>0.000317598223415632-0.000991528620070771i</v>
      </c>
      <c r="J23" s="5" t="str">
        <f t="shared" si="3"/>
        <v>0.000320768036444822-0.000894624527647609i</v>
      </c>
      <c r="K23" s="5" t="str">
        <f t="shared" si="3"/>
        <v>0.000322936083073231-0.000811283193618781i</v>
      </c>
      <c r="L23" s="5" t="str">
        <f t="shared" si="3"/>
        <v>0.000324371181246891-0.000739437428421291i</v>
      </c>
      <c r="M23" s="5" t="str">
        <f t="shared" si="3"/>
        <v>0.000324487847438585-0.000676541659630262i</v>
      </c>
      <c r="N23" s="5" t="str">
        <f t="shared" si="3"/>
        <v>0.000321516871562338-0.000619407336086611i</v>
      </c>
      <c r="O23" s="5" t="str">
        <f t="shared" si="3"/>
        <v>0.000314881845653864-0.000566191749461281i</v>
      </c>
      <c r="P23" s="5" t="str">
        <f t="shared" si="3"/>
        <v>0.000305145677406825-0.000517130772121602i</v>
      </c>
      <c r="Q23" s="5" t="str">
        <f t="shared" si="3"/>
        <v>0.000294142355190999-0.000472768051137524i</v>
      </c>
      <c r="R23" s="5" t="str">
        <f t="shared" si="3"/>
        <v>0.000284985432865041-0.000433341746885156i</v>
      </c>
      <c r="S23" s="5" t="str">
        <f t="shared" si="3"/>
        <v>0.000278392019977746-0.000397990946250919i</v>
      </c>
      <c r="T23" s="5" t="str">
        <f t="shared" si="3"/>
        <v>0.000273741833641199-0.000365414245497276i</v>
      </c>
      <c r="U23" s="5" t="str">
        <f t="shared" si="3"/>
        <v>0.00026962872738968-0.000334544085765669i</v>
      </c>
      <c r="V23" s="5" t="str">
        <f t="shared" si="3"/>
        <v>0.000264423210955725-0.000305712135376544i</v>
      </c>
      <c r="W23" s="5" t="str">
        <f t="shared" si="3"/>
        <v>0.000257943566440154-0.000279780864148019i</v>
      </c>
      <c r="X23" s="5" t="str">
        <f t="shared" si="3"/>
        <v>0.00025109320244818-0.000256813341897769i</v>
      </c>
      <c r="Y23" s="5" t="str">
        <f t="shared" si="3"/>
        <v>0.000245801892587711-0.000236213203864028i</v>
      </c>
      <c r="Z23" s="5" t="str">
        <f t="shared" si="3"/>
        <v>0.000242551486113184-0.000216687803263807i</v>
      </c>
      <c r="AA23" s="5" t="str">
        <f t="shared" si="3"/>
        <v>0.000240145393605449-0.000197705602165571i</v>
      </c>
      <c r="AB23" s="5" t="str">
        <f t="shared" si="3"/>
        <v>0.000237186167790468-0.000179497805691953i</v>
      </c>
      <c r="AC23" s="5" t="str">
        <f t="shared" si="3"/>
        <v>0.000233356150551596-0.000162554419471976i</v>
      </c>
      <c r="AD23" s="5" t="str">
        <f t="shared" si="3"/>
        <v>0.000229267838276275-0.000147406888214656i</v>
      </c>
      <c r="AE23" s="5" t="str">
        <f t="shared" si="3"/>
        <v>0.000226131297386689-0.000134784773556196i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0.0000166504410640259i</v>
      </c>
      <c r="C24" s="6" t="str">
        <f t="shared" si="4"/>
        <v>0.0000187223757878444i</v>
      </c>
      <c r="D24" s="6" t="str">
        <f t="shared" si="4"/>
        <v>0.0000210521363244i</v>
      </c>
      <c r="E24" s="6" t="str">
        <f t="shared" si="4"/>
        <v>0.0000236718058030256i</v>
      </c>
      <c r="F24" s="6" t="str">
        <f t="shared" si="4"/>
        <v>0.0000266174596887201i</v>
      </c>
      <c r="G24" s="6" t="str">
        <f t="shared" si="4"/>
        <v>0.0000299296625773301i</v>
      </c>
      <c r="H24" s="6" t="str">
        <f t="shared" si="4"/>
        <v>0.0000336540268105468i</v>
      </c>
      <c r="I24" s="6" t="str">
        <f t="shared" si="4"/>
        <v>0.0000378418406034043i</v>
      </c>
      <c r="J24" s="6" t="str">
        <f t="shared" si="4"/>
        <v>0.0000425507743342228i</v>
      </c>
      <c r="K24" s="6" t="str">
        <f t="shared" si="4"/>
        <v>0.0000478456747233132i</v>
      </c>
      <c r="L24" s="6" t="str">
        <f t="shared" si="4"/>
        <v>0.0000537994578370793i</v>
      </c>
      <c r="M24" s="6" t="str">
        <f t="shared" si="4"/>
        <v>0.0000604941132150732i</v>
      </c>
      <c r="N24" s="6" t="str">
        <f t="shared" si="4"/>
        <v>0.0000680218329478386i</v>
      </c>
      <c r="O24" s="6" t="str">
        <f t="shared" si="4"/>
        <v>0.0000764862812540703i</v>
      </c>
      <c r="P24" s="6" t="str">
        <f t="shared" si="4"/>
        <v>0.0000860040220404357i</v>
      </c>
      <c r="Q24" s="6" t="str">
        <f t="shared" si="4"/>
        <v>0.0000967061241029825i</v>
      </c>
      <c r="R24" s="6" t="str">
        <f t="shared" si="4"/>
        <v>0.00010873996607536i</v>
      </c>
      <c r="S24" s="6" t="str">
        <f t="shared" si="4"/>
        <v>0.00012227126597979i</v>
      </c>
      <c r="T24" s="6" t="str">
        <f t="shared" si="4"/>
        <v>0.00013748636332974i</v>
      </c>
      <c r="U24" s="6" t="str">
        <f t="shared" si="4"/>
        <v>0.00015459478521112i</v>
      </c>
      <c r="V24" s="6" t="str">
        <f t="shared" si="4"/>
        <v>0.00017383213167951i</v>
      </c>
      <c r="W24" s="6" t="str">
        <f t="shared" si="4"/>
        <v>0.000195463320208223i</v>
      </c>
      <c r="X24" s="6" t="str">
        <f t="shared" si="4"/>
        <v>0.000219786233866484i</v>
      </c>
      <c r="Y24" s="6" t="str">
        <f t="shared" si="4"/>
        <v>0.000247135823466793i</v>
      </c>
      <c r="Z24" s="6" t="str">
        <f t="shared" si="4"/>
        <v>0.000277888720172132i</v>
      </c>
      <c r="AA24" s="6" t="str">
        <f t="shared" si="4"/>
        <v>0.000312468422083217i</v>
      </c>
      <c r="AB24" s="6" t="str">
        <f t="shared" si="4"/>
        <v>0.000351351126230301i</v>
      </c>
      <c r="AC24" s="6" t="str">
        <f t="shared" si="4"/>
        <v>0.000395072286281857i</v>
      </c>
      <c r="AD24" s="6" t="str">
        <f t="shared" si="4"/>
        <v>0.000444233986276355i</v>
      </c>
      <c r="AE24" s="6" t="str">
        <f t="shared" si="4"/>
        <v>0.000499513231920778i</v>
      </c>
    </row>
    <row r="25" spans="1:31" x14ac:dyDescent="0.2">
      <c r="A25" t="s">
        <v>14</v>
      </c>
      <c r="B25" s="6" t="str">
        <f t="shared" ref="B25:AE25" si="5">IMDIV(1,IMSUM(B23,B24))</f>
        <v>45.1880378263856+533.989325932302i</v>
      </c>
      <c r="C25" s="6" t="str">
        <f t="shared" si="5"/>
        <v>64.3790912492809+583.535081112126i</v>
      </c>
      <c r="D25" s="6" t="str">
        <f t="shared" si="5"/>
        <v>88.2684278369742+631.818694855963i</v>
      </c>
      <c r="E25" s="6" t="str">
        <f t="shared" si="5"/>
        <v>117.83175374918+679.715011471063i</v>
      </c>
      <c r="F25" s="6" t="str">
        <f t="shared" si="5"/>
        <v>154.242077669412+731.817749969272i</v>
      </c>
      <c r="G25" s="6" t="str">
        <f t="shared" si="5"/>
        <v>198.563849569434+792.477612342357i</v>
      </c>
      <c r="H25" s="6" t="str">
        <f t="shared" si="5"/>
        <v>251.706993701034+863.419707934254i</v>
      </c>
      <c r="I25" s="6" t="str">
        <f t="shared" si="5"/>
        <v>314.333211391821+943.882572225831i</v>
      </c>
      <c r="J25" s="6" t="str">
        <f t="shared" si="5"/>
        <v>386.970195397117+1027.93018427556i</v>
      </c>
      <c r="K25" s="6" t="str">
        <f t="shared" si="5"/>
        <v>469.981866955064+1111.06131906811i</v>
      </c>
      <c r="L25" s="6" t="str">
        <f t="shared" si="5"/>
        <v>563.813852809446+1191.75872635029i</v>
      </c>
      <c r="M25" s="6" t="str">
        <f t="shared" si="5"/>
        <v>669.313532747881+1270.70693983341i</v>
      </c>
      <c r="N25" s="6" t="str">
        <f t="shared" si="5"/>
        <v>789.193922717619+1353.42847184722i</v>
      </c>
      <c r="O25" s="6" t="str">
        <f t="shared" si="5"/>
        <v>928.959071886153+1444.72075326761i</v>
      </c>
      <c r="P25" s="6" t="str">
        <f t="shared" si="5"/>
        <v>1093.77420717323+1545.34490958073i</v>
      </c>
      <c r="Q25" s="6" t="str">
        <f t="shared" si="5"/>
        <v>1290.42462792436+1649.81194889445i</v>
      </c>
      <c r="R25" s="6" t="str">
        <f t="shared" si="5"/>
        <v>1527.39216826999+1739.71775620604i</v>
      </c>
      <c r="S25" s="6" t="str">
        <f t="shared" si="5"/>
        <v>1813.35166635618+1795.94494736886i</v>
      </c>
      <c r="T25" s="6" t="str">
        <f t="shared" si="5"/>
        <v>2157.38897297185+1796.32427050077i</v>
      </c>
      <c r="U25" s="6" t="str">
        <f t="shared" si="5"/>
        <v>2565.90342141937+1712.47526346709i</v>
      </c>
      <c r="V25" s="6" t="str">
        <f t="shared" si="5"/>
        <v>3028.48751846636+1510.44586323642i</v>
      </c>
      <c r="W25" s="6" t="str">
        <f t="shared" si="5"/>
        <v>3502.55831701064+1144.92917529216i</v>
      </c>
      <c r="X25" s="6" t="str">
        <f t="shared" si="5"/>
        <v>3897.82471234973+574.78727143548i</v>
      </c>
      <c r="Y25" s="6" t="str">
        <f t="shared" si="5"/>
        <v>4060.29938401594-180.426217137941i</v>
      </c>
      <c r="Z25" s="6" t="str">
        <f t="shared" si="5"/>
        <v>3876.06238270875-978.013268922816i</v>
      </c>
      <c r="AA25" s="6" t="str">
        <f t="shared" si="5"/>
        <v>3389.95378445527-1620.02131231284i</v>
      </c>
      <c r="AB25" s="6" t="str">
        <f t="shared" si="5"/>
        <v>2764.70264588539-2003.16626564955i</v>
      </c>
      <c r="AC25" s="6" t="str">
        <f t="shared" si="5"/>
        <v>2150.35846108087-2142.63374273716i</v>
      </c>
      <c r="AD25" s="6" t="str">
        <f t="shared" si="5"/>
        <v>1629.82674170119-2110.09422743173i</v>
      </c>
      <c r="AE25" s="6" t="str">
        <f t="shared" si="5"/>
        <v>1227.89194880094-1980.47392245145i</v>
      </c>
    </row>
    <row r="26" spans="1:31" x14ac:dyDescent="0.2">
      <c r="A26" t="s">
        <v>6</v>
      </c>
      <c r="B26" s="5">
        <f t="shared" ref="B26:AE26" si="6">IMREAL(B25)</f>
        <v>45.188037826385603</v>
      </c>
      <c r="C26" s="5">
        <f t="shared" si="6"/>
        <v>64.379091249280904</v>
      </c>
      <c r="D26" s="5">
        <f t="shared" si="6"/>
        <v>88.268427836974197</v>
      </c>
      <c r="E26" s="5">
        <f t="shared" si="6"/>
        <v>117.83175374918</v>
      </c>
      <c r="F26" s="5">
        <f t="shared" si="6"/>
        <v>154.242077669412</v>
      </c>
      <c r="G26" s="5">
        <f t="shared" si="6"/>
        <v>198.56384956943401</v>
      </c>
      <c r="H26" s="5">
        <f t="shared" si="6"/>
        <v>251.70699370103401</v>
      </c>
      <c r="I26" s="5">
        <f t="shared" si="6"/>
        <v>314.33321139182101</v>
      </c>
      <c r="J26" s="5">
        <f t="shared" si="6"/>
        <v>386.97019539711698</v>
      </c>
      <c r="K26" s="5">
        <f t="shared" si="6"/>
        <v>469.98186695506399</v>
      </c>
      <c r="L26" s="5">
        <f t="shared" si="6"/>
        <v>563.81385280944596</v>
      </c>
      <c r="M26" s="5">
        <f t="shared" si="6"/>
        <v>669.31353274788103</v>
      </c>
      <c r="N26" s="5">
        <f t="shared" si="6"/>
        <v>789.19392271761899</v>
      </c>
      <c r="O26" s="5">
        <f t="shared" si="6"/>
        <v>928.95907188615297</v>
      </c>
      <c r="P26" s="5">
        <f t="shared" si="6"/>
        <v>1093.77420717323</v>
      </c>
      <c r="Q26" s="5">
        <f t="shared" si="6"/>
        <v>1290.42462792436</v>
      </c>
      <c r="R26" s="5">
        <f t="shared" si="6"/>
        <v>1527.39216826999</v>
      </c>
      <c r="S26" s="5">
        <f t="shared" si="6"/>
        <v>1813.35166635618</v>
      </c>
      <c r="T26" s="5">
        <f t="shared" si="6"/>
        <v>2157.3889729718499</v>
      </c>
      <c r="U26" s="5">
        <f t="shared" si="6"/>
        <v>2565.9034214193698</v>
      </c>
      <c r="V26" s="5">
        <f t="shared" si="6"/>
        <v>3028.4875184663601</v>
      </c>
      <c r="W26" s="5">
        <f t="shared" si="6"/>
        <v>3502.5583170106402</v>
      </c>
      <c r="X26" s="5">
        <f t="shared" si="6"/>
        <v>3897.8247123497299</v>
      </c>
      <c r="Y26" s="5">
        <f t="shared" si="6"/>
        <v>4060.2993840159402</v>
      </c>
      <c r="Z26" s="5">
        <f t="shared" si="6"/>
        <v>3876.0623827087502</v>
      </c>
      <c r="AA26" s="5">
        <f t="shared" si="6"/>
        <v>3389.9537844552701</v>
      </c>
      <c r="AB26" s="5">
        <f t="shared" si="6"/>
        <v>2764.7026458853902</v>
      </c>
      <c r="AC26" s="5">
        <f t="shared" si="6"/>
        <v>2150.3584610808698</v>
      </c>
      <c r="AD26" s="5">
        <f t="shared" si="6"/>
        <v>1629.82674170119</v>
      </c>
      <c r="AE26" s="5">
        <f t="shared" si="6"/>
        <v>1227.8919488009401</v>
      </c>
    </row>
    <row r="27" spans="1:31" x14ac:dyDescent="0.2">
      <c r="A27" t="s">
        <v>7</v>
      </c>
      <c r="B27" s="5">
        <f t="shared" ref="B27:AE27" si="7">IMAGINARY(B25)</f>
        <v>533.98932593230199</v>
      </c>
      <c r="C27" s="5">
        <f t="shared" si="7"/>
        <v>583.53508111212602</v>
      </c>
      <c r="D27" s="5">
        <f t="shared" si="7"/>
        <v>631.81869485596303</v>
      </c>
      <c r="E27" s="5">
        <f t="shared" si="7"/>
        <v>679.71501147106301</v>
      </c>
      <c r="F27" s="5">
        <f t="shared" si="7"/>
        <v>731.81774996927197</v>
      </c>
      <c r="G27" s="5">
        <f t="shared" si="7"/>
        <v>792.47761234235702</v>
      </c>
      <c r="H27" s="5">
        <f t="shared" si="7"/>
        <v>863.41970793425401</v>
      </c>
      <c r="I27" s="5">
        <f t="shared" si="7"/>
        <v>943.88257222583104</v>
      </c>
      <c r="J27" s="5">
        <f t="shared" si="7"/>
        <v>1027.9301842755599</v>
      </c>
      <c r="K27" s="5">
        <f t="shared" si="7"/>
        <v>1111.0613190681099</v>
      </c>
      <c r="L27" s="5">
        <f t="shared" si="7"/>
        <v>1191.7587263502901</v>
      </c>
      <c r="M27" s="5">
        <f t="shared" si="7"/>
        <v>1270.7069398334099</v>
      </c>
      <c r="N27" s="5">
        <f t="shared" si="7"/>
        <v>1353.42847184722</v>
      </c>
      <c r="O27" s="5">
        <f t="shared" si="7"/>
        <v>1444.72075326761</v>
      </c>
      <c r="P27" s="5">
        <f t="shared" si="7"/>
        <v>1545.34490958073</v>
      </c>
      <c r="Q27" s="5">
        <f t="shared" si="7"/>
        <v>1649.8119488944501</v>
      </c>
      <c r="R27" s="5">
        <f t="shared" si="7"/>
        <v>1739.7177562060399</v>
      </c>
      <c r="S27" s="5">
        <f t="shared" si="7"/>
        <v>1795.9449473688601</v>
      </c>
      <c r="T27" s="5">
        <f t="shared" si="7"/>
        <v>1796.3242705007699</v>
      </c>
      <c r="U27" s="5">
        <f t="shared" si="7"/>
        <v>1712.4752634670899</v>
      </c>
      <c r="V27" s="5">
        <f t="shared" si="7"/>
        <v>1510.4458632364201</v>
      </c>
      <c r="W27" s="5">
        <f t="shared" si="7"/>
        <v>1144.9291752921599</v>
      </c>
      <c r="X27" s="5">
        <f t="shared" si="7"/>
        <v>574.78727143547997</v>
      </c>
      <c r="Y27" s="5">
        <f t="shared" si="7"/>
        <v>-180.42621713794099</v>
      </c>
      <c r="Z27" s="5">
        <f t="shared" si="7"/>
        <v>-978.013268922816</v>
      </c>
      <c r="AA27" s="5">
        <f t="shared" si="7"/>
        <v>-1620.0213123128401</v>
      </c>
      <c r="AB27" s="5">
        <f t="shared" si="7"/>
        <v>-2003.16626564955</v>
      </c>
      <c r="AC27" s="5">
        <f t="shared" si="7"/>
        <v>-2142.63374273716</v>
      </c>
      <c r="AD27" s="5">
        <f t="shared" si="7"/>
        <v>-2110.0942274317299</v>
      </c>
      <c r="AE27" s="5">
        <f t="shared" si="7"/>
        <v>-1980.4739224514501</v>
      </c>
    </row>
    <row r="28" spans="1:31" x14ac:dyDescent="0.2">
      <c r="A28" t="s">
        <v>15</v>
      </c>
      <c r="B28" s="5">
        <f t="shared" ref="B28:AE28" si="8">IMABS(B25)</f>
        <v>535.89789976471548</v>
      </c>
      <c r="C28" s="5">
        <f t="shared" si="8"/>
        <v>587.07568360358675</v>
      </c>
      <c r="D28" s="5">
        <f t="shared" si="8"/>
        <v>637.95468375293217</v>
      </c>
      <c r="E28" s="5">
        <f t="shared" si="8"/>
        <v>689.85275168742692</v>
      </c>
      <c r="F28" s="5">
        <f t="shared" si="8"/>
        <v>747.89560614691732</v>
      </c>
      <c r="G28" s="5">
        <f t="shared" si="8"/>
        <v>816.97513329334322</v>
      </c>
      <c r="H28" s="5">
        <f t="shared" si="8"/>
        <v>899.36088570010918</v>
      </c>
      <c r="I28" s="5">
        <f t="shared" si="8"/>
        <v>994.84655999583492</v>
      </c>
      <c r="J28" s="5">
        <f t="shared" si="8"/>
        <v>1098.3562244875156</v>
      </c>
      <c r="K28" s="5">
        <f t="shared" si="8"/>
        <v>1206.3748215193882</v>
      </c>
      <c r="L28" s="5">
        <f t="shared" si="8"/>
        <v>1318.3986204679893</v>
      </c>
      <c r="M28" s="5">
        <f t="shared" si="8"/>
        <v>1436.2021905220163</v>
      </c>
      <c r="N28" s="5">
        <f t="shared" si="8"/>
        <v>1566.7149313327948</v>
      </c>
      <c r="O28" s="5">
        <f t="shared" si="8"/>
        <v>1717.6096798055466</v>
      </c>
      <c r="P28" s="5">
        <f t="shared" si="8"/>
        <v>1893.2598622071148</v>
      </c>
      <c r="Q28" s="5">
        <f t="shared" si="8"/>
        <v>2094.534599157681</v>
      </c>
      <c r="R28" s="5">
        <f t="shared" si="8"/>
        <v>2315.0690501475501</v>
      </c>
      <c r="S28" s="5">
        <f t="shared" si="8"/>
        <v>2552.1877908681549</v>
      </c>
      <c r="T28" s="5">
        <f t="shared" si="8"/>
        <v>2807.3311285793588</v>
      </c>
      <c r="U28" s="5">
        <f t="shared" si="8"/>
        <v>3084.8714553508235</v>
      </c>
      <c r="V28" s="5">
        <f t="shared" si="8"/>
        <v>3384.2552142642176</v>
      </c>
      <c r="W28" s="5">
        <f t="shared" si="8"/>
        <v>3684.9392912903727</v>
      </c>
      <c r="X28" s="5">
        <f t="shared" si="8"/>
        <v>3939.9768902378728</v>
      </c>
      <c r="Y28" s="5">
        <f t="shared" si="8"/>
        <v>4064.306177894442</v>
      </c>
      <c r="Z28" s="5">
        <f t="shared" si="8"/>
        <v>3997.545440497071</v>
      </c>
      <c r="AA28" s="5">
        <f t="shared" si="8"/>
        <v>3757.1605918686018</v>
      </c>
      <c r="AB28" s="5">
        <f t="shared" si="8"/>
        <v>3414.1259215210621</v>
      </c>
      <c r="AC28" s="5">
        <f t="shared" si="8"/>
        <v>3035.6088131803044</v>
      </c>
      <c r="AD28" s="5">
        <f t="shared" si="8"/>
        <v>2666.2394597269445</v>
      </c>
      <c r="AE28" s="5">
        <f t="shared" si="8"/>
        <v>2330.2350944572959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 xr:uid="{00000000-0004-0000-0300-000000000000}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AE35"/>
  <sheetViews>
    <sheetView topLeftCell="A4" workbookViewId="0">
      <selection activeCell="C11" sqref="C11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885</v>
      </c>
      <c r="D7" s="16"/>
    </row>
    <row r="8" spans="1:4" x14ac:dyDescent="0.2">
      <c r="A8" t="s">
        <v>5</v>
      </c>
      <c r="B8" s="3">
        <v>9</v>
      </c>
      <c r="D8" s="16"/>
    </row>
    <row r="9" spans="1:4" x14ac:dyDescent="0.2">
      <c r="A9" t="s">
        <v>8</v>
      </c>
      <c r="B9" s="3">
        <v>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4.5041013874516867E-4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csinterpolate(CSTableU2,'FT140-43'!B18*1000000)</f>
        <v>62.806156889999997</v>
      </c>
      <c r="C19" s="7">
        <f>csinterpolate(CSTableU2,'FT140-43'!C18*1000000)</f>
        <v>88.590879034678693</v>
      </c>
      <c r="D19" s="7">
        <f>csinterpolate(CSTableU2,'FT140-43'!D18*1000000)</f>
        <v>149.31944870511313</v>
      </c>
      <c r="E19" s="7">
        <f>csinterpolate(CSTableU2,'FT140-43'!E18*1000000)</f>
        <v>164.84693443845484</v>
      </c>
      <c r="F19" s="7">
        <f>csinterpolate(CSTableU2,'FT140-43'!F18*1000000)</f>
        <v>194.09240685957292</v>
      </c>
      <c r="G19" s="7">
        <f>csinterpolate(CSTableU2,'FT140-43'!G18*1000000)</f>
        <v>212.25123818145755</v>
      </c>
      <c r="H19" s="7">
        <f>csinterpolate(CSTableU2,'FT140-43'!H18*1000000)</f>
        <v>222.61469783871939</v>
      </c>
      <c r="I19" s="7">
        <f>csinterpolate(CSTableU2,'FT140-43'!I18*1000000)</f>
        <v>227.99294072128737</v>
      </c>
      <c r="J19" s="7">
        <f>csinterpolate(CSTableU2,'FT140-43'!J18*1000000)</f>
        <v>230.73650181843422</v>
      </c>
      <c r="K19" s="7">
        <f>csinterpolate(CSTableU2,'FT140-43'!K18*1000000)</f>
        <v>231.76055744625637</v>
      </c>
      <c r="L19" s="7">
        <f>csinterpolate(CSTableU2,'FT140-43'!L18*1000000)</f>
        <v>231.5816749650173</v>
      </c>
      <c r="M19" s="7">
        <f>csinterpolate(CSTableU2,'FT140-43'!M18*1000000)</f>
        <v>230.71610985828033</v>
      </c>
      <c r="N19" s="7">
        <f>csinterpolate(CSTableU2,'FT140-43'!N18*1000000)</f>
        <v>228.27786020805809</v>
      </c>
      <c r="O19" s="7">
        <f>csinterpolate(CSTableU2,'FT140-43'!O18*1000000)</f>
        <v>225.61849570541494</v>
      </c>
      <c r="P19" s="7">
        <f>csinterpolate(CSTableU2,'FT140-43'!P18*1000000)</f>
        <v>223.21661937748814</v>
      </c>
      <c r="Q19" s="7">
        <f>csinterpolate(CSTableU2,'FT140-43'!Q18*1000000)</f>
        <v>220.6469586</v>
      </c>
      <c r="R19" s="7">
        <f>csinterpolate(CSTableU2,'FT140-43'!R18*1000000)</f>
        <v>217.42371569860856</v>
      </c>
      <c r="S19" s="7">
        <f>csinterpolate(CSTableU2,'FT140-43'!S18*1000000)</f>
        <v>213.62398562766845</v>
      </c>
      <c r="T19" s="7">
        <f>csinterpolate(CSTableU2,'FT140-43'!T18*1000000)</f>
        <v>209.4656387187986</v>
      </c>
      <c r="U19" s="7">
        <f>csinterpolate(CSTableU2,'FT140-43'!U18*1000000)</f>
        <v>205.16650282262194</v>
      </c>
      <c r="V19" s="7">
        <f>csinterpolate(CSTableU2,'FT140-43'!V18*1000000)</f>
        <v>200.94438123173398</v>
      </c>
      <c r="W19" s="7">
        <f>csinterpolate(CSTableU2,'FT140-43'!W18*1000000)</f>
        <v>196.96248291112678</v>
      </c>
      <c r="X19" s="7">
        <f>csinterpolate(CSTableU2,'FT140-43'!X18*1000000)</f>
        <v>193.22040777268447</v>
      </c>
      <c r="Y19" s="7">
        <f>csinterpolate(CSTableU2,'FT140-43'!Y18*1000000)</f>
        <v>189.68726462651435</v>
      </c>
      <c r="Z19" s="7">
        <f>csinterpolate(CSTableU2,'FT140-43'!Z18*1000000)</f>
        <v>186.33214134317572</v>
      </c>
      <c r="AA19" s="7">
        <f>csinterpolate(CSTableU2,'FT140-43'!AA18*1000000)</f>
        <v>177.04080458652163</v>
      </c>
      <c r="AB19" s="7">
        <f>csinterpolate(CSTableU2,'FT140-43'!AB18*1000000)</f>
        <v>171.24984986633834</v>
      </c>
      <c r="AC19" s="7">
        <f>csinterpolate(CSTableU2,'FT140-43'!AC18*1000000)</f>
        <v>165.57249087919985</v>
      </c>
      <c r="AD19" s="7">
        <f>csinterpolate(CSTableU2,'FT140-43'!AD18*1000000)</f>
        <v>159.82992478445121</v>
      </c>
      <c r="AE19" s="7">
        <f>csinterpolate(CSTableU2,'FT140-43'!AE18*1000000)</f>
        <v>153.87192534130403</v>
      </c>
    </row>
    <row r="20" spans="1:31" x14ac:dyDescent="0.2">
      <c r="A20" t="s">
        <v>3</v>
      </c>
      <c r="B20" s="7">
        <f>csinterpolate(CSTableU1,'FT140-43'!B18*1000000)</f>
        <v>748.82965526252349</v>
      </c>
      <c r="C20" s="7">
        <f>csinterpolate(CSTableU1,'FT140-43'!C18*1000000)</f>
        <v>711.16368591923231</v>
      </c>
      <c r="D20" s="7">
        <f>csinterpolate(CSTableU1,'FT140-43'!D18*1000000)</f>
        <v>609.84521067104197</v>
      </c>
      <c r="E20" s="7">
        <f>csinterpolate(CSTableU1,'FT140-43'!E18*1000000)</f>
        <v>590.43683517566922</v>
      </c>
      <c r="F20" s="7">
        <f>csinterpolate(CSTableU1,'FT140-43'!F18*1000000)</f>
        <v>552.51543169258457</v>
      </c>
      <c r="G20" s="7">
        <f>csinterpolate(CSTableU1,'FT140-43'!G18*1000000)</f>
        <v>514.10164955020889</v>
      </c>
      <c r="H20" s="7">
        <f>csinterpolate(CSTableU1,'FT140-43'!H18*1000000)</f>
        <v>477.05218730162227</v>
      </c>
      <c r="I20" s="7">
        <f>csinterpolate(CSTableU1,'FT140-43'!I18*1000000)</f>
        <v>445.17842033805402</v>
      </c>
      <c r="J20" s="7">
        <f>csinterpolate(CSTableU1,'FT140-43'!J18*1000000)</f>
        <v>419.63998064819731</v>
      </c>
      <c r="K20" s="7">
        <f>csinterpolate(CSTableU1,'FT140-43'!K18*1000000)</f>
        <v>398.91760860580126</v>
      </c>
      <c r="L20" s="7">
        <f>csinterpolate(CSTableU1,'FT140-43'!L18*1000000)</f>
        <v>381.37346142845843</v>
      </c>
      <c r="M20" s="7">
        <f>csinterpolate(CSTableU1,'FT140-43'!M18*1000000)</f>
        <v>365.37712557783078</v>
      </c>
      <c r="N20" s="7">
        <f>csinterpolate(CSTableU1,'FT140-43'!N18*1000000)</f>
        <v>334.94222955130334</v>
      </c>
      <c r="O20" s="7">
        <f>csinterpolate(CSTableU1,'FT140-43'!O18*1000000)</f>
        <v>307.00600947171955</v>
      </c>
      <c r="P20" s="7">
        <f>csinterpolate(CSTableU1,'FT140-43'!P18*1000000)</f>
        <v>282.39915680429408</v>
      </c>
      <c r="Q20" s="7">
        <f>csinterpolate(CSTableU1,'FT140-43'!Q18*1000000)</f>
        <v>261.62060355602716</v>
      </c>
      <c r="R20" s="7">
        <f>csinterpolate(CSTableU1,'FT140-43'!R18*1000000)</f>
        <v>244.11539967135678</v>
      </c>
      <c r="S20" s="7">
        <f>csinterpolate(CSTableU1,'FT140-43'!S18*1000000)</f>
        <v>229.11984224841194</v>
      </c>
      <c r="T20" s="7">
        <f>csinterpolate(CSTableU1,'FT140-43'!T18*1000000)</f>
        <v>215.87024501467678</v>
      </c>
      <c r="U20" s="7">
        <f>csinterpolate(CSTableU1,'FT140-43'!U18*1000000)</f>
        <v>203.61154173946414</v>
      </c>
      <c r="V20" s="7">
        <f>csinterpolate(CSTableU1,'FT140-43'!V18*1000000)</f>
        <v>191.93148822449245</v>
      </c>
      <c r="W20" s="7">
        <f>csinterpolate(CSTableU1,'FT140-43'!W18*1000000)</f>
        <v>180.86787915758393</v>
      </c>
      <c r="X20" s="7">
        <f>csinterpolate(CSTableU1,'FT140-43'!X18*1000000)</f>
        <v>170.48900691856036</v>
      </c>
      <c r="Y20" s="7">
        <f>csinterpolate(CSTableU1,'FT140-43'!Y18*1000000)</f>
        <v>160.86317032687728</v>
      </c>
      <c r="Z20" s="7">
        <f>csinterpolate(CSTableU1,'FT140-43'!Z18*1000000)</f>
        <v>152.05044940691147</v>
      </c>
      <c r="AA20" s="7">
        <f>csinterpolate(CSTableU1,'FT140-43'!AA18*1000000)</f>
        <v>130.0529425335306</v>
      </c>
      <c r="AB20" s="7">
        <f>csinterpolate(CSTableU1,'FT140-43'!AB18*1000000)</f>
        <v>118.35127203670631</v>
      </c>
      <c r="AC20" s="7">
        <f>csinterpolate(CSTableU1,'FT140-43'!AC18*1000000)</f>
        <v>108.33087305026413</v>
      </c>
      <c r="AD20" s="7">
        <f>csinterpolate(CSTableU1,'FT140-43'!AD18*1000000)</f>
        <v>99.51049694962343</v>
      </c>
      <c r="AE20" s="7">
        <f>csinterpolate(CSTableU1,'FT140-43'!AE18*1000000)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35.360662298594661</v>
      </c>
      <c r="C21" s="5">
        <f t="shared" si="1"/>
        <v>59.85334517634913</v>
      </c>
      <c r="D21" s="5">
        <f t="shared" si="1"/>
        <v>151.32373561939974</v>
      </c>
      <c r="E21" s="5">
        <f t="shared" si="1"/>
        <v>185.62182653035043</v>
      </c>
      <c r="F21" s="5">
        <f t="shared" si="1"/>
        <v>273.19121219688736</v>
      </c>
      <c r="G21" s="5">
        <f t="shared" si="1"/>
        <v>358.50041114304048</v>
      </c>
      <c r="H21" s="5">
        <f t="shared" si="1"/>
        <v>438.67213661359983</v>
      </c>
      <c r="I21" s="5">
        <f t="shared" si="1"/>
        <v>513.45166031597034</v>
      </c>
      <c r="J21" s="5">
        <f t="shared" si="1"/>
        <v>584.58408636158913</v>
      </c>
      <c r="K21" s="5">
        <f t="shared" si="1"/>
        <v>652.4206552189122</v>
      </c>
      <c r="L21" s="5">
        <f t="shared" si="1"/>
        <v>717.10879866884488</v>
      </c>
      <c r="M21" s="5">
        <f t="shared" si="1"/>
        <v>779.37656289010215</v>
      </c>
      <c r="N21" s="5">
        <f t="shared" si="1"/>
        <v>899.66329852666456</v>
      </c>
      <c r="O21" s="5">
        <f t="shared" si="1"/>
        <v>1016.2085795415218</v>
      </c>
      <c r="P21" s="5">
        <f t="shared" si="1"/>
        <v>1131.0640706704719</v>
      </c>
      <c r="Q21" s="5">
        <f t="shared" si="1"/>
        <v>1242.2703404590686</v>
      </c>
      <c r="R21" s="5">
        <f t="shared" si="1"/>
        <v>1346.5353818716303</v>
      </c>
      <c r="S21" s="5">
        <f t="shared" si="1"/>
        <v>1443.2761350878111</v>
      </c>
      <c r="T21" s="5">
        <f t="shared" si="1"/>
        <v>1533.1135202122912</v>
      </c>
      <c r="U21" s="5">
        <f t="shared" si="1"/>
        <v>1617.1587775384683</v>
      </c>
      <c r="V21" s="5">
        <f t="shared" si="1"/>
        <v>1697.0134993246381</v>
      </c>
      <c r="W21" s="5">
        <f t="shared" si="1"/>
        <v>1774.2779851118707</v>
      </c>
      <c r="X21" s="5">
        <f t="shared" si="1"/>
        <v>1849.3541518074737</v>
      </c>
      <c r="Y21" s="5">
        <f t="shared" si="1"/>
        <v>1922.3340115189467</v>
      </c>
      <c r="Z21" s="5">
        <f t="shared" si="1"/>
        <v>1993.2397838327738</v>
      </c>
      <c r="AA21" s="5">
        <f t="shared" si="1"/>
        <v>2192.8767673277166</v>
      </c>
      <c r="AB21" s="5">
        <f t="shared" si="1"/>
        <v>2313.9800591516027</v>
      </c>
      <c r="AC21" s="5">
        <f t="shared" si="1"/>
        <v>2423.7046791517164</v>
      </c>
      <c r="AD21" s="5">
        <f t="shared" si="1"/>
        <v>2519.615650922809</v>
      </c>
      <c r="AE21" s="5">
        <f t="shared" si="1"/>
        <v>2598.9553215736114</v>
      </c>
    </row>
    <row r="22" spans="1:31" x14ac:dyDescent="0.2">
      <c r="A22" t="s">
        <v>11</v>
      </c>
      <c r="B22" s="5">
        <f t="shared" ref="B22:AE22" si="2">B20/$B$13*$B$16*B18*1000000</f>
        <v>421.60058615411248</v>
      </c>
      <c r="C22" s="5">
        <f t="shared" si="2"/>
        <v>480.47300166811044</v>
      </c>
      <c r="D22" s="5">
        <f t="shared" si="2"/>
        <v>618.03104839069647</v>
      </c>
      <c r="E22" s="5">
        <f t="shared" si="2"/>
        <v>664.84684212932859</v>
      </c>
      <c r="F22" s="5">
        <f t="shared" si="2"/>
        <v>777.68297577344924</v>
      </c>
      <c r="G22" s="5">
        <f t="shared" si="2"/>
        <v>868.33723238636117</v>
      </c>
      <c r="H22" s="5">
        <f t="shared" si="2"/>
        <v>940.05249568654312</v>
      </c>
      <c r="I22" s="5">
        <f t="shared" si="2"/>
        <v>1002.5643703540894</v>
      </c>
      <c r="J22" s="5">
        <f t="shared" si="2"/>
        <v>1063.1818232256062</v>
      </c>
      <c r="K22" s="5">
        <f t="shared" si="2"/>
        <v>1122.9783465001865</v>
      </c>
      <c r="L22" s="5">
        <f t="shared" si="2"/>
        <v>1180.9495065205556</v>
      </c>
      <c r="M22" s="5">
        <f t="shared" si="2"/>
        <v>1234.2717136936626</v>
      </c>
      <c r="N22" s="5">
        <f t="shared" si="2"/>
        <v>1320.0370407334135</v>
      </c>
      <c r="O22" s="5">
        <f t="shared" si="2"/>
        <v>1382.7861932175779</v>
      </c>
      <c r="P22" s="5">
        <f t="shared" si="2"/>
        <v>1430.9487382245832</v>
      </c>
      <c r="Q22" s="5">
        <f t="shared" si="2"/>
        <v>1472.9571543283121</v>
      </c>
      <c r="R22" s="5">
        <f t="shared" si="2"/>
        <v>1511.8407017423617</v>
      </c>
      <c r="S22" s="5">
        <f t="shared" si="2"/>
        <v>1547.9684990456758</v>
      </c>
      <c r="T22" s="5">
        <f t="shared" si="2"/>
        <v>1579.9898888802295</v>
      </c>
      <c r="U22" s="5">
        <f t="shared" si="2"/>
        <v>1604.9022983873208</v>
      </c>
      <c r="V22" s="5">
        <f t="shared" si="2"/>
        <v>1620.8979045142567</v>
      </c>
      <c r="W22" s="5">
        <f t="shared" si="2"/>
        <v>1629.2945309182358</v>
      </c>
      <c r="X22" s="5">
        <f t="shared" si="2"/>
        <v>1631.7870167901895</v>
      </c>
      <c r="Y22" s="5">
        <f t="shared" si="2"/>
        <v>1630.2240644831213</v>
      </c>
      <c r="Z22" s="5">
        <f t="shared" si="2"/>
        <v>1626.5202703237658</v>
      </c>
      <c r="AA22" s="5">
        <f t="shared" si="2"/>
        <v>1610.8720069954863</v>
      </c>
      <c r="AB22" s="5">
        <f t="shared" si="2"/>
        <v>1599.1983857616028</v>
      </c>
      <c r="AC22" s="5">
        <f t="shared" si="2"/>
        <v>1585.7830157310282</v>
      </c>
      <c r="AD22" s="5">
        <f t="shared" si="2"/>
        <v>1568.7187858188199</v>
      </c>
      <c r="AE22" s="5">
        <f t="shared" si="2"/>
        <v>1549.0982829411364</v>
      </c>
    </row>
    <row r="23" spans="1:31" x14ac:dyDescent="0.2">
      <c r="A23" t="s">
        <v>12</v>
      </c>
      <c r="B23" s="5" t="str">
        <f t="shared" ref="B23:AE23" si="3">IMDIV(1,COMPLEX(B21,B22))</f>
        <v>0.000197548434988891-0.00235534434513275i</v>
      </c>
      <c r="C23" s="5" t="str">
        <f t="shared" si="3"/>
        <v>0.000255307031540615-0.00204947836131582i</v>
      </c>
      <c r="D23" s="5" t="str">
        <f t="shared" si="3"/>
        <v>0.000373766903396677-0.00152652556596269i</v>
      </c>
      <c r="E23" s="5" t="str">
        <f t="shared" si="3"/>
        <v>0.000389571605573572-0.00139533941988494i</v>
      </c>
      <c r="F23" s="5" t="str">
        <f t="shared" si="3"/>
        <v>0.000402092231042266-0.00114462057640044i</v>
      </c>
      <c r="G23" s="5" t="str">
        <f t="shared" si="3"/>
        <v>0.000406217987544565-0.000983915755982957i</v>
      </c>
      <c r="H23" s="5" t="str">
        <f t="shared" si="3"/>
        <v>0.000407637875141175-0.000873547622196848i</v>
      </c>
      <c r="I23" s="5" t="str">
        <f t="shared" si="3"/>
        <v>0.000404685246630823-0.000790187355184215i</v>
      </c>
      <c r="J23" s="5" t="str">
        <f t="shared" si="3"/>
        <v>0.000397110530624898-0.000722224069764911i</v>
      </c>
      <c r="K23" s="5" t="str">
        <f t="shared" si="3"/>
        <v>0.000386795435332024-0.000665771224329543i</v>
      </c>
      <c r="L23" s="5" t="str">
        <f t="shared" si="3"/>
        <v>0.000375668589364093-0.000618658753104594i</v>
      </c>
      <c r="M23" s="5" t="str">
        <f t="shared" si="3"/>
        <v>0.000365757758939073-0.000579237915813667i</v>
      </c>
      <c r="N23" s="5" t="str">
        <f t="shared" si="3"/>
        <v>0.000352547582369004-0.000517277817279221i</v>
      </c>
      <c r="O23" s="5" t="str">
        <f t="shared" si="3"/>
        <v>0.000345088404150934-0.000469572379436797i</v>
      </c>
      <c r="P23" s="5" t="str">
        <f t="shared" si="3"/>
        <v>0.00033997330706012-0.000430112128377784i</v>
      </c>
      <c r="Q23" s="5" t="str">
        <f t="shared" si="3"/>
        <v>0.000334587777389889-0.000396719976647855i</v>
      </c>
      <c r="R23" s="5" t="str">
        <f t="shared" si="3"/>
        <v>0.000328517825557636-0.000368847804976044i</v>
      </c>
      <c r="S23" s="5" t="str">
        <f t="shared" si="3"/>
        <v>0.00032221361550215-0.000345586346669966i</v>
      </c>
      <c r="T23" s="5" t="str">
        <f t="shared" si="3"/>
        <v>0.00031631424905533-0.000325985850771808i</v>
      </c>
      <c r="U23" s="5" t="str">
        <f t="shared" si="3"/>
        <v>0.000311536428644448-0.000309175287737606i</v>
      </c>
      <c r="V23" s="5" t="str">
        <f t="shared" si="3"/>
        <v>0.000308146487449417-0.000294325293221866i</v>
      </c>
      <c r="W23" s="5" t="str">
        <f t="shared" si="3"/>
        <v>0.000305769605062187-0.000280783929817762i</v>
      </c>
      <c r="X23" s="5" t="str">
        <f t="shared" si="3"/>
        <v>0.000304028095287355-0.000268260732074753i</v>
      </c>
      <c r="Y23" s="5" t="str">
        <f t="shared" si="3"/>
        <v>0.000302586880148804-0.000256607025969268i</v>
      </c>
      <c r="Z23" s="5" t="str">
        <f t="shared" si="3"/>
        <v>0.000301158539176758-0.000245750898875892i</v>
      </c>
      <c r="AA23" s="5" t="str">
        <f t="shared" si="3"/>
        <v>0.0002961899198699-0.000217579053133064i</v>
      </c>
      <c r="AB23" s="5" t="str">
        <f t="shared" si="3"/>
        <v>0.000292466865990702-0.000202124706360939i</v>
      </c>
      <c r="AC23" s="5" t="str">
        <f t="shared" si="3"/>
        <v>0.000288912816053519-0.000189030058268091i</v>
      </c>
      <c r="AD23" s="5" t="str">
        <f t="shared" si="3"/>
        <v>0.000286016339123237-0.000178074463090996i</v>
      </c>
      <c r="AE23" s="5" t="str">
        <f t="shared" si="3"/>
        <v>0.000283906211408274-0.000169221310177273i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35.9294385629976+424.953738491773i</v>
      </c>
      <c r="C25" s="6" t="str">
        <f t="shared" si="5"/>
        <v>61.1757282358084+485.668444524587i</v>
      </c>
      <c r="D25" s="6" t="str">
        <f t="shared" si="5"/>
        <v>157.871046777876+630.440385347071i</v>
      </c>
      <c r="E25" s="6" t="str">
        <f t="shared" si="5"/>
        <v>195.278564626737+680.537407862357i</v>
      </c>
      <c r="F25" s="6" t="str">
        <f t="shared" si="5"/>
        <v>294.319250014745+803.334102863636i</v>
      </c>
      <c r="G25" s="6" t="str">
        <f t="shared" si="5"/>
        <v>396.301428169624+904.728280793117i</v>
      </c>
      <c r="H25" s="6" t="str">
        <f t="shared" si="5"/>
        <v>498.124911472665+986.838661699777i</v>
      </c>
      <c r="I25" s="6" t="str">
        <f t="shared" si="5"/>
        <v>599.805920541929+1059.4276825779i</v>
      </c>
      <c r="J25" s="6" t="str">
        <f t="shared" si="5"/>
        <v>704.125530717699+1130.19003717265i</v>
      </c>
      <c r="K25" s="6" t="str">
        <f t="shared" si="5"/>
        <v>812.169308062916+1200.04984092698i</v>
      </c>
      <c r="L25" s="6" t="str">
        <f t="shared" si="5"/>
        <v>924.523165139662+1267.38481997187i</v>
      </c>
      <c r="M25" s="6" t="str">
        <f t="shared" si="5"/>
        <v>1041.84965044655+1327.78700863921i</v>
      </c>
      <c r="N25" s="6" t="str">
        <f t="shared" si="5"/>
        <v>1292.47330703171+1412.66019372616i</v>
      </c>
      <c r="O25" s="6" t="str">
        <f t="shared" si="5"/>
        <v>1563.57947921356+1444.35889426527i</v>
      </c>
      <c r="P25" s="6" t="str">
        <f t="shared" si="5"/>
        <v>1853.4786593005+1420.01855524615i</v>
      </c>
      <c r="Q25" s="6" t="str">
        <f t="shared" si="5"/>
        <v>2154.37227012038+1340.73310859691i</v>
      </c>
      <c r="R25" s="6" t="str">
        <f t="shared" si="5"/>
        <v>2451.49602728144+1205.18027252802i</v>
      </c>
      <c r="S25" s="6" t="str">
        <f t="shared" si="5"/>
        <v>2728.86660375642+1011.14273471963i</v>
      </c>
      <c r="T25" s="6" t="str">
        <f t="shared" si="5"/>
        <v>2967.1266668057+759.257766997422i</v>
      </c>
      <c r="U25" s="6" t="str">
        <f t="shared" si="5"/>
        <v>3143.48714676102+456.902677666033i</v>
      </c>
      <c r="V25" s="6" t="str">
        <f t="shared" si="5"/>
        <v>3240.63176380763+121.801970297764i</v>
      </c>
      <c r="W25" s="6" t="str">
        <f t="shared" si="5"/>
        <v>3255.35937540557-221.541506891622i</v>
      </c>
      <c r="X25" s="6" t="str">
        <f t="shared" si="5"/>
        <v>3195.048646702-548.380665972585i</v>
      </c>
      <c r="Y25" s="6" t="str">
        <f t="shared" si="5"/>
        <v>3075.20661508132-840.331871760672i</v>
      </c>
      <c r="Z25" s="6" t="str">
        <f t="shared" si="5"/>
        <v>2914.58432419785-1087.70638650122i</v>
      </c>
      <c r="AA25" s="6" t="str">
        <f t="shared" si="5"/>
        <v>2339.91873577352-1557.19052365015i</v>
      </c>
      <c r="AB25" s="6" t="str">
        <f t="shared" si="5"/>
        <v>1973.87011753351-1689.04564392557i</v>
      </c>
      <c r="AC25" s="6" t="str">
        <f t="shared" si="5"/>
        <v>1659.40021313909-1729.15958801196i</v>
      </c>
      <c r="AD25" s="6" t="str">
        <f t="shared" si="5"/>
        <v>1401.32235376896-1713.40137328727i</v>
      </c>
      <c r="AE25" s="6" t="str">
        <f t="shared" si="5"/>
        <v>1194.74574776933-1667.58015058317i</v>
      </c>
    </row>
    <row r="26" spans="1:31" x14ac:dyDescent="0.2">
      <c r="A26" t="s">
        <v>6</v>
      </c>
      <c r="B26" s="5">
        <f t="shared" ref="B26:AE26" si="6">IMREAL(B25)</f>
        <v>35.929438562997603</v>
      </c>
      <c r="C26" s="5">
        <f t="shared" si="6"/>
        <v>61.1757282358084</v>
      </c>
      <c r="D26" s="5">
        <f t="shared" si="6"/>
        <v>157.87104677787599</v>
      </c>
      <c r="E26" s="5">
        <f t="shared" si="6"/>
        <v>195.27856462673699</v>
      </c>
      <c r="F26" s="5">
        <f t="shared" si="6"/>
        <v>294.31925001474502</v>
      </c>
      <c r="G26" s="5">
        <f t="shared" si="6"/>
        <v>396.30142816962399</v>
      </c>
      <c r="H26" s="5">
        <f t="shared" si="6"/>
        <v>498.12491147266502</v>
      </c>
      <c r="I26" s="5">
        <f t="shared" si="6"/>
        <v>599.80592054192903</v>
      </c>
      <c r="J26" s="5">
        <f t="shared" si="6"/>
        <v>704.12553071769901</v>
      </c>
      <c r="K26" s="5">
        <f t="shared" si="6"/>
        <v>812.169308062916</v>
      </c>
      <c r="L26" s="5">
        <f t="shared" si="6"/>
        <v>924.52316513966196</v>
      </c>
      <c r="M26" s="5">
        <f t="shared" si="6"/>
        <v>1041.84965044655</v>
      </c>
      <c r="N26" s="5">
        <f t="shared" si="6"/>
        <v>1292.47330703171</v>
      </c>
      <c r="O26" s="5">
        <f t="shared" si="6"/>
        <v>1563.57947921356</v>
      </c>
      <c r="P26" s="5">
        <f t="shared" si="6"/>
        <v>1853.4786593005001</v>
      </c>
      <c r="Q26" s="5">
        <f t="shared" si="6"/>
        <v>2154.3722701203801</v>
      </c>
      <c r="R26" s="5">
        <f t="shared" si="6"/>
        <v>2451.4960272814401</v>
      </c>
      <c r="S26" s="5">
        <f t="shared" si="6"/>
        <v>2728.8666037564199</v>
      </c>
      <c r="T26" s="5">
        <f t="shared" si="6"/>
        <v>2967.1266668057001</v>
      </c>
      <c r="U26" s="5">
        <f t="shared" si="6"/>
        <v>3143.4871467610201</v>
      </c>
      <c r="V26" s="5">
        <f t="shared" si="6"/>
        <v>3240.6317638076298</v>
      </c>
      <c r="W26" s="5">
        <f t="shared" si="6"/>
        <v>3255.3593754055701</v>
      </c>
      <c r="X26" s="5">
        <f t="shared" si="6"/>
        <v>3195.048646702</v>
      </c>
      <c r="Y26" s="5">
        <f t="shared" si="6"/>
        <v>3075.2066150813198</v>
      </c>
      <c r="Z26" s="5">
        <f t="shared" si="6"/>
        <v>2914.58432419785</v>
      </c>
      <c r="AA26" s="5">
        <f t="shared" si="6"/>
        <v>2339.91873577352</v>
      </c>
      <c r="AB26" s="5">
        <f t="shared" si="6"/>
        <v>1973.87011753351</v>
      </c>
      <c r="AC26" s="5">
        <f t="shared" si="6"/>
        <v>1659.4002131390901</v>
      </c>
      <c r="AD26" s="5">
        <f t="shared" si="6"/>
        <v>1401.3223537689601</v>
      </c>
      <c r="AE26" s="5">
        <f t="shared" si="6"/>
        <v>1194.7457477693299</v>
      </c>
    </row>
    <row r="27" spans="1:31" x14ac:dyDescent="0.2">
      <c r="A27" t="s">
        <v>7</v>
      </c>
      <c r="B27" s="5">
        <f t="shared" ref="B27:AE27" si="7">IMAGINARY(B25)</f>
        <v>424.95373849177298</v>
      </c>
      <c r="C27" s="5">
        <f t="shared" si="7"/>
        <v>485.66844452458702</v>
      </c>
      <c r="D27" s="5">
        <f t="shared" si="7"/>
        <v>630.44038534707101</v>
      </c>
      <c r="E27" s="5">
        <f t="shared" si="7"/>
        <v>680.53740786235699</v>
      </c>
      <c r="F27" s="5">
        <f t="shared" si="7"/>
        <v>803.33410286363596</v>
      </c>
      <c r="G27" s="5">
        <f t="shared" si="7"/>
        <v>904.72828079311705</v>
      </c>
      <c r="H27" s="5">
        <f t="shared" si="7"/>
        <v>986.83866169977705</v>
      </c>
      <c r="I27" s="5">
        <f t="shared" si="7"/>
        <v>1059.4276825779</v>
      </c>
      <c r="J27" s="5">
        <f t="shared" si="7"/>
        <v>1130.1900371726499</v>
      </c>
      <c r="K27" s="5">
        <f t="shared" si="7"/>
        <v>1200.0498409269801</v>
      </c>
      <c r="L27" s="5">
        <f t="shared" si="7"/>
        <v>1267.38481997187</v>
      </c>
      <c r="M27" s="5">
        <f t="shared" si="7"/>
        <v>1327.7870086392099</v>
      </c>
      <c r="N27" s="5">
        <f t="shared" si="7"/>
        <v>1412.6601937261601</v>
      </c>
      <c r="O27" s="5">
        <f t="shared" si="7"/>
        <v>1444.35889426527</v>
      </c>
      <c r="P27" s="5">
        <f t="shared" si="7"/>
        <v>1420.0185552461501</v>
      </c>
      <c r="Q27" s="5">
        <f t="shared" si="7"/>
        <v>1340.7331085969099</v>
      </c>
      <c r="R27" s="5">
        <f t="shared" si="7"/>
        <v>1205.1802725280199</v>
      </c>
      <c r="S27" s="5">
        <f t="shared" si="7"/>
        <v>1011.14273471963</v>
      </c>
      <c r="T27" s="5">
        <f t="shared" si="7"/>
        <v>759.25776699742198</v>
      </c>
      <c r="U27" s="5">
        <f t="shared" si="7"/>
        <v>456.90267766603301</v>
      </c>
      <c r="V27" s="5">
        <f t="shared" si="7"/>
        <v>121.801970297764</v>
      </c>
      <c r="W27" s="5">
        <f t="shared" si="7"/>
        <v>-221.54150689162199</v>
      </c>
      <c r="X27" s="5">
        <f t="shared" si="7"/>
        <v>-548.38066597258501</v>
      </c>
      <c r="Y27" s="5">
        <f t="shared" si="7"/>
        <v>-840.33187176067202</v>
      </c>
      <c r="Z27" s="5">
        <f t="shared" si="7"/>
        <v>-1087.7063865012201</v>
      </c>
      <c r="AA27" s="5">
        <f t="shared" si="7"/>
        <v>-1557.19052365015</v>
      </c>
      <c r="AB27" s="5">
        <f t="shared" si="7"/>
        <v>-1689.0456439255699</v>
      </c>
      <c r="AC27" s="5">
        <f t="shared" si="7"/>
        <v>-1729.1595880119601</v>
      </c>
      <c r="AD27" s="5">
        <f t="shared" si="7"/>
        <v>-1713.40137328727</v>
      </c>
      <c r="AE27" s="5">
        <f t="shared" si="7"/>
        <v>-1667.5801505831701</v>
      </c>
    </row>
    <row r="28" spans="1:31" x14ac:dyDescent="0.2">
      <c r="A28" t="s">
        <v>15</v>
      </c>
      <c r="B28" s="5">
        <f t="shared" ref="B28:AE28" si="8">IMABS(B25)</f>
        <v>426.46993377445312</v>
      </c>
      <c r="C28" s="5">
        <f t="shared" si="8"/>
        <v>489.50618763414354</v>
      </c>
      <c r="D28" s="5">
        <f t="shared" si="8"/>
        <v>649.90641394535078</v>
      </c>
      <c r="E28" s="5">
        <f t="shared" si="8"/>
        <v>708.00062238863507</v>
      </c>
      <c r="F28" s="5">
        <f t="shared" si="8"/>
        <v>855.55216191239026</v>
      </c>
      <c r="G28" s="5">
        <f t="shared" si="8"/>
        <v>987.71862594372135</v>
      </c>
      <c r="H28" s="5">
        <f t="shared" si="8"/>
        <v>1105.4315771023812</v>
      </c>
      <c r="I28" s="5">
        <f t="shared" si="8"/>
        <v>1217.4375371777933</v>
      </c>
      <c r="J28" s="5">
        <f t="shared" si="8"/>
        <v>1331.5863783971347</v>
      </c>
      <c r="K28" s="5">
        <f t="shared" si="8"/>
        <v>1449.0474821993466</v>
      </c>
      <c r="L28" s="5">
        <f t="shared" si="8"/>
        <v>1568.7598174274442</v>
      </c>
      <c r="M28" s="5">
        <f t="shared" si="8"/>
        <v>1687.7408078394797</v>
      </c>
      <c r="N28" s="5">
        <f t="shared" si="8"/>
        <v>1914.7052181283461</v>
      </c>
      <c r="O28" s="5">
        <f t="shared" si="8"/>
        <v>2128.6036275598472</v>
      </c>
      <c r="P28" s="5">
        <f t="shared" si="8"/>
        <v>2334.916666120173</v>
      </c>
      <c r="Q28" s="5">
        <f t="shared" si="8"/>
        <v>2537.495841721041</v>
      </c>
      <c r="R28" s="5">
        <f t="shared" si="8"/>
        <v>2731.7196527219621</v>
      </c>
      <c r="S28" s="5">
        <f t="shared" si="8"/>
        <v>2910.1756941932886</v>
      </c>
      <c r="T28" s="5">
        <f t="shared" si="8"/>
        <v>3062.7296670805626</v>
      </c>
      <c r="U28" s="5">
        <f t="shared" si="8"/>
        <v>3176.5187704010391</v>
      </c>
      <c r="V28" s="5">
        <f t="shared" si="8"/>
        <v>3242.9199725814028</v>
      </c>
      <c r="W28" s="5">
        <f t="shared" si="8"/>
        <v>3262.8891035885285</v>
      </c>
      <c r="X28" s="5">
        <f t="shared" si="8"/>
        <v>3241.7676057368485</v>
      </c>
      <c r="Y28" s="5">
        <f t="shared" si="8"/>
        <v>3187.9544193944653</v>
      </c>
      <c r="Z28" s="5">
        <f t="shared" si="8"/>
        <v>3110.9334557485126</v>
      </c>
      <c r="AA28" s="5">
        <f t="shared" si="8"/>
        <v>2810.7048968132135</v>
      </c>
      <c r="AB28" s="5">
        <f t="shared" si="8"/>
        <v>2597.8911501746366</v>
      </c>
      <c r="AC28" s="5">
        <f t="shared" si="8"/>
        <v>2396.5813043124053</v>
      </c>
      <c r="AD28" s="5">
        <f t="shared" si="8"/>
        <v>2213.4698112138963</v>
      </c>
      <c r="AE28" s="5">
        <f t="shared" si="8"/>
        <v>2051.399756369266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 xr:uid="{00000000-0004-0000-0400-000000000000}"/>
  </hyperlinks>
  <pageMargins left="0.75" right="0.75" top="1" bottom="1" header="0.5" footer="0.5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AE35"/>
  <sheetViews>
    <sheetView workbookViewId="0">
      <selection activeCell="Q20" sqref="Q20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510</v>
      </c>
      <c r="D7" s="16"/>
    </row>
    <row r="8" spans="1:4" x14ac:dyDescent="0.2">
      <c r="A8" t="s">
        <v>5</v>
      </c>
      <c r="B8" s="3">
        <v>17</v>
      </c>
      <c r="D8" s="16"/>
    </row>
    <row r="9" spans="1:4" x14ac:dyDescent="0.2">
      <c r="A9" t="s">
        <v>8</v>
      </c>
      <c r="B9" s="3">
        <v>1.3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9.2607868242519924E-4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csinterpolate(CSTableU2,'5943001001'!B18*1000000)</f>
        <v>62.806156889999997</v>
      </c>
      <c r="C19" s="7">
        <f>csinterpolate(CSTableU2,'5943001001'!C18*1000000)</f>
        <v>88.590879034678693</v>
      </c>
      <c r="D19" s="7">
        <f>csinterpolate(CSTableU2,'5943001001'!D18*1000000)</f>
        <v>149.31944870511313</v>
      </c>
      <c r="E19" s="7">
        <f>csinterpolate(CSTableU2,'5943001001'!E18*1000000)</f>
        <v>164.84693443845484</v>
      </c>
      <c r="F19" s="7">
        <f>csinterpolate(CSTableU2,'5943001001'!F18*1000000)</f>
        <v>194.09240685957292</v>
      </c>
      <c r="G19" s="7">
        <f>csinterpolate(CSTableU2,'5943001001'!G18*1000000)</f>
        <v>212.25123818145755</v>
      </c>
      <c r="H19" s="7">
        <f>csinterpolate(CSTableU2,'5943001001'!H18*1000000)</f>
        <v>222.61469783871939</v>
      </c>
      <c r="I19" s="7">
        <f>csinterpolate(CSTableU2,'5943001001'!I18*1000000)</f>
        <v>227.99294072128737</v>
      </c>
      <c r="J19" s="7">
        <f>csinterpolate(CSTableU2,'5943001001'!J18*1000000)</f>
        <v>230.73650181843422</v>
      </c>
      <c r="K19" s="7">
        <f>csinterpolate(CSTableU2,'5943001001'!K18*1000000)</f>
        <v>231.76055744625637</v>
      </c>
      <c r="L19" s="7">
        <f>csinterpolate(CSTableU2,'5943001001'!L18*1000000)</f>
        <v>231.5816749650173</v>
      </c>
      <c r="M19" s="7">
        <f>csinterpolate(CSTableU2,'5943001001'!M18*1000000)</f>
        <v>230.71610985828033</v>
      </c>
      <c r="N19" s="7">
        <f>csinterpolate(CSTableU2,'5943001001'!N18*1000000)</f>
        <v>228.27786020805809</v>
      </c>
      <c r="O19" s="7">
        <f>csinterpolate(CSTableU2,'5943001001'!O18*1000000)</f>
        <v>225.61849570541494</v>
      </c>
      <c r="P19" s="7">
        <f>csinterpolate(CSTableU2,'5943001001'!P18*1000000)</f>
        <v>223.21661937748814</v>
      </c>
      <c r="Q19" s="7">
        <f>csinterpolate(CSTableU2,'5943001001'!Q18*1000000)</f>
        <v>220.6469586</v>
      </c>
      <c r="R19" s="7">
        <f>csinterpolate(CSTableU2,'5943001001'!R18*1000000)</f>
        <v>217.42371569860856</v>
      </c>
      <c r="S19" s="7">
        <f>csinterpolate(CSTableU2,'5943001001'!S18*1000000)</f>
        <v>213.62398562766845</v>
      </c>
      <c r="T19" s="7">
        <f>csinterpolate(CSTableU2,'5943001001'!T18*1000000)</f>
        <v>209.4656387187986</v>
      </c>
      <c r="U19" s="7">
        <f>csinterpolate(CSTableU2,'5943001001'!U18*1000000)</f>
        <v>205.16650282262194</v>
      </c>
      <c r="V19" s="7">
        <f>csinterpolate(CSTableU2,'5943001001'!V18*1000000)</f>
        <v>200.94438123173398</v>
      </c>
      <c r="W19" s="7">
        <f>csinterpolate(CSTableU2,'5943001001'!W18*1000000)</f>
        <v>196.96248291112678</v>
      </c>
      <c r="X19" s="7">
        <f>csinterpolate(CSTableU2,'5943001001'!X18*1000000)</f>
        <v>193.22040777268447</v>
      </c>
      <c r="Y19" s="7">
        <f>csinterpolate(CSTableU2,'5943001001'!Y18*1000000)</f>
        <v>189.68726462651435</v>
      </c>
      <c r="Z19" s="7">
        <f>csinterpolate(CSTableU2,'5943001001'!Z18*1000000)</f>
        <v>186.33214134317572</v>
      </c>
      <c r="AA19" s="7">
        <f>csinterpolate(CSTableU2,'5943001001'!AA18*1000000)</f>
        <v>177.04080458652163</v>
      </c>
      <c r="AB19" s="7">
        <f>csinterpolate(CSTableU2,'5943001001'!AB18*1000000)</f>
        <v>171.24984986633834</v>
      </c>
      <c r="AC19" s="7">
        <f>csinterpolate(CSTableU2,'5943001001'!AC18*1000000)</f>
        <v>165.57249087919985</v>
      </c>
      <c r="AD19" s="7">
        <f>csinterpolate(CSTableU2,'5943001001'!AD18*1000000)</f>
        <v>159.82992478445121</v>
      </c>
      <c r="AE19" s="7">
        <f>csinterpolate(CSTableU2,'5943001001'!AE18*1000000)</f>
        <v>153.87192534130403</v>
      </c>
    </row>
    <row r="20" spans="1:31" x14ac:dyDescent="0.2">
      <c r="A20" t="s">
        <v>3</v>
      </c>
      <c r="B20" s="7">
        <f>csinterpolate(CSTableU1,'5943001001'!B18*1000000)</f>
        <v>748.82965526252349</v>
      </c>
      <c r="C20" s="7">
        <f>csinterpolate(CSTableU1,'5943001001'!C18*1000000)</f>
        <v>711.16368591923231</v>
      </c>
      <c r="D20" s="7">
        <f>csinterpolate(CSTableU1,'5943001001'!D18*1000000)</f>
        <v>609.84521067104197</v>
      </c>
      <c r="E20" s="7">
        <f>csinterpolate(CSTableU1,'5943001001'!E18*1000000)</f>
        <v>590.43683517566922</v>
      </c>
      <c r="F20" s="7">
        <f>csinterpolate(CSTableU1,'5943001001'!F18*1000000)</f>
        <v>552.51543169258457</v>
      </c>
      <c r="G20" s="7">
        <f>csinterpolate(CSTableU1,'5943001001'!G18*1000000)</f>
        <v>514.10164955020889</v>
      </c>
      <c r="H20" s="7">
        <f>csinterpolate(CSTableU1,'5943001001'!H18*1000000)</f>
        <v>477.05218730162227</v>
      </c>
      <c r="I20" s="7">
        <f>csinterpolate(CSTableU1,'5943001001'!I18*1000000)</f>
        <v>445.17842033805402</v>
      </c>
      <c r="J20" s="7">
        <f>csinterpolate(CSTableU1,'5943001001'!J18*1000000)</f>
        <v>419.63998064819731</v>
      </c>
      <c r="K20" s="7">
        <f>csinterpolate(CSTableU1,'5943001001'!K18*1000000)</f>
        <v>398.91760860580126</v>
      </c>
      <c r="L20" s="7">
        <f>csinterpolate(CSTableU1,'5943001001'!L18*1000000)</f>
        <v>381.37346142845843</v>
      </c>
      <c r="M20" s="7">
        <f>csinterpolate(CSTableU1,'5943001001'!M18*1000000)</f>
        <v>365.37712557783078</v>
      </c>
      <c r="N20" s="7">
        <f>csinterpolate(CSTableU1,'5943001001'!N18*1000000)</f>
        <v>334.94222955130334</v>
      </c>
      <c r="O20" s="7">
        <f>csinterpolate(CSTableU1,'5943001001'!O18*1000000)</f>
        <v>307.00600947171955</v>
      </c>
      <c r="P20" s="7">
        <f>csinterpolate(CSTableU1,'5943001001'!P18*1000000)</f>
        <v>282.39915680429408</v>
      </c>
      <c r="Q20" s="7">
        <f>csinterpolate(CSTableU1,'5943001001'!Q18*1000000)</f>
        <v>261.62060355602716</v>
      </c>
      <c r="R20" s="7">
        <f>csinterpolate(CSTableU1,'5943001001'!R18*1000000)</f>
        <v>244.11539967135678</v>
      </c>
      <c r="S20" s="7">
        <f>csinterpolate(CSTableU1,'5943001001'!S18*1000000)</f>
        <v>229.11984224841194</v>
      </c>
      <c r="T20" s="7">
        <f>csinterpolate(CSTableU1,'5943001001'!T18*1000000)</f>
        <v>215.87024501467678</v>
      </c>
      <c r="U20" s="7">
        <f>csinterpolate(CSTableU1,'5943001001'!U18*1000000)</f>
        <v>203.61154173946414</v>
      </c>
      <c r="V20" s="7">
        <f>csinterpolate(CSTableU1,'5943001001'!V18*1000000)</f>
        <v>191.93148822449245</v>
      </c>
      <c r="W20" s="7">
        <f>csinterpolate(CSTableU1,'5943001001'!W18*1000000)</f>
        <v>180.86787915758393</v>
      </c>
      <c r="X20" s="7">
        <f>csinterpolate(CSTableU1,'5943001001'!X18*1000000)</f>
        <v>170.48900691856036</v>
      </c>
      <c r="Y20" s="7">
        <f>csinterpolate(CSTableU1,'5943001001'!Y18*1000000)</f>
        <v>160.86317032687728</v>
      </c>
      <c r="Z20" s="7">
        <f>csinterpolate(CSTableU1,'5943001001'!Z18*1000000)</f>
        <v>152.05044940691147</v>
      </c>
      <c r="AA20" s="7">
        <f>csinterpolate(CSTableU1,'5943001001'!AA18*1000000)</f>
        <v>130.0529425335306</v>
      </c>
      <c r="AB20" s="7">
        <f>csinterpolate(CSTableU1,'5943001001'!AB18*1000000)</f>
        <v>118.35127203670631</v>
      </c>
      <c r="AC20" s="7">
        <f>csinterpolate(CSTableU1,'5943001001'!AC18*1000000)</f>
        <v>108.33087305026413</v>
      </c>
      <c r="AD20" s="7">
        <f>csinterpolate(CSTableU1,'5943001001'!AD18*1000000)</f>
        <v>99.51049694962343</v>
      </c>
      <c r="AE20" s="7">
        <f>csinterpolate(CSTableU1,'5943001001'!AE18*1000000)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72.704303776101924</v>
      </c>
      <c r="C21" s="5">
        <f t="shared" si="1"/>
        <v>123.06318679698816</v>
      </c>
      <c r="D21" s="5">
        <f t="shared" si="1"/>
        <v>311.13350621389867</v>
      </c>
      <c r="E21" s="5">
        <f t="shared" si="1"/>
        <v>381.65307961649364</v>
      </c>
      <c r="F21" s="5">
        <f t="shared" si="1"/>
        <v>561.70262629140313</v>
      </c>
      <c r="G21" s="5">
        <f t="shared" si="1"/>
        <v>737.10505124325516</v>
      </c>
      <c r="H21" s="5">
        <f t="shared" si="1"/>
        <v>901.94442652547229</v>
      </c>
      <c r="I21" s="5">
        <f t="shared" si="1"/>
        <v>1055.6970107270818</v>
      </c>
      <c r="J21" s="5">
        <f t="shared" si="1"/>
        <v>1201.9508752017105</v>
      </c>
      <c r="K21" s="5">
        <f t="shared" si="1"/>
        <v>1341.4281979872424</v>
      </c>
      <c r="L21" s="5">
        <f t="shared" si="1"/>
        <v>1474.4321104247899</v>
      </c>
      <c r="M21" s="5">
        <f t="shared" si="1"/>
        <v>1602.4595327386783</v>
      </c>
      <c r="N21" s="5">
        <f t="shared" si="1"/>
        <v>1849.77852507282</v>
      </c>
      <c r="O21" s="5">
        <f t="shared" si="1"/>
        <v>2089.4047923362614</v>
      </c>
      <c r="P21" s="5">
        <f t="shared" si="1"/>
        <v>2325.5567186457533</v>
      </c>
      <c r="Q21" s="5">
        <f t="shared" si="1"/>
        <v>2554.2055587676932</v>
      </c>
      <c r="R21" s="5">
        <f t="shared" si="1"/>
        <v>2768.5826872296798</v>
      </c>
      <c r="S21" s="5">
        <f t="shared" si="1"/>
        <v>2967.4892871673628</v>
      </c>
      <c r="T21" s="5">
        <f t="shared" si="1"/>
        <v>3152.2020191684396</v>
      </c>
      <c r="U21" s="5">
        <f t="shared" si="1"/>
        <v>3325.005680705794</v>
      </c>
      <c r="V21" s="5">
        <f t="shared" si="1"/>
        <v>3489.1932714718337</v>
      </c>
      <c r="W21" s="5">
        <f t="shared" si="1"/>
        <v>3648.0551332306427</v>
      </c>
      <c r="X21" s="5">
        <f t="shared" si="1"/>
        <v>3802.4176387654816</v>
      </c>
      <c r="Y21" s="5">
        <f t="shared" si="1"/>
        <v>3952.4699722086566</v>
      </c>
      <c r="Z21" s="5">
        <f t="shared" si="1"/>
        <v>4098.2578187781619</v>
      </c>
      <c r="AA21" s="5">
        <f t="shared" si="1"/>
        <v>4508.7271637920358</v>
      </c>
      <c r="AB21" s="5">
        <f t="shared" si="1"/>
        <v>4757.7250598919536</v>
      </c>
      <c r="AC21" s="5">
        <f t="shared" si="1"/>
        <v>4983.3275114762009</v>
      </c>
      <c r="AD21" s="5">
        <f t="shared" si="1"/>
        <v>5180.5280154776146</v>
      </c>
      <c r="AE21" s="5">
        <f t="shared" si="1"/>
        <v>5343.6566205863792</v>
      </c>
    </row>
    <row r="22" spans="1:31" x14ac:dyDescent="0.2">
      <c r="A22" t="s">
        <v>11</v>
      </c>
      <c r="B22" s="5">
        <f t="shared" ref="B22:AE22" si="2">B20/$B$13*$B$16*B18*1000000</f>
        <v>866.84397563304242</v>
      </c>
      <c r="C22" s="5">
        <f t="shared" si="2"/>
        <v>987.89029386709615</v>
      </c>
      <c r="D22" s="5">
        <f t="shared" si="2"/>
        <v>1270.7204606585026</v>
      </c>
      <c r="E22" s="5">
        <f t="shared" si="2"/>
        <v>1366.9774159369708</v>
      </c>
      <c r="F22" s="5">
        <f t="shared" si="2"/>
        <v>1598.9773843795592</v>
      </c>
      <c r="G22" s="5">
        <f t="shared" si="2"/>
        <v>1785.3696684302961</v>
      </c>
      <c r="H22" s="5">
        <f t="shared" si="2"/>
        <v>1932.8218921565124</v>
      </c>
      <c r="I22" s="5">
        <f t="shared" si="2"/>
        <v>2061.3512247539825</v>
      </c>
      <c r="J22" s="5">
        <f t="shared" si="2"/>
        <v>2185.9854770903553</v>
      </c>
      <c r="K22" s="5">
        <f t="shared" si="2"/>
        <v>2308.9318335866988</v>
      </c>
      <c r="L22" s="5">
        <f t="shared" si="2"/>
        <v>2428.1250996172794</v>
      </c>
      <c r="M22" s="5">
        <f t="shared" si="2"/>
        <v>2537.7597528256806</v>
      </c>
      <c r="N22" s="5">
        <f t="shared" si="2"/>
        <v>2714.100013025009</v>
      </c>
      <c r="O22" s="5">
        <f t="shared" si="2"/>
        <v>2843.1172074818828</v>
      </c>
      <c r="P22" s="5">
        <f t="shared" si="2"/>
        <v>2942.1431893272133</v>
      </c>
      <c r="Q22" s="5">
        <f t="shared" si="2"/>
        <v>3028.5157979556379</v>
      </c>
      <c r="R22" s="5">
        <f t="shared" si="2"/>
        <v>3108.463430701077</v>
      </c>
      <c r="S22" s="5">
        <f t="shared" si="2"/>
        <v>3182.7450244031825</v>
      </c>
      <c r="T22" s="5">
        <f t="shared" si="2"/>
        <v>3248.5835212674478</v>
      </c>
      <c r="U22" s="5">
        <f t="shared" si="2"/>
        <v>3299.8053952613127</v>
      </c>
      <c r="V22" s="5">
        <f t="shared" si="2"/>
        <v>3332.6936199533552</v>
      </c>
      <c r="W22" s="5">
        <f t="shared" si="2"/>
        <v>3349.9577444659099</v>
      </c>
      <c r="X22" s="5">
        <f t="shared" si="2"/>
        <v>3355.0824915213229</v>
      </c>
      <c r="Y22" s="5">
        <f t="shared" si="2"/>
        <v>3351.8689386087358</v>
      </c>
      <c r="Z22" s="5">
        <f t="shared" si="2"/>
        <v>3344.2536464116597</v>
      </c>
      <c r="AA22" s="5">
        <f t="shared" si="2"/>
        <v>3312.0795858417346</v>
      </c>
      <c r="AB22" s="5">
        <f t="shared" si="2"/>
        <v>3288.0777021329786</v>
      </c>
      <c r="AC22" s="5">
        <f t="shared" si="2"/>
        <v>3260.4946458617042</v>
      </c>
      <c r="AD22" s="5">
        <f t="shared" si="2"/>
        <v>3225.4092465904423</v>
      </c>
      <c r="AE22" s="5">
        <f t="shared" si="2"/>
        <v>3185.0679489808758</v>
      </c>
    </row>
    <row r="23" spans="1:31" x14ac:dyDescent="0.2">
      <c r="A23" t="s">
        <v>12</v>
      </c>
      <c r="B23" s="5" t="str">
        <f t="shared" ref="B23:AE23" si="3">IMDIV(1,COMPLEX(B21,B22))</f>
        <v>0.0000960801924294635-0.00114555166144814i</v>
      </c>
      <c r="C23" s="5" t="str">
        <f t="shared" si="3"/>
        <v>0.00012417182004199-0.0009967898523029i</v>
      </c>
      <c r="D23" s="5" t="str">
        <f t="shared" si="3"/>
        <v>0.000181786284483281-0.000742445112938702i</v>
      </c>
      <c r="E23" s="5" t="str">
        <f t="shared" si="3"/>
        <v>0.000189473102283341-0.000678641063263804i</v>
      </c>
      <c r="F23" s="5" t="str">
        <f t="shared" si="3"/>
        <v>0.000195562667631894-0.000556700766804161i</v>
      </c>
      <c r="G23" s="5" t="str">
        <f t="shared" si="3"/>
        <v>0.000197569281749997-0.000478539934647114i</v>
      </c>
      <c r="H23" s="5" t="str">
        <f t="shared" si="3"/>
        <v>0.000198259862131048-0.000424860989871641i</v>
      </c>
      <c r="I23" s="5" t="str">
        <f t="shared" si="3"/>
        <v>0.000196823813723662-0.000384317664403152i</v>
      </c>
      <c r="J23" s="5" t="str">
        <f t="shared" si="3"/>
        <v>0.000193139754310645-0.000351262856646297i</v>
      </c>
      <c r="K23" s="5" t="str">
        <f t="shared" si="3"/>
        <v>0.00018812287659798-0.00032380629768684i</v>
      </c>
      <c r="L23" s="5" t="str">
        <f t="shared" si="3"/>
        <v>0.000182711193626197-0.000300892548451746i</v>
      </c>
      <c r="M23" s="5" t="str">
        <f t="shared" si="3"/>
        <v>0.000177890935270693-0.000281719723150164i</v>
      </c>
      <c r="N23" s="5" t="str">
        <f t="shared" si="3"/>
        <v>0.000171465997978981-0.000251584641642316i</v>
      </c>
      <c r="O23" s="5" t="str">
        <f t="shared" si="3"/>
        <v>0.000167838131837708-0.000228382495555511i</v>
      </c>
      <c r="P23" s="5" t="str">
        <f t="shared" si="3"/>
        <v>0.000165350339348699-0.000209190500866826i</v>
      </c>
      <c r="Q23" s="5" t="str">
        <f t="shared" si="3"/>
        <v>0.000162731018537175-0.00019294980341951i</v>
      </c>
      <c r="R23" s="5" t="str">
        <f t="shared" si="3"/>
        <v>0.000159778820307341-0.000179393818438888i</v>
      </c>
      <c r="S23" s="5" t="str">
        <f t="shared" si="3"/>
        <v>0.000156712687612943-0.000168080312511273i</v>
      </c>
      <c r="T23" s="5" t="str">
        <f t="shared" si="3"/>
        <v>0.000153843455753656-0.000158547362185881i</v>
      </c>
      <c r="U23" s="5" t="str">
        <f t="shared" si="3"/>
        <v>0.000151519702065115-0.000150371331172198i</v>
      </c>
      <c r="V23" s="5" t="str">
        <f t="shared" si="3"/>
        <v>0.000149870961074778-0.000143148847578598i</v>
      </c>
      <c r="W23" s="5" t="str">
        <f t="shared" si="3"/>
        <v>0.000148714934112782-0.000136562833360379i</v>
      </c>
      <c r="X23" s="5" t="str">
        <f t="shared" si="3"/>
        <v>0.000147867928697157-0.000130472016953515i</v>
      </c>
      <c r="Y23" s="5" t="str">
        <f t="shared" si="3"/>
        <v>0.000147166975394986-0.000124804088856822i</v>
      </c>
      <c r="Z23" s="5" t="str">
        <f t="shared" si="3"/>
        <v>0.000146472283607341-0.000119524073450833i</v>
      </c>
      <c r="AA23" s="5" t="str">
        <f t="shared" si="3"/>
        <v>0.000144055732450464-0.000105822338176563i</v>
      </c>
      <c r="AB23" s="5" t="str">
        <f t="shared" si="3"/>
        <v>0.000142244977871928-0.000098305920181043i</v>
      </c>
      <c r="AC23" s="5" t="str">
        <f t="shared" si="3"/>
        <v>0.000140516420508831-0.0000919371716327302i</v>
      </c>
      <c r="AD23" s="5" t="str">
        <f t="shared" si="3"/>
        <v>0.000139107682136165-0.0000866087786598687i</v>
      </c>
      <c r="AE23" s="5" t="str">
        <f t="shared" si="3"/>
        <v>0.000138081394699791-0.0000823029352063083i</v>
      </c>
    </row>
    <row r="24" spans="1:31" x14ac:dyDescent="0.2">
      <c r="A24" t="s">
        <v>13</v>
      </c>
      <c r="B24" s="6" t="str">
        <f t="shared" ref="B24:AE24" si="4">COMPLEX(0,2*PI()*B18*1000000*$B$9*0.000000000001)</f>
        <v>8.16814089933346E-06i</v>
      </c>
      <c r="C24" s="6" t="str">
        <f t="shared" si="4"/>
        <v>9.80176907920015E-06i</v>
      </c>
      <c r="D24" s="6" t="str">
        <f t="shared" si="4"/>
        <v>0.0000147026536188002i</v>
      </c>
      <c r="E24" s="6" t="str">
        <f t="shared" si="4"/>
        <v>0.0000163362817986669i</v>
      </c>
      <c r="F24" s="6" t="str">
        <f t="shared" si="4"/>
        <v>0.0000204203522483337i</v>
      </c>
      <c r="G24" s="6" t="str">
        <f t="shared" si="4"/>
        <v>0.0000245044226980004i</v>
      </c>
      <c r="H24" s="6" t="str">
        <f t="shared" si="4"/>
        <v>0.0000285884931476671i</v>
      </c>
      <c r="I24" s="6" t="str">
        <f t="shared" si="4"/>
        <v>0.0000326725635973338i</v>
      </c>
      <c r="J24" s="6" t="str">
        <f t="shared" si="4"/>
        <v>0.0000367566340470006i</v>
      </c>
      <c r="K24" s="6" t="str">
        <f t="shared" si="4"/>
        <v>0.0000408407044966673i</v>
      </c>
      <c r="L24" s="6" t="str">
        <f t="shared" si="4"/>
        <v>0.000044924774946334i</v>
      </c>
      <c r="M24" s="6" t="str">
        <f t="shared" si="4"/>
        <v>0.0000490088453960008i</v>
      </c>
      <c r="N24" s="6" t="str">
        <f t="shared" si="4"/>
        <v>0.0000571769862953342i</v>
      </c>
      <c r="O24" s="6" t="str">
        <f t="shared" si="4"/>
        <v>0.0000653451271946677i</v>
      </c>
      <c r="P24" s="6" t="str">
        <f t="shared" si="4"/>
        <v>0.0000735132680940012i</v>
      </c>
      <c r="Q24" s="6" t="str">
        <f t="shared" si="4"/>
        <v>0.0000816814089933346i</v>
      </c>
      <c r="R24" s="6" t="str">
        <f t="shared" si="4"/>
        <v>0.0000898495498926681i</v>
      </c>
      <c r="S24" s="6" t="str">
        <f t="shared" si="4"/>
        <v>0.0000980176907920015i</v>
      </c>
      <c r="T24" s="6" t="str">
        <f t="shared" si="4"/>
        <v>0.000106185831691335i</v>
      </c>
      <c r="U24" s="6" t="str">
        <f t="shared" si="4"/>
        <v>0.000114353972590668i</v>
      </c>
      <c r="V24" s="6" t="str">
        <f t="shared" si="4"/>
        <v>0.000122522113490002i</v>
      </c>
      <c r="W24" s="6" t="str">
        <f t="shared" si="4"/>
        <v>0.000130690254389335i</v>
      </c>
      <c r="X24" s="6" t="str">
        <f t="shared" si="4"/>
        <v>0.000138858395288669i</v>
      </c>
      <c r="Y24" s="6" t="str">
        <f t="shared" si="4"/>
        <v>0.000147026536188002i</v>
      </c>
      <c r="Z24" s="6" t="str">
        <f t="shared" si="4"/>
        <v>0.000155194677087336i</v>
      </c>
      <c r="AA24" s="6" t="str">
        <f t="shared" si="4"/>
        <v>0.000179699099785336i</v>
      </c>
      <c r="AB24" s="6" t="str">
        <f t="shared" si="4"/>
        <v>0.000196035381584003i</v>
      </c>
      <c r="AC24" s="6" t="str">
        <f t="shared" si="4"/>
        <v>0.00021237166338267i</v>
      </c>
      <c r="AD24" s="6" t="str">
        <f t="shared" si="4"/>
        <v>0.000228707945181337i</v>
      </c>
      <c r="AE24" s="6" t="str">
        <f t="shared" si="4"/>
        <v>0.000245044226980004i</v>
      </c>
    </row>
    <row r="25" spans="1:31" x14ac:dyDescent="0.2">
      <c r="A25" t="s">
        <v>14</v>
      </c>
      <c r="B25" s="6" t="str">
        <f t="shared" ref="B25:AE25" si="5">IMDIV(1,IMSUM(B23,B24))</f>
        <v>73.7448825085418+872.981329128797i</v>
      </c>
      <c r="C25" s="6" t="str">
        <f t="shared" si="5"/>
        <v>125.481328464611+997.396799207498i</v>
      </c>
      <c r="D25" s="6" t="str">
        <f t="shared" si="5"/>
        <v>323.086393135191+1293.40718405312i</v>
      </c>
      <c r="E25" s="6" t="str">
        <f t="shared" si="5"/>
        <v>399.270948426485+1395.65487162149i</v>
      </c>
      <c r="F25" s="6" t="str">
        <f t="shared" si="5"/>
        <v>600.177398023435+1645.83244704396i</v>
      </c>
      <c r="G25" s="6" t="str">
        <f t="shared" si="5"/>
        <v>805.807068869169+1851.83152869479i</v>
      </c>
      <c r="H25" s="6" t="str">
        <f t="shared" si="5"/>
        <v>1009.78409212544+2018.3089962718i</v>
      </c>
      <c r="I25" s="6" t="str">
        <f t="shared" si="5"/>
        <v>1212.01489189936+2165.38380583603i</v>
      </c>
      <c r="J25" s="6" t="str">
        <f t="shared" si="5"/>
        <v>1417.88155487215+2308.8595794671i</v>
      </c>
      <c r="K25" s="6" t="str">
        <f t="shared" si="5"/>
        <v>1629.33738362109+2450.77274811466i</v>
      </c>
      <c r="L25" s="6" t="str">
        <f t="shared" si="5"/>
        <v>1847.37988552934+2588.07195515923i</v>
      </c>
      <c r="M25" s="6" t="str">
        <f t="shared" si="5"/>
        <v>2073.33210064471+2712.26261350935i</v>
      </c>
      <c r="N25" s="6" t="str">
        <f t="shared" si="5"/>
        <v>2551.77006570069+2893.18956122308i</v>
      </c>
      <c r="O25" s="6" t="str">
        <f t="shared" si="5"/>
        <v>3065.49063129248+2977.80677006116i</v>
      </c>
      <c r="P25" s="6" t="str">
        <f t="shared" si="5"/>
        <v>3614.29041753966+2965.68440210448i</v>
      </c>
      <c r="Q25" s="6" t="str">
        <f t="shared" si="5"/>
        <v>4187.40288902261+2863.16401424498i</v>
      </c>
      <c r="R25" s="6" t="str">
        <f t="shared" si="5"/>
        <v>4762.77131229304+2669.18276522414i</v>
      </c>
      <c r="S25" s="6" t="str">
        <f t="shared" si="5"/>
        <v>5318.12867702107+2377.61245389913i</v>
      </c>
      <c r="T25" s="6" t="str">
        <f t="shared" si="5"/>
        <v>5825.29885080243+1982.67493356724i</v>
      </c>
      <c r="U25" s="6" t="str">
        <f t="shared" si="5"/>
        <v>6246.82599879662+1484.91693772201i</v>
      </c>
      <c r="V25" s="6" t="str">
        <f t="shared" si="5"/>
        <v>6548.36745645234+901.251538456902i</v>
      </c>
      <c r="W25" s="6" t="str">
        <f t="shared" si="5"/>
        <v>6713.8049449263+265.120312028412i</v>
      </c>
      <c r="X25" s="6" t="str">
        <f t="shared" si="5"/>
        <v>6741.10805283593-382.324166080797i</v>
      </c>
      <c r="Y25" s="6" t="str">
        <f t="shared" si="5"/>
        <v>6643.52062824632-1003.18218036736i</v>
      </c>
      <c r="Z25" s="6" t="str">
        <f t="shared" si="5"/>
        <v>6444.99341825422-1569.55841747315i</v>
      </c>
      <c r="AA25" s="6" t="str">
        <f t="shared" si="5"/>
        <v>5496.24826575715-2818.66619234746i</v>
      </c>
      <c r="AB25" s="6" t="str">
        <f t="shared" si="5"/>
        <v>4775.77638559362-3281.19882281728i</v>
      </c>
      <c r="AC25" s="6" t="str">
        <f t="shared" si="5"/>
        <v>4102.74932207847-3516.40418673259i</v>
      </c>
      <c r="AD25" s="6" t="str">
        <f t="shared" si="5"/>
        <v>3517.87316949043-3593.52436642221i</v>
      </c>
      <c r="AE25" s="6" t="str">
        <f t="shared" si="5"/>
        <v>3031.3448576716-3572.71143604529i</v>
      </c>
    </row>
    <row r="26" spans="1:31" x14ac:dyDescent="0.2">
      <c r="A26" t="s">
        <v>6</v>
      </c>
      <c r="B26" s="5">
        <f t="shared" ref="B26:AE26" si="6">IMREAL(B25)</f>
        <v>73.744882508541806</v>
      </c>
      <c r="C26" s="5">
        <f t="shared" si="6"/>
        <v>125.481328464611</v>
      </c>
      <c r="D26" s="5">
        <f t="shared" si="6"/>
        <v>323.08639313519097</v>
      </c>
      <c r="E26" s="5">
        <f t="shared" si="6"/>
        <v>399.27094842648501</v>
      </c>
      <c r="F26" s="5">
        <f t="shared" si="6"/>
        <v>600.17739802343499</v>
      </c>
      <c r="G26" s="5">
        <f t="shared" si="6"/>
        <v>805.80706886916903</v>
      </c>
      <c r="H26" s="5">
        <f t="shared" si="6"/>
        <v>1009.78409212544</v>
      </c>
      <c r="I26" s="5">
        <f t="shared" si="6"/>
        <v>1212.01489189936</v>
      </c>
      <c r="J26" s="5">
        <f t="shared" si="6"/>
        <v>1417.88155487215</v>
      </c>
      <c r="K26" s="5">
        <f t="shared" si="6"/>
        <v>1629.3373836210901</v>
      </c>
      <c r="L26" s="5">
        <f t="shared" si="6"/>
        <v>1847.3798855293401</v>
      </c>
      <c r="M26" s="5">
        <f t="shared" si="6"/>
        <v>2073.33210064471</v>
      </c>
      <c r="N26" s="5">
        <f t="shared" si="6"/>
        <v>2551.7700657006899</v>
      </c>
      <c r="O26" s="5">
        <f t="shared" si="6"/>
        <v>3065.49063129248</v>
      </c>
      <c r="P26" s="5">
        <f t="shared" si="6"/>
        <v>3614.2904175396602</v>
      </c>
      <c r="Q26" s="5">
        <f t="shared" si="6"/>
        <v>4187.40288902261</v>
      </c>
      <c r="R26" s="5">
        <f t="shared" si="6"/>
        <v>4762.77131229304</v>
      </c>
      <c r="S26" s="5">
        <f t="shared" si="6"/>
        <v>5318.12867702107</v>
      </c>
      <c r="T26" s="5">
        <f t="shared" si="6"/>
        <v>5825.29885080243</v>
      </c>
      <c r="U26" s="5">
        <f t="shared" si="6"/>
        <v>6246.8259987966203</v>
      </c>
      <c r="V26" s="5">
        <f t="shared" si="6"/>
        <v>6548.3674564523399</v>
      </c>
      <c r="W26" s="5">
        <f t="shared" si="6"/>
        <v>6713.8049449262999</v>
      </c>
      <c r="X26" s="5">
        <f t="shared" si="6"/>
        <v>6741.1080528359298</v>
      </c>
      <c r="Y26" s="5">
        <f t="shared" si="6"/>
        <v>6643.5206282463196</v>
      </c>
      <c r="Z26" s="5">
        <f t="shared" si="6"/>
        <v>6444.9934182542202</v>
      </c>
      <c r="AA26" s="5">
        <f t="shared" si="6"/>
        <v>5496.24826575715</v>
      </c>
      <c r="AB26" s="5">
        <f t="shared" si="6"/>
        <v>4775.77638559362</v>
      </c>
      <c r="AC26" s="5">
        <f t="shared" si="6"/>
        <v>4102.74932207847</v>
      </c>
      <c r="AD26" s="5">
        <f t="shared" si="6"/>
        <v>3517.87316949043</v>
      </c>
      <c r="AE26" s="5">
        <f t="shared" si="6"/>
        <v>3031.3448576716</v>
      </c>
    </row>
    <row r="27" spans="1:31" x14ac:dyDescent="0.2">
      <c r="A27" t="s">
        <v>7</v>
      </c>
      <c r="B27" s="5">
        <f t="shared" ref="B27:AE27" si="7">IMAGINARY(B25)</f>
        <v>872.98132912879703</v>
      </c>
      <c r="C27" s="5">
        <f t="shared" si="7"/>
        <v>997.39679920749802</v>
      </c>
      <c r="D27" s="5">
        <f t="shared" si="7"/>
        <v>1293.4071840531201</v>
      </c>
      <c r="E27" s="5">
        <f t="shared" si="7"/>
        <v>1395.65487162149</v>
      </c>
      <c r="F27" s="5">
        <f t="shared" si="7"/>
        <v>1645.83244704396</v>
      </c>
      <c r="G27" s="5">
        <f t="shared" si="7"/>
        <v>1851.83152869479</v>
      </c>
      <c r="H27" s="5">
        <f t="shared" si="7"/>
        <v>2018.3089962718</v>
      </c>
      <c r="I27" s="5">
        <f t="shared" si="7"/>
        <v>2165.3838058360302</v>
      </c>
      <c r="J27" s="5">
        <f t="shared" si="7"/>
        <v>2308.8595794671</v>
      </c>
      <c r="K27" s="5">
        <f t="shared" si="7"/>
        <v>2450.7727481146599</v>
      </c>
      <c r="L27" s="5">
        <f t="shared" si="7"/>
        <v>2588.0719551592301</v>
      </c>
      <c r="M27" s="5">
        <f t="shared" si="7"/>
        <v>2712.2626135093501</v>
      </c>
      <c r="N27" s="5">
        <f t="shared" si="7"/>
        <v>2893.1895612230801</v>
      </c>
      <c r="O27" s="5">
        <f t="shared" si="7"/>
        <v>2977.80677006116</v>
      </c>
      <c r="P27" s="5">
        <f t="shared" si="7"/>
        <v>2965.6844021044799</v>
      </c>
      <c r="Q27" s="5">
        <f t="shared" si="7"/>
        <v>2863.1640142449801</v>
      </c>
      <c r="R27" s="5">
        <f t="shared" si="7"/>
        <v>2669.18276522414</v>
      </c>
      <c r="S27" s="5">
        <f t="shared" si="7"/>
        <v>2377.6124538991298</v>
      </c>
      <c r="T27" s="5">
        <f t="shared" si="7"/>
        <v>1982.67493356724</v>
      </c>
      <c r="U27" s="5">
        <f t="shared" si="7"/>
        <v>1484.9169377220101</v>
      </c>
      <c r="V27" s="5">
        <f t="shared" si="7"/>
        <v>901.25153845690204</v>
      </c>
      <c r="W27" s="5">
        <f t="shared" si="7"/>
        <v>265.120312028412</v>
      </c>
      <c r="X27" s="5">
        <f t="shared" si="7"/>
        <v>-382.324166080797</v>
      </c>
      <c r="Y27" s="5">
        <f t="shared" si="7"/>
        <v>-1003.18218036736</v>
      </c>
      <c r="Z27" s="5">
        <f t="shared" si="7"/>
        <v>-1569.55841747315</v>
      </c>
      <c r="AA27" s="5">
        <f t="shared" si="7"/>
        <v>-2818.6661923474599</v>
      </c>
      <c r="AB27" s="5">
        <f t="shared" si="7"/>
        <v>-3281.19882281728</v>
      </c>
      <c r="AC27" s="5">
        <f t="shared" si="7"/>
        <v>-3516.40418673259</v>
      </c>
      <c r="AD27" s="5">
        <f t="shared" si="7"/>
        <v>-3593.5243664222098</v>
      </c>
      <c r="AE27" s="5">
        <f t="shared" si="7"/>
        <v>-3572.7114360452902</v>
      </c>
    </row>
    <row r="28" spans="1:31" x14ac:dyDescent="0.2">
      <c r="A28" t="s">
        <v>15</v>
      </c>
      <c r="B28" s="5">
        <f t="shared" ref="B28:AE28" si="8">IMABS(B25)</f>
        <v>876.09058247630969</v>
      </c>
      <c r="C28" s="5">
        <f t="shared" si="8"/>
        <v>1005.2591401537245</v>
      </c>
      <c r="D28" s="5">
        <f t="shared" si="8"/>
        <v>1333.1492644071516</v>
      </c>
      <c r="E28" s="5">
        <f t="shared" si="8"/>
        <v>1451.6438306065929</v>
      </c>
      <c r="F28" s="5">
        <f t="shared" si="8"/>
        <v>1751.8496947058243</v>
      </c>
      <c r="G28" s="5">
        <f t="shared" si="8"/>
        <v>2019.5556548180605</v>
      </c>
      <c r="H28" s="5">
        <f t="shared" si="8"/>
        <v>2256.8196908794639</v>
      </c>
      <c r="I28" s="5">
        <f t="shared" si="8"/>
        <v>2481.5050120365963</v>
      </c>
      <c r="J28" s="5">
        <f t="shared" si="8"/>
        <v>2709.4687046252557</v>
      </c>
      <c r="K28" s="5">
        <f t="shared" si="8"/>
        <v>2942.9623464405217</v>
      </c>
      <c r="L28" s="5">
        <f t="shared" si="8"/>
        <v>3179.7686844391869</v>
      </c>
      <c r="M28" s="5">
        <f t="shared" si="8"/>
        <v>3413.9529118317341</v>
      </c>
      <c r="N28" s="5">
        <f t="shared" si="8"/>
        <v>3857.7294235568543</v>
      </c>
      <c r="O28" s="5">
        <f t="shared" si="8"/>
        <v>4273.7063505070219</v>
      </c>
      <c r="P28" s="5">
        <f t="shared" si="8"/>
        <v>4675.2945570525089</v>
      </c>
      <c r="Q28" s="5">
        <f t="shared" si="8"/>
        <v>5072.6769192865349</v>
      </c>
      <c r="R28" s="5">
        <f t="shared" si="8"/>
        <v>5459.7186014822364</v>
      </c>
      <c r="S28" s="5">
        <f t="shared" si="8"/>
        <v>5825.4213243584472</v>
      </c>
      <c r="T28" s="5">
        <f t="shared" si="8"/>
        <v>6153.4629757036782</v>
      </c>
      <c r="U28" s="5">
        <f t="shared" si="8"/>
        <v>6420.888830308083</v>
      </c>
      <c r="V28" s="5">
        <f t="shared" si="8"/>
        <v>6610.0961173265123</v>
      </c>
      <c r="W28" s="5">
        <f t="shared" si="8"/>
        <v>6719.0375514925408</v>
      </c>
      <c r="X28" s="5">
        <f t="shared" si="8"/>
        <v>6751.9411688771997</v>
      </c>
      <c r="Y28" s="5">
        <f t="shared" si="8"/>
        <v>6718.8347817862714</v>
      </c>
      <c r="Z28" s="5">
        <f t="shared" si="8"/>
        <v>6633.3591631390682</v>
      </c>
      <c r="AA28" s="5">
        <f t="shared" si="8"/>
        <v>6176.8619947932302</v>
      </c>
      <c r="AB28" s="5">
        <f t="shared" si="8"/>
        <v>5794.3339392937278</v>
      </c>
      <c r="AC28" s="5">
        <f t="shared" si="8"/>
        <v>5403.4850239716434</v>
      </c>
      <c r="AD28" s="5">
        <f t="shared" si="8"/>
        <v>5028.8019456616894</v>
      </c>
      <c r="AE28" s="5">
        <f t="shared" si="8"/>
        <v>4685.4368687861815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 xr:uid="{00000000-0004-0000-0500-000000000000}"/>
  </hyperlinks>
  <pageMargins left="0.75" right="0.75" top="1" bottom="1" header="0.5" footer="0.5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AE35"/>
  <sheetViews>
    <sheetView topLeftCell="A31" workbookViewId="0">
      <selection activeCell="E33" sqref="E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f>10*3225*0.99</f>
        <v>31927.5</v>
      </c>
      <c r="D7" s="16"/>
    </row>
    <row r="8" spans="1:4" x14ac:dyDescent="0.2">
      <c r="A8" t="s">
        <v>5</v>
      </c>
      <c r="B8" s="3">
        <v>1</v>
      </c>
      <c r="D8" s="16"/>
    </row>
    <row r="9" spans="1:4" x14ac:dyDescent="0.2">
      <c r="A9" t="s">
        <v>8</v>
      </c>
      <c r="B9" s="3">
        <v>0.5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2.0060639889497625E-4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>M18+1</f>
        <v>7</v>
      </c>
      <c r="O18" s="10">
        <f>N18+1</f>
        <v>8</v>
      </c>
      <c r="P18" s="10">
        <f t="shared" ref="P18:U18" si="0">O18+2</f>
        <v>10</v>
      </c>
      <c r="Q18" s="10">
        <f t="shared" si="0"/>
        <v>12</v>
      </c>
      <c r="R18" s="10">
        <f t="shared" si="0"/>
        <v>14</v>
      </c>
      <c r="S18" s="10">
        <f t="shared" si="0"/>
        <v>16</v>
      </c>
      <c r="T18" s="10">
        <f t="shared" si="0"/>
        <v>18</v>
      </c>
      <c r="U18" s="10">
        <f t="shared" si="0"/>
        <v>20</v>
      </c>
      <c r="V18" s="10">
        <f>U18+5</f>
        <v>25</v>
      </c>
      <c r="W18" s="10">
        <f t="shared" ref="W18:AE18" si="1">V18+5</f>
        <v>30</v>
      </c>
      <c r="X18" s="10">
        <f t="shared" si="1"/>
        <v>35</v>
      </c>
      <c r="Y18" s="10">
        <f t="shared" si="1"/>
        <v>40</v>
      </c>
      <c r="Z18" s="10">
        <f t="shared" si="1"/>
        <v>45</v>
      </c>
      <c r="AA18" s="10">
        <f t="shared" si="1"/>
        <v>50</v>
      </c>
      <c r="AB18" s="10">
        <f t="shared" si="1"/>
        <v>55</v>
      </c>
      <c r="AC18" s="10">
        <f t="shared" si="1"/>
        <v>60</v>
      </c>
      <c r="AD18" s="10">
        <f t="shared" si="1"/>
        <v>65</v>
      </c>
      <c r="AE18" s="10">
        <f t="shared" si="1"/>
        <v>70</v>
      </c>
    </row>
    <row r="19" spans="1:31" x14ac:dyDescent="0.2">
      <c r="A19" t="s">
        <v>4</v>
      </c>
      <c r="B19" s="7">
        <f>csinterpolate(CSTableU2,'2643102002'!B18*1000000)</f>
        <v>62.806156889999997</v>
      </c>
      <c r="C19" s="7">
        <f>csinterpolate(CSTableU2,'2643102002'!C18*1000000)</f>
        <v>88.590879034678693</v>
      </c>
      <c r="D19" s="7">
        <f>csinterpolate(CSTableU2,'2643102002'!D18*1000000)</f>
        <v>149.31944870511313</v>
      </c>
      <c r="E19" s="7">
        <f>csinterpolate(CSTableU2,'2643102002'!E18*1000000)</f>
        <v>164.84693443845484</v>
      </c>
      <c r="F19" s="7">
        <f>csinterpolate(CSTableU2,'2643102002'!F18*1000000)</f>
        <v>194.09240685957292</v>
      </c>
      <c r="G19" s="7">
        <f>csinterpolate(CSTableU2,'2643102002'!G18*1000000)</f>
        <v>212.25123818145755</v>
      </c>
      <c r="H19" s="7">
        <f>csinterpolate(CSTableU2,'2643102002'!H18*1000000)</f>
        <v>222.61469783871939</v>
      </c>
      <c r="I19" s="7">
        <f>csinterpolate(CSTableU2,'2643102002'!I18*1000000)</f>
        <v>227.99294072128737</v>
      </c>
      <c r="J19" s="7">
        <f>csinterpolate(CSTableU2,'2643102002'!J18*1000000)</f>
        <v>230.73650181843422</v>
      </c>
      <c r="K19" s="7">
        <f>csinterpolate(CSTableU2,'2643102002'!K18*1000000)</f>
        <v>231.76055744625637</v>
      </c>
      <c r="L19" s="7">
        <f>csinterpolate(CSTableU2,'2643102002'!L18*1000000)</f>
        <v>231.5816749650173</v>
      </c>
      <c r="M19" s="7">
        <f>csinterpolate(CSTableU2,'2643102002'!M18*1000000)</f>
        <v>230.71610985828033</v>
      </c>
      <c r="N19" s="7">
        <f>csinterpolate(CSTableU2,'2643102002'!N18*1000000)</f>
        <v>228.27786020805809</v>
      </c>
      <c r="O19" s="7">
        <f>csinterpolate(CSTableU2,'2643102002'!O18*1000000)</f>
        <v>225.61849570541494</v>
      </c>
      <c r="P19" s="7">
        <f>csinterpolate(CSTableU2,'2643102002'!P18*1000000)</f>
        <v>220.6469586</v>
      </c>
      <c r="Q19" s="7">
        <f>csinterpolate(CSTableU2,'2643102002'!Q18*1000000)</f>
        <v>213.62398562766845</v>
      </c>
      <c r="R19" s="7">
        <f>csinterpolate(CSTableU2,'2643102002'!R18*1000000)</f>
        <v>205.16650282262194</v>
      </c>
      <c r="S19" s="7">
        <f>csinterpolate(CSTableU2,'2643102002'!S18*1000000)</f>
        <v>196.96248291112678</v>
      </c>
      <c r="T19" s="7">
        <f>csinterpolate(CSTableU2,'2643102002'!T18*1000000)</f>
        <v>189.68726462651435</v>
      </c>
      <c r="U19" s="7">
        <f>csinterpolate(CSTableU2,'2643102002'!U18*1000000)</f>
        <v>183.12416059501919</v>
      </c>
      <c r="V19" s="7">
        <f>csinterpolate(CSTableU2,'2643102002'!V18*1000000)</f>
        <v>168.40814625334281</v>
      </c>
      <c r="W19" s="7">
        <f>csinterpolate(CSTableU2,'2643102002'!W18*1000000)</f>
        <v>153.87192534130403</v>
      </c>
      <c r="X19" s="7">
        <f>csinterpolate(CSTableU2,'2643102002'!X18*1000000)</f>
        <v>139.10937016354671</v>
      </c>
      <c r="Y19" s="7">
        <f>csinterpolate(CSTableU2,'2643102002'!Y18*1000000)</f>
        <v>127.4589472137886</v>
      </c>
      <c r="Z19" s="7">
        <f>csinterpolate(CSTableU2,'2643102002'!Z18*1000000)</f>
        <v>118.68687567295338</v>
      </c>
      <c r="AA19" s="7">
        <f>csinterpolate(CSTableU2,'2643102002'!AA18*1000000)</f>
        <v>110.19641482179179</v>
      </c>
      <c r="AB19" s="7">
        <f>csinterpolate(CSTableU2,'2643102002'!AB18*1000000)</f>
        <v>101.7057239462721</v>
      </c>
      <c r="AC19" s="7">
        <f>csinterpolate(CSTableU2,'2643102002'!AC18*1000000)</f>
        <v>94.393941549916462</v>
      </c>
      <c r="AD19" s="7">
        <f>csinterpolate(CSTableU2,'2643102002'!AD18*1000000)</f>
        <v>88.963299329674513</v>
      </c>
      <c r="AE19" s="7">
        <f>csinterpolate(CSTableU2,'2643102002'!AE18*1000000)</f>
        <v>84.87431294557696</v>
      </c>
    </row>
    <row r="20" spans="1:31" x14ac:dyDescent="0.2">
      <c r="A20" t="s">
        <v>3</v>
      </c>
      <c r="B20" s="7">
        <f>csinterpolate(CSTableU1,'2643102002'!B18*1000000)</f>
        <v>748.82965526252349</v>
      </c>
      <c r="C20" s="7">
        <f>csinterpolate(CSTableU1,'2643102002'!C18*1000000)</f>
        <v>711.16368591923231</v>
      </c>
      <c r="D20" s="7">
        <f>csinterpolate(CSTableU1,'2643102002'!D18*1000000)</f>
        <v>609.84521067104197</v>
      </c>
      <c r="E20" s="7">
        <f>csinterpolate(CSTableU1,'2643102002'!E18*1000000)</f>
        <v>590.43683517566922</v>
      </c>
      <c r="F20" s="7">
        <f>csinterpolate(CSTableU1,'2643102002'!F18*1000000)</f>
        <v>552.51543169258457</v>
      </c>
      <c r="G20" s="7">
        <f>csinterpolate(CSTableU1,'2643102002'!G18*1000000)</f>
        <v>514.10164955020889</v>
      </c>
      <c r="H20" s="7">
        <f>csinterpolate(CSTableU1,'2643102002'!H18*1000000)</f>
        <v>477.05218730162227</v>
      </c>
      <c r="I20" s="7">
        <f>csinterpolate(CSTableU1,'2643102002'!I18*1000000)</f>
        <v>445.17842033805402</v>
      </c>
      <c r="J20" s="7">
        <f>csinterpolate(CSTableU1,'2643102002'!J18*1000000)</f>
        <v>419.63998064819731</v>
      </c>
      <c r="K20" s="7">
        <f>csinterpolate(CSTableU1,'2643102002'!K18*1000000)</f>
        <v>398.91760860580126</v>
      </c>
      <c r="L20" s="7">
        <f>csinterpolate(CSTableU1,'2643102002'!L18*1000000)</f>
        <v>381.37346142845843</v>
      </c>
      <c r="M20" s="7">
        <f>csinterpolate(CSTableU1,'2643102002'!M18*1000000)</f>
        <v>365.37712557783078</v>
      </c>
      <c r="N20" s="7">
        <f>csinterpolate(CSTableU1,'2643102002'!N18*1000000)</f>
        <v>334.94222955130334</v>
      </c>
      <c r="O20" s="7">
        <f>csinterpolate(CSTableU1,'2643102002'!O18*1000000)</f>
        <v>307.00600947171955</v>
      </c>
      <c r="P20" s="7">
        <f>csinterpolate(CSTableU1,'2643102002'!P18*1000000)</f>
        <v>261.62060355602716</v>
      </c>
      <c r="Q20" s="7">
        <f>csinterpolate(CSTableU1,'2643102002'!Q18*1000000)</f>
        <v>229.11984224841194</v>
      </c>
      <c r="R20" s="7">
        <f>csinterpolate(CSTableU1,'2643102002'!R18*1000000)</f>
        <v>203.61154173946414</v>
      </c>
      <c r="S20" s="7">
        <f>csinterpolate(CSTableU1,'2643102002'!S18*1000000)</f>
        <v>180.86787915758393</v>
      </c>
      <c r="T20" s="7">
        <f>csinterpolate(CSTableU1,'2643102002'!T18*1000000)</f>
        <v>160.86317032687728</v>
      </c>
      <c r="U20" s="7">
        <f>csinterpolate(CSTableU1,'2643102002'!U18*1000000)</f>
        <v>144.02678004566488</v>
      </c>
      <c r="V20" s="7">
        <f>csinterpolate(CSTableU1,'2643102002'!V18*1000000)</f>
        <v>113.16779951712498</v>
      </c>
      <c r="W20" s="7">
        <f>csinterpolate(CSTableU1,'2643102002'!W18*1000000)</f>
        <v>91.714826092022733</v>
      </c>
      <c r="X20" s="7">
        <f>csinterpolate(CSTableU1,'2643102002'!X18*1000000)</f>
        <v>75.905447560745202</v>
      </c>
      <c r="Y20" s="7">
        <f>csinterpolate(CSTableU1,'2643102002'!Y18*1000000)</f>
        <v>63.880529617661864</v>
      </c>
      <c r="Z20" s="7">
        <f>csinterpolate(CSTableU1,'2643102002'!Z18*1000000)</f>
        <v>54.458087874936339</v>
      </c>
      <c r="AA20" s="7">
        <f>csinterpolate(CSTableU1,'2643102002'!AA18*1000000)</f>
        <v>46.892188642568428</v>
      </c>
      <c r="AB20" s="7">
        <f>csinterpolate(CSTableU1,'2643102002'!AB18*1000000)</f>
        <v>40.588173246559535</v>
      </c>
      <c r="AC20" s="7">
        <f>csinterpolate(CSTableU1,'2643102002'!AC18*1000000)</f>
        <v>35.337763018844903</v>
      </c>
      <c r="AD20" s="7">
        <f>csinterpolate(CSTableU1,'2643102002'!AD18*1000000)</f>
        <v>30.996841779914071</v>
      </c>
      <c r="AE20" s="7">
        <f>csinterpolate(CSTableU1,'2643102002'!AE18*1000000)</f>
        <v>27.422075216445911</v>
      </c>
    </row>
    <row r="21" spans="1:31" x14ac:dyDescent="0.2">
      <c r="A21" t="s">
        <v>10</v>
      </c>
      <c r="B21" s="5">
        <f t="shared" ref="B21:AE21" si="2">B19/$B$13*$B$16*B18*1000000</f>
        <v>15.749146202669751</v>
      </c>
      <c r="C21" s="5">
        <f t="shared" si="2"/>
        <v>26.657845827131013</v>
      </c>
      <c r="D21" s="5">
        <f t="shared" si="2"/>
        <v>67.397483001860707</v>
      </c>
      <c r="E21" s="5">
        <f t="shared" si="2"/>
        <v>82.673374716436669</v>
      </c>
      <c r="F21" s="5">
        <f t="shared" si="2"/>
        <v>121.67555872799223</v>
      </c>
      <c r="G21" s="5">
        <f t="shared" si="2"/>
        <v>159.67108707218284</v>
      </c>
      <c r="H21" s="5">
        <f t="shared" si="2"/>
        <v>195.37845632601952</v>
      </c>
      <c r="I21" s="5">
        <f t="shared" si="2"/>
        <v>228.68421405786623</v>
      </c>
      <c r="J21" s="5">
        <f t="shared" si="2"/>
        <v>260.36560531923885</v>
      </c>
      <c r="K21" s="5">
        <f t="shared" si="2"/>
        <v>290.579067719911</v>
      </c>
      <c r="L21" s="5">
        <f t="shared" si="2"/>
        <v>319.39026532049309</v>
      </c>
      <c r="M21" s="5">
        <f t="shared" si="2"/>
        <v>347.12345974295516</v>
      </c>
      <c r="N21" s="5">
        <f t="shared" si="2"/>
        <v>400.69749548315667</v>
      </c>
      <c r="O21" s="5">
        <f t="shared" si="2"/>
        <v>452.60513947564959</v>
      </c>
      <c r="P21" s="5">
        <f t="shared" si="2"/>
        <v>553.28989739843632</v>
      </c>
      <c r="Q21" s="5">
        <f t="shared" si="2"/>
        <v>642.81507711538097</v>
      </c>
      <c r="R21" s="5">
        <f t="shared" si="2"/>
        <v>720.25998283963793</v>
      </c>
      <c r="S21" s="5">
        <f t="shared" si="2"/>
        <v>790.23868828428886</v>
      </c>
      <c r="T21" s="5">
        <f t="shared" si="2"/>
        <v>856.18077914167782</v>
      </c>
      <c r="U21" s="5">
        <f t="shared" si="2"/>
        <v>918.39696019080282</v>
      </c>
      <c r="V21" s="5">
        <f t="shared" si="2"/>
        <v>1055.7422426394246</v>
      </c>
      <c r="W21" s="5">
        <f t="shared" si="2"/>
        <v>1157.5384812658367</v>
      </c>
      <c r="X21" s="5">
        <f t="shared" si="2"/>
        <v>1220.8975537962597</v>
      </c>
      <c r="Y21" s="5">
        <f t="shared" si="2"/>
        <v>1278.4540203751499</v>
      </c>
      <c r="Z21" s="5">
        <f t="shared" si="2"/>
        <v>1339.2757532726403</v>
      </c>
      <c r="AA21" s="5">
        <f t="shared" si="2"/>
        <v>1381.6316217835397</v>
      </c>
      <c r="AB21" s="5">
        <f t="shared" si="2"/>
        <v>1402.6938081659387</v>
      </c>
      <c r="AC21" s="5">
        <f t="shared" si="2"/>
        <v>1420.202151887371</v>
      </c>
      <c r="AD21" s="5">
        <f t="shared" si="2"/>
        <v>1450.0368278777762</v>
      </c>
      <c r="AE21" s="5">
        <f t="shared" si="2"/>
        <v>1489.8038993860278</v>
      </c>
    </row>
    <row r="22" spans="1:31" x14ac:dyDescent="0.2">
      <c r="A22" t="s">
        <v>11</v>
      </c>
      <c r="B22" s="5">
        <f t="shared" ref="B22:AE22" si="3">B20/$B$13*$B$16*B18*1000000</f>
        <v>187.77502565997668</v>
      </c>
      <c r="C22" s="5">
        <f t="shared" si="3"/>
        <v>213.99597908570271</v>
      </c>
      <c r="D22" s="5">
        <f t="shared" si="3"/>
        <v>275.26241609114822</v>
      </c>
      <c r="E22" s="5">
        <f t="shared" si="3"/>
        <v>296.11351819884413</v>
      </c>
      <c r="F22" s="5">
        <f t="shared" si="3"/>
        <v>346.36915964297691</v>
      </c>
      <c r="G22" s="5">
        <f t="shared" si="3"/>
        <v>386.74530218337929</v>
      </c>
      <c r="H22" s="5">
        <f t="shared" si="3"/>
        <v>418.68628103553198</v>
      </c>
      <c r="I22" s="5">
        <f t="shared" si="3"/>
        <v>446.52819884885531</v>
      </c>
      <c r="J22" s="5">
        <f t="shared" si="3"/>
        <v>473.52636759483215</v>
      </c>
      <c r="K22" s="5">
        <f t="shared" si="3"/>
        <v>500.15890573878369</v>
      </c>
      <c r="L22" s="5">
        <f t="shared" si="3"/>
        <v>525.97845252751688</v>
      </c>
      <c r="M22" s="5">
        <f t="shared" si="3"/>
        <v>549.72742050574618</v>
      </c>
      <c r="N22" s="5">
        <f t="shared" si="3"/>
        <v>587.92610194623785</v>
      </c>
      <c r="O22" s="5">
        <f t="shared" si="3"/>
        <v>615.87369999238626</v>
      </c>
      <c r="P22" s="5">
        <f t="shared" si="3"/>
        <v>656.03458945131035</v>
      </c>
      <c r="Q22" s="5">
        <f t="shared" si="3"/>
        <v>689.44359703258431</v>
      </c>
      <c r="R22" s="5">
        <f t="shared" si="3"/>
        <v>714.80111783164102</v>
      </c>
      <c r="S22" s="5">
        <f t="shared" si="3"/>
        <v>725.66507827149292</v>
      </c>
      <c r="T22" s="5">
        <f t="shared" si="3"/>
        <v>726.0790795673413</v>
      </c>
      <c r="U22" s="5">
        <f t="shared" si="3"/>
        <v>722.31734223499132</v>
      </c>
      <c r="V22" s="5">
        <f t="shared" si="3"/>
        <v>709.44327287497106</v>
      </c>
      <c r="W22" s="5">
        <f t="shared" si="3"/>
        <v>689.94678703498823</v>
      </c>
      <c r="X22" s="5">
        <f t="shared" si="3"/>
        <v>666.18643401067425</v>
      </c>
      <c r="Y22" s="5">
        <f t="shared" si="3"/>
        <v>640.74215030515109</v>
      </c>
      <c r="Z22" s="5">
        <f t="shared" si="3"/>
        <v>614.51105058546466</v>
      </c>
      <c r="AA22" s="5">
        <f t="shared" si="3"/>
        <v>587.92956874309732</v>
      </c>
      <c r="AB22" s="5">
        <f t="shared" si="3"/>
        <v>559.77949999934367</v>
      </c>
      <c r="AC22" s="5">
        <f t="shared" si="3"/>
        <v>531.67360381609069</v>
      </c>
      <c r="AD22" s="5">
        <f t="shared" si="3"/>
        <v>505.22589053510507</v>
      </c>
      <c r="AE22" s="5">
        <f t="shared" si="3"/>
        <v>481.34132894735922</v>
      </c>
    </row>
    <row r="23" spans="1:31" x14ac:dyDescent="0.2">
      <c r="A23" t="s">
        <v>12</v>
      </c>
      <c r="B23" s="5" t="str">
        <f t="shared" ref="B23:AE23" si="4">IMDIV(1,COMPLEX(B21,B22))</f>
        <v>0.000443544266296409-0.00528832070725365i</v>
      </c>
      <c r="C23" s="5" t="str">
        <f t="shared" si="4"/>
        <v>0.000573226358342773-0.00460157720870485i</v>
      </c>
      <c r="D23" s="5" t="str">
        <f t="shared" si="4"/>
        <v>0.000839197571685562-0.00342742103816569i</v>
      </c>
      <c r="E23" s="5" t="str">
        <f t="shared" si="4"/>
        <v>0.000874682970653562-0.00313287624506936i</v>
      </c>
      <c r="F23" s="5" t="str">
        <f t="shared" si="4"/>
        <v>0.000902794818957477-0.00256995148443396i</v>
      </c>
      <c r="G23" s="5" t="str">
        <f t="shared" si="4"/>
        <v>0.000912058145396046-0.00220913009060021i</v>
      </c>
      <c r="H23" s="5" t="str">
        <f t="shared" si="4"/>
        <v>0.000915246138266234-0.00196132679656036i</v>
      </c>
      <c r="I23" s="5" t="str">
        <f t="shared" si="4"/>
        <v>0.000908616769390982-0.00177416272982164i</v>
      </c>
      <c r="J23" s="5" t="str">
        <f t="shared" si="4"/>
        <v>0.00089160969032483-0.00162156863021213i</v>
      </c>
      <c r="K23" s="5" t="str">
        <f t="shared" si="4"/>
        <v>0.000868449793493892-0.0014948182668879i</v>
      </c>
      <c r="L23" s="5" t="str">
        <f t="shared" si="4"/>
        <v>0.000843467319037355-0.00138903931458156i</v>
      </c>
      <c r="M23" s="5" t="str">
        <f t="shared" si="4"/>
        <v>0.000821215095123244-0.0013005299505161i</v>
      </c>
      <c r="N23" s="5" t="str">
        <f t="shared" si="4"/>
        <v>0.000791555036946893-0.0011614144650117i</v>
      </c>
      <c r="O23" s="5" t="str">
        <f t="shared" si="4"/>
        <v>0.000774807368305059-0.00105430415848177i</v>
      </c>
      <c r="P23" s="5" t="str">
        <f t="shared" si="4"/>
        <v>0.000751230908220004-0.00089073280169138i</v>
      </c>
      <c r="Q23" s="5" t="str">
        <f t="shared" si="4"/>
        <v>0.000723447906264872-0.000775925370324532i</v>
      </c>
      <c r="R23" s="5" t="str">
        <f t="shared" si="4"/>
        <v>0.000699475025835947-0.000694173690438346i</v>
      </c>
      <c r="S23" s="5" t="str">
        <f t="shared" si="4"/>
        <v>0.000686527104811931-0.000630428189146856i</v>
      </c>
      <c r="T23" s="5" t="str">
        <f t="shared" si="4"/>
        <v>0.000679381113568774-0.000576145161901402i</v>
      </c>
      <c r="U23" s="5" t="str">
        <f t="shared" si="4"/>
        <v>0.000672722025304871-0.000529094505365307i</v>
      </c>
      <c r="V23" s="5" t="str">
        <f t="shared" si="4"/>
        <v>0.000652538044857692-0.000438495977069082i</v>
      </c>
      <c r="W23" s="5" t="str">
        <f t="shared" si="4"/>
        <v>0.000637438470434645-0.000379942983949815i</v>
      </c>
      <c r="X23" s="5" t="str">
        <f t="shared" si="4"/>
        <v>0.000631152079320284-0.000344390036439509i</v>
      </c>
      <c r="Y23" s="5" t="str">
        <f t="shared" si="4"/>
        <v>0.000625162361998754-0.000313322082556701i</v>
      </c>
      <c r="Z23" s="5" t="str">
        <f t="shared" si="4"/>
        <v>0.000616812972890767-0.000283017434654241i</v>
      </c>
      <c r="AA23" s="5" t="str">
        <f t="shared" si="4"/>
        <v>0.000612814589509552-0.000260772706450313i</v>
      </c>
      <c r="AB23" s="5" t="str">
        <f t="shared" si="4"/>
        <v>0.000614973018665375-0.00024542012440456i</v>
      </c>
      <c r="AC23" s="5" t="str">
        <f t="shared" si="4"/>
        <v>0.00061757291364028-0.000231197520844463i</v>
      </c>
      <c r="AD23" s="5" t="str">
        <f t="shared" si="4"/>
        <v>0.000614980035386534-0.000214273065391178i</v>
      </c>
      <c r="AE23" s="5" t="str">
        <f t="shared" si="4"/>
        <v>0.000607784260475579-0.000196369256229741i</v>
      </c>
    </row>
    <row r="24" spans="1:31" x14ac:dyDescent="0.2">
      <c r="A24" t="s">
        <v>13</v>
      </c>
      <c r="B24" s="6" t="str">
        <f t="shared" ref="B24:AE24" si="5">COMPLEX(0,2*PI()*B18*1000000*$B$9*0.000000000001)</f>
        <v>3.14159265358979E-06i</v>
      </c>
      <c r="C24" s="6" t="str">
        <f t="shared" si="5"/>
        <v>3.76991118430775E-06i</v>
      </c>
      <c r="D24" s="6" t="str">
        <f t="shared" si="5"/>
        <v>5.65486677646163E-06i</v>
      </c>
      <c r="E24" s="6" t="str">
        <f t="shared" si="5"/>
        <v>6.28318530717959E-06i</v>
      </c>
      <c r="F24" s="6" t="str">
        <f t="shared" si="5"/>
        <v>7.85398163397448E-06i</v>
      </c>
      <c r="G24" s="6" t="str">
        <f t="shared" si="5"/>
        <v>9.42477796076938E-06i</v>
      </c>
      <c r="H24" s="6" t="str">
        <f t="shared" si="5"/>
        <v>0.0000109955742875643i</v>
      </c>
      <c r="I24" s="6" t="str">
        <f t="shared" si="5"/>
        <v>0.0000125663706143592i</v>
      </c>
      <c r="J24" s="6" t="str">
        <f t="shared" si="5"/>
        <v>0.0000141371669411541i</v>
      </c>
      <c r="K24" s="6" t="str">
        <f t="shared" si="5"/>
        <v>0.000015707963267949i</v>
      </c>
      <c r="L24" s="6" t="str">
        <f t="shared" si="5"/>
        <v>0.0000172787595947439i</v>
      </c>
      <c r="M24" s="6" t="str">
        <f t="shared" si="5"/>
        <v>0.0000188495559215388i</v>
      </c>
      <c r="N24" s="6" t="str">
        <f t="shared" si="5"/>
        <v>0.0000219911485751286i</v>
      </c>
      <c r="O24" s="6" t="str">
        <f t="shared" si="5"/>
        <v>0.0000251327412287183i</v>
      </c>
      <c r="P24" s="6" t="str">
        <f t="shared" si="5"/>
        <v>0.0000314159265358979i</v>
      </c>
      <c r="Q24" s="6" t="str">
        <f t="shared" si="5"/>
        <v>0.0000376991118430775i</v>
      </c>
      <c r="R24" s="6" t="str">
        <f t="shared" si="5"/>
        <v>0.0000439822971502571i</v>
      </c>
      <c r="S24" s="6" t="str">
        <f t="shared" si="5"/>
        <v>0.0000502654824574367i</v>
      </c>
      <c r="T24" s="6" t="str">
        <f t="shared" si="5"/>
        <v>0.0000565486677646163i</v>
      </c>
      <c r="U24" s="6" t="str">
        <f t="shared" si="5"/>
        <v>0.0000628318530717959i</v>
      </c>
      <c r="V24" s="6" t="str">
        <f t="shared" si="5"/>
        <v>0.0000785398163397448i</v>
      </c>
      <c r="W24" s="6" t="str">
        <f t="shared" si="5"/>
        <v>0.0000942477796076938i</v>
      </c>
      <c r="X24" s="6" t="str">
        <f t="shared" si="5"/>
        <v>0.000109955742875643i</v>
      </c>
      <c r="Y24" s="6" t="str">
        <f t="shared" si="5"/>
        <v>0.000125663706143592i</v>
      </c>
      <c r="Z24" s="6" t="str">
        <f t="shared" si="5"/>
        <v>0.000141371669411541i</v>
      </c>
      <c r="AA24" s="6" t="str">
        <f t="shared" si="5"/>
        <v>0.00015707963267949i</v>
      </c>
      <c r="AB24" s="6" t="str">
        <f t="shared" si="5"/>
        <v>0.000172787595947439i</v>
      </c>
      <c r="AC24" s="6" t="str">
        <f t="shared" si="5"/>
        <v>0.000188495559215388i</v>
      </c>
      <c r="AD24" s="6" t="str">
        <f t="shared" si="5"/>
        <v>0.000204203522483337i</v>
      </c>
      <c r="AE24" s="6" t="str">
        <f t="shared" si="5"/>
        <v>0.000219911485751286i</v>
      </c>
    </row>
    <row r="25" spans="1:31" x14ac:dyDescent="0.2">
      <c r="A25" t="s">
        <v>14</v>
      </c>
      <c r="B25" s="6" t="str">
        <f t="shared" ref="B25:AE25" si="6">IMDIV(1,IMSUM(B23,B24))</f>
        <v>15.7677438597941+187.885081297514i</v>
      </c>
      <c r="C25" s="6" t="str">
        <f t="shared" si="6"/>
        <v>26.7009098751306+214.166073292993i</v>
      </c>
      <c r="D25" s="6" t="str">
        <f t="shared" si="6"/>
        <v>67.6077821742572+275.665742814143i</v>
      </c>
      <c r="E25" s="6" t="str">
        <f t="shared" si="6"/>
        <v>82.9818465192064+296.622289581493i</v>
      </c>
      <c r="F25" s="6" t="str">
        <f t="shared" si="6"/>
        <v>122.340164372433+347.196752848794i</v>
      </c>
      <c r="G25" s="6" t="str">
        <f t="shared" si="6"/>
        <v>160.841113956632+387.917211909352i</v>
      </c>
      <c r="H25" s="6" t="str">
        <f t="shared" si="6"/>
        <v>197.188963159742+420.197120161107i</v>
      </c>
      <c r="I25" s="6" t="str">
        <f t="shared" si="6"/>
        <v>231.2704498287+448.379554653761i</v>
      </c>
      <c r="J25" s="6" t="str">
        <f t="shared" si="6"/>
        <v>263.883242875569+475.739812869948i</v>
      </c>
      <c r="K25" s="6" t="str">
        <f t="shared" si="6"/>
        <v>295.193052439514+502.76145920159i</v>
      </c>
      <c r="L25" s="6" t="str">
        <f t="shared" si="6"/>
        <v>325.265688551695+528.991024756091i</v>
      </c>
      <c r="M25" s="6" t="str">
        <f t="shared" si="6"/>
        <v>354.415215962776+553.140141411205i</v>
      </c>
      <c r="N25" s="6" t="str">
        <f t="shared" si="6"/>
        <v>411.230561514567+591.955920119345i</v>
      </c>
      <c r="O25" s="6" t="str">
        <f t="shared" si="6"/>
        <v>466.886355701747+620.162006777009i</v>
      </c>
      <c r="P25" s="6" t="str">
        <f t="shared" si="6"/>
        <v>576.639748608448+659.605803545478i</v>
      </c>
      <c r="Q25" s="6" t="str">
        <f t="shared" si="6"/>
        <v>677.160668796102+690.993480784394i</v>
      </c>
      <c r="R25" s="6" t="str">
        <f t="shared" si="6"/>
        <v>766.956322351282+712.918090570464i</v>
      </c>
      <c r="S25" s="6" t="str">
        <f t="shared" si="6"/>
        <v>849.758769283654+718.10471016396i</v>
      </c>
      <c r="T25" s="6" t="str">
        <f t="shared" si="6"/>
        <v>928.700882177673+710.278388438613i</v>
      </c>
      <c r="U25" s="6" t="str">
        <f t="shared" si="6"/>
        <v>1004.12899047343+695.960335371461i</v>
      </c>
      <c r="V25" s="6" t="str">
        <f t="shared" si="6"/>
        <v>1174.95174090682+648.132505118999i</v>
      </c>
      <c r="W25" s="6" t="str">
        <f t="shared" si="6"/>
        <v>1306.36141795149+585.501518274898i</v>
      </c>
      <c r="X25" s="6" t="str">
        <f t="shared" si="6"/>
        <v>1392.31157119454+517.15836849545i</v>
      </c>
      <c r="Y25" s="6" t="str">
        <f t="shared" si="6"/>
        <v>1467.36694512871+440.467493348017i</v>
      </c>
      <c r="Z25" s="6" t="str">
        <f t="shared" si="6"/>
        <v>1540.02360104183+353.65310239676i</v>
      </c>
      <c r="AA25" s="6" t="str">
        <f t="shared" si="6"/>
        <v>1586.39437760554+268.430471536784i</v>
      </c>
      <c r="AB25" s="6" t="str">
        <f t="shared" si="6"/>
        <v>1603.71698465789+189.40996757569i</v>
      </c>
      <c r="AC25" s="6" t="str">
        <f t="shared" si="6"/>
        <v>1611.53723316349+111.429435414741i</v>
      </c>
      <c r="AD25" s="6" t="str">
        <f t="shared" si="6"/>
        <v>1625.63321396185+26.6177476641363i</v>
      </c>
      <c r="AE25" s="6" t="str">
        <f t="shared" si="6"/>
        <v>1642.85577938325-63.6352244442355i</v>
      </c>
    </row>
    <row r="26" spans="1:31" x14ac:dyDescent="0.2">
      <c r="A26" t="s">
        <v>6</v>
      </c>
      <c r="B26" s="5">
        <f t="shared" ref="B26:AE26" si="7">IMREAL(B25)</f>
        <v>15.7677438597941</v>
      </c>
      <c r="C26" s="5">
        <f t="shared" si="7"/>
        <v>26.700909875130598</v>
      </c>
      <c r="D26" s="5">
        <f t="shared" si="7"/>
        <v>67.607782174257196</v>
      </c>
      <c r="E26" s="5">
        <f t="shared" si="7"/>
        <v>82.9818465192064</v>
      </c>
      <c r="F26" s="5">
        <f t="shared" si="7"/>
        <v>122.34016437243299</v>
      </c>
      <c r="G26" s="5">
        <f t="shared" si="7"/>
        <v>160.841113956632</v>
      </c>
      <c r="H26" s="5">
        <f t="shared" si="7"/>
        <v>197.188963159742</v>
      </c>
      <c r="I26" s="5">
        <f t="shared" si="7"/>
        <v>231.27044982870001</v>
      </c>
      <c r="J26" s="5">
        <f t="shared" si="7"/>
        <v>263.88324287556901</v>
      </c>
      <c r="K26" s="5">
        <f t="shared" si="7"/>
        <v>295.19305243951402</v>
      </c>
      <c r="L26" s="5">
        <f t="shared" si="7"/>
        <v>325.26568855169501</v>
      </c>
      <c r="M26" s="5">
        <f t="shared" si="7"/>
        <v>354.41521596277602</v>
      </c>
      <c r="N26" s="5">
        <f t="shared" si="7"/>
        <v>411.230561514567</v>
      </c>
      <c r="O26" s="5">
        <f t="shared" si="7"/>
        <v>466.88635570174699</v>
      </c>
      <c r="P26" s="5">
        <f t="shared" si="7"/>
        <v>576.63974860844803</v>
      </c>
      <c r="Q26" s="5">
        <f t="shared" si="7"/>
        <v>677.16066879610196</v>
      </c>
      <c r="R26" s="5">
        <f t="shared" si="7"/>
        <v>766.95632235128198</v>
      </c>
      <c r="S26" s="5">
        <f t="shared" si="7"/>
        <v>849.75876928365403</v>
      </c>
      <c r="T26" s="5">
        <f t="shared" si="7"/>
        <v>928.70088217767295</v>
      </c>
      <c r="U26" s="5">
        <f t="shared" si="7"/>
        <v>1004.12899047343</v>
      </c>
      <c r="V26" s="5">
        <f t="shared" si="7"/>
        <v>1174.9517409068201</v>
      </c>
      <c r="W26" s="5">
        <f t="shared" si="7"/>
        <v>1306.36141795149</v>
      </c>
      <c r="X26" s="5">
        <f t="shared" si="7"/>
        <v>1392.31157119454</v>
      </c>
      <c r="Y26" s="5">
        <f t="shared" si="7"/>
        <v>1467.3669451287101</v>
      </c>
      <c r="Z26" s="5">
        <f t="shared" si="7"/>
        <v>1540.02360104183</v>
      </c>
      <c r="AA26" s="5">
        <f t="shared" si="7"/>
        <v>1586.3943776055401</v>
      </c>
      <c r="AB26" s="5">
        <f t="shared" si="7"/>
        <v>1603.71698465789</v>
      </c>
      <c r="AC26" s="5">
        <f t="shared" si="7"/>
        <v>1611.5372331634901</v>
      </c>
      <c r="AD26" s="5">
        <f t="shared" si="7"/>
        <v>1625.6332139618501</v>
      </c>
      <c r="AE26" s="5">
        <f t="shared" si="7"/>
        <v>1642.8557793832499</v>
      </c>
    </row>
    <row r="27" spans="1:31" x14ac:dyDescent="0.2">
      <c r="A27" t="s">
        <v>7</v>
      </c>
      <c r="B27" s="5">
        <f t="shared" ref="B27:AE27" si="8">IMAGINARY(B25)</f>
        <v>187.88508129751401</v>
      </c>
      <c r="C27" s="5">
        <f t="shared" si="8"/>
        <v>214.16607329299299</v>
      </c>
      <c r="D27" s="5">
        <f t="shared" si="8"/>
        <v>275.66574281414302</v>
      </c>
      <c r="E27" s="5">
        <f t="shared" si="8"/>
        <v>296.62228958149302</v>
      </c>
      <c r="F27" s="5">
        <f t="shared" si="8"/>
        <v>347.19675284879401</v>
      </c>
      <c r="G27" s="5">
        <f t="shared" si="8"/>
        <v>387.91721190935198</v>
      </c>
      <c r="H27" s="5">
        <f t="shared" si="8"/>
        <v>420.19712016110702</v>
      </c>
      <c r="I27" s="5">
        <f t="shared" si="8"/>
        <v>448.37955465376098</v>
      </c>
      <c r="J27" s="5">
        <f t="shared" si="8"/>
        <v>475.73981286994803</v>
      </c>
      <c r="K27" s="5">
        <f t="shared" si="8"/>
        <v>502.76145920159001</v>
      </c>
      <c r="L27" s="5">
        <f t="shared" si="8"/>
        <v>528.99102475609095</v>
      </c>
      <c r="M27" s="5">
        <f t="shared" si="8"/>
        <v>553.14014141120504</v>
      </c>
      <c r="N27" s="5">
        <f t="shared" si="8"/>
        <v>591.95592011934502</v>
      </c>
      <c r="O27" s="5">
        <f t="shared" si="8"/>
        <v>620.16200677700897</v>
      </c>
      <c r="P27" s="5">
        <f t="shared" si="8"/>
        <v>659.60580354547801</v>
      </c>
      <c r="Q27" s="5">
        <f t="shared" si="8"/>
        <v>690.99348078439402</v>
      </c>
      <c r="R27" s="5">
        <f t="shared" si="8"/>
        <v>712.91809057046396</v>
      </c>
      <c r="S27" s="5">
        <f t="shared" si="8"/>
        <v>718.10471016396002</v>
      </c>
      <c r="T27" s="5">
        <f t="shared" si="8"/>
        <v>710.27838843861298</v>
      </c>
      <c r="U27" s="5">
        <f t="shared" si="8"/>
        <v>695.96033537146104</v>
      </c>
      <c r="V27" s="5">
        <f t="shared" si="8"/>
        <v>648.13250511899901</v>
      </c>
      <c r="W27" s="5">
        <f t="shared" si="8"/>
        <v>585.50151827489799</v>
      </c>
      <c r="X27" s="5">
        <f t="shared" si="8"/>
        <v>517.15836849544996</v>
      </c>
      <c r="Y27" s="5">
        <f t="shared" si="8"/>
        <v>440.467493348017</v>
      </c>
      <c r="Z27" s="5">
        <f t="shared" si="8"/>
        <v>353.65310239676</v>
      </c>
      <c r="AA27" s="5">
        <f t="shared" si="8"/>
        <v>268.43047153678401</v>
      </c>
      <c r="AB27" s="5">
        <f t="shared" si="8"/>
        <v>189.40996757568999</v>
      </c>
      <c r="AC27" s="5">
        <f t="shared" si="8"/>
        <v>111.42943541474099</v>
      </c>
      <c r="AD27" s="5">
        <f t="shared" si="8"/>
        <v>26.617747664136299</v>
      </c>
      <c r="AE27" s="5">
        <f t="shared" si="8"/>
        <v>-63.635224444235497</v>
      </c>
    </row>
    <row r="28" spans="1:31" x14ac:dyDescent="0.2">
      <c r="A28" t="s">
        <v>15</v>
      </c>
      <c r="B28" s="5">
        <f t="shared" ref="B28:AE28" si="9">IMABS(B25)</f>
        <v>188.54555290592648</v>
      </c>
      <c r="C28" s="5">
        <f t="shared" si="9"/>
        <v>215.82410787004193</v>
      </c>
      <c r="D28" s="5">
        <f t="shared" si="9"/>
        <v>283.8351880436868</v>
      </c>
      <c r="E28" s="5">
        <f t="shared" si="9"/>
        <v>308.01098929795387</v>
      </c>
      <c r="F28" s="5">
        <f t="shared" si="9"/>
        <v>368.12049794519794</v>
      </c>
      <c r="G28" s="5">
        <f t="shared" si="9"/>
        <v>419.94002814013265</v>
      </c>
      <c r="H28" s="5">
        <f t="shared" si="9"/>
        <v>464.16495665194492</v>
      </c>
      <c r="I28" s="5">
        <f t="shared" si="9"/>
        <v>504.50990673670054</v>
      </c>
      <c r="J28" s="5">
        <f t="shared" si="9"/>
        <v>544.02457244141067</v>
      </c>
      <c r="K28" s="5">
        <f t="shared" si="9"/>
        <v>583.01631458053532</v>
      </c>
      <c r="L28" s="5">
        <f t="shared" si="9"/>
        <v>620.99055743345048</v>
      </c>
      <c r="M28" s="5">
        <f t="shared" si="9"/>
        <v>656.94304269574923</v>
      </c>
      <c r="N28" s="5">
        <f t="shared" si="9"/>
        <v>720.77901335147556</v>
      </c>
      <c r="O28" s="5">
        <f t="shared" si="9"/>
        <v>776.26270282047255</v>
      </c>
      <c r="P28" s="5">
        <f t="shared" si="9"/>
        <v>876.12397281782546</v>
      </c>
      <c r="Q28" s="5">
        <f t="shared" si="9"/>
        <v>967.48052272431653</v>
      </c>
      <c r="R28" s="5">
        <f t="shared" si="9"/>
        <v>1047.1266419384237</v>
      </c>
      <c r="S28" s="5">
        <f t="shared" si="9"/>
        <v>1112.5485790445896</v>
      </c>
      <c r="T28" s="5">
        <f t="shared" si="9"/>
        <v>1169.1795061668424</v>
      </c>
      <c r="U28" s="5">
        <f t="shared" si="9"/>
        <v>1221.7347575965687</v>
      </c>
      <c r="V28" s="5">
        <f t="shared" si="9"/>
        <v>1341.8596564662776</v>
      </c>
      <c r="W28" s="5">
        <f t="shared" si="9"/>
        <v>1431.5698314139058</v>
      </c>
      <c r="X28" s="5">
        <f t="shared" si="9"/>
        <v>1485.2556309898589</v>
      </c>
      <c r="Y28" s="5">
        <f t="shared" si="9"/>
        <v>1532.0500528222465</v>
      </c>
      <c r="Z28" s="5">
        <f t="shared" si="9"/>
        <v>1580.1086065839584</v>
      </c>
      <c r="AA28" s="5">
        <f t="shared" si="9"/>
        <v>1608.9443866547811</v>
      </c>
      <c r="AB28" s="5">
        <f t="shared" si="9"/>
        <v>1614.8635554427558</v>
      </c>
      <c r="AC28" s="5">
        <f t="shared" si="9"/>
        <v>1615.3850231288777</v>
      </c>
      <c r="AD28" s="5">
        <f t="shared" si="9"/>
        <v>1625.8511158241536</v>
      </c>
      <c r="AE28" s="5">
        <f t="shared" si="9"/>
        <v>1644.0877572815307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 xr:uid="{00000000-0004-0000-0600-000000000000}"/>
  </hyperlinks>
  <pageMargins left="0.75" right="0.75" top="1" bottom="1" header="0.5" footer="0.5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AE35"/>
  <sheetViews>
    <sheetView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2*1075</f>
        <v>2150</v>
      </c>
    </row>
    <row r="8" spans="1:2" x14ac:dyDescent="0.2">
      <c r="A8" t="s">
        <v>5</v>
      </c>
      <c r="B8" s="3">
        <v>7</v>
      </c>
    </row>
    <row r="9" spans="1:2" x14ac:dyDescent="0.2">
      <c r="A9" t="s">
        <v>8</v>
      </c>
      <c r="B9" s="3">
        <v>3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6.6193357211136942E-4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csinterpolate(CSTableU2,'FT240-43 x 2'!B18*1000000)</f>
        <v>62.806156889999997</v>
      </c>
      <c r="C19" s="7">
        <f>csinterpolate(CSTableU2,'FT240-43 x 2'!C18*1000000)</f>
        <v>88.590879034678693</v>
      </c>
      <c r="D19" s="7">
        <f>csinterpolate(CSTableU2,'FT240-43 x 2'!D18*1000000)</f>
        <v>149.31944870511313</v>
      </c>
      <c r="E19" s="7">
        <f>csinterpolate(CSTableU2,'FT240-43 x 2'!E18*1000000)</f>
        <v>164.84693443845484</v>
      </c>
      <c r="F19" s="7">
        <f>csinterpolate(CSTableU2,'FT240-43 x 2'!F18*1000000)</f>
        <v>194.09240685957292</v>
      </c>
      <c r="G19" s="7">
        <f>csinterpolate(CSTableU2,'FT240-43 x 2'!G18*1000000)</f>
        <v>212.25123818145755</v>
      </c>
      <c r="H19" s="7">
        <f>csinterpolate(CSTableU2,'FT240-43 x 2'!H18*1000000)</f>
        <v>222.61469783871939</v>
      </c>
      <c r="I19" s="7">
        <f>csinterpolate(CSTableU2,'FT240-43 x 2'!I18*1000000)</f>
        <v>227.99294072128737</v>
      </c>
      <c r="J19" s="7">
        <f>csinterpolate(CSTableU2,'FT240-43 x 2'!J18*1000000)</f>
        <v>230.73650181843422</v>
      </c>
      <c r="K19" s="7">
        <f>csinterpolate(CSTableU2,'FT240-43 x 2'!K18*1000000)</f>
        <v>231.76055744625637</v>
      </c>
      <c r="L19" s="7">
        <f>csinterpolate(CSTableU2,'FT240-43 x 2'!L18*1000000)</f>
        <v>231.5816749650173</v>
      </c>
      <c r="M19" s="7">
        <f>csinterpolate(CSTableU2,'FT240-43 x 2'!M18*1000000)</f>
        <v>230.71610985828033</v>
      </c>
      <c r="N19" s="7">
        <f>csinterpolate(CSTableU2,'FT240-43 x 2'!N18*1000000)</f>
        <v>228.27786020805809</v>
      </c>
      <c r="O19" s="7">
        <f>csinterpolate(CSTableU2,'FT240-43 x 2'!O18*1000000)</f>
        <v>225.61849570541494</v>
      </c>
      <c r="P19" s="7">
        <f>csinterpolate(CSTableU2,'FT240-43 x 2'!P18*1000000)</f>
        <v>223.21661937748814</v>
      </c>
      <c r="Q19" s="7">
        <f>csinterpolate(CSTableU2,'FT240-43 x 2'!Q18*1000000)</f>
        <v>220.6469586</v>
      </c>
      <c r="R19" s="7">
        <f>csinterpolate(CSTableU2,'FT240-43 x 2'!R18*1000000)</f>
        <v>217.42371569860856</v>
      </c>
      <c r="S19" s="7">
        <f>csinterpolate(CSTableU2,'FT240-43 x 2'!S18*1000000)</f>
        <v>213.62398562766845</v>
      </c>
      <c r="T19" s="7">
        <f>csinterpolate(CSTableU2,'FT240-43 x 2'!T18*1000000)</f>
        <v>209.4656387187986</v>
      </c>
      <c r="U19" s="7">
        <f>csinterpolate(CSTableU2,'FT240-43 x 2'!U18*1000000)</f>
        <v>205.16650282262194</v>
      </c>
      <c r="V19" s="7">
        <f>csinterpolate(CSTableU2,'FT240-43 x 2'!V18*1000000)</f>
        <v>200.94438123173398</v>
      </c>
      <c r="W19" s="7">
        <f>csinterpolate(CSTableU2,'FT240-43 x 2'!W18*1000000)</f>
        <v>196.96248291112678</v>
      </c>
      <c r="X19" s="7">
        <f>csinterpolate(CSTableU2,'FT240-43 x 2'!X18*1000000)</f>
        <v>193.22040777268447</v>
      </c>
      <c r="Y19" s="7">
        <f>csinterpolate(CSTableU2,'FT240-43 x 2'!Y18*1000000)</f>
        <v>189.68726462651435</v>
      </c>
      <c r="Z19" s="7">
        <f>csinterpolate(CSTableU2,'FT240-43 x 2'!Z18*1000000)</f>
        <v>186.33214134317572</v>
      </c>
      <c r="AA19" s="7">
        <f>csinterpolate(CSTableU2,'FT240-43 x 2'!AA18*1000000)</f>
        <v>177.04080458652163</v>
      </c>
      <c r="AB19" s="7">
        <f>csinterpolate(CSTableU2,'FT240-43 x 2'!AB18*1000000)</f>
        <v>171.24984986633834</v>
      </c>
      <c r="AC19" s="7">
        <f>csinterpolate(CSTableU2,'FT240-43 x 2'!AC18*1000000)</f>
        <v>165.57249087919985</v>
      </c>
      <c r="AD19" s="7">
        <f>csinterpolate(CSTableU2,'FT240-43 x 2'!AD18*1000000)</f>
        <v>159.82992478445121</v>
      </c>
      <c r="AE19" s="7">
        <f>csinterpolate(CSTableU2,'FT240-43 x 2'!AE18*1000000)</f>
        <v>153.87192534130403</v>
      </c>
    </row>
    <row r="20" spans="1:31" x14ac:dyDescent="0.2">
      <c r="A20" t="s">
        <v>3</v>
      </c>
      <c r="B20" s="7">
        <f>csinterpolate(CSTableU1,'FT240-43 x 2'!B18*1000000)</f>
        <v>748.82965526252349</v>
      </c>
      <c r="C20" s="7">
        <f>csinterpolate(CSTableU1,'FT240-43 x 2'!C18*1000000)</f>
        <v>711.16368591923231</v>
      </c>
      <c r="D20" s="7">
        <f>csinterpolate(CSTableU1,'FT240-43 x 2'!D18*1000000)</f>
        <v>609.84521067104197</v>
      </c>
      <c r="E20" s="7">
        <f>csinterpolate(CSTableU1,'FT240-43 x 2'!E18*1000000)</f>
        <v>590.43683517566922</v>
      </c>
      <c r="F20" s="7">
        <f>csinterpolate(CSTableU1,'FT240-43 x 2'!F18*1000000)</f>
        <v>552.51543169258457</v>
      </c>
      <c r="G20" s="7">
        <f>csinterpolate(CSTableU1,'FT240-43 x 2'!G18*1000000)</f>
        <v>514.10164955020889</v>
      </c>
      <c r="H20" s="7">
        <f>csinterpolate(CSTableU1,'FT240-43 x 2'!H18*1000000)</f>
        <v>477.05218730162227</v>
      </c>
      <c r="I20" s="7">
        <f>csinterpolate(CSTableU1,'FT240-43 x 2'!I18*1000000)</f>
        <v>445.17842033805402</v>
      </c>
      <c r="J20" s="7">
        <f>csinterpolate(CSTableU1,'FT240-43 x 2'!J18*1000000)</f>
        <v>419.63998064819731</v>
      </c>
      <c r="K20" s="7">
        <f>csinterpolate(CSTableU1,'FT240-43 x 2'!K18*1000000)</f>
        <v>398.91760860580126</v>
      </c>
      <c r="L20" s="7">
        <f>csinterpolate(CSTableU1,'FT240-43 x 2'!L18*1000000)</f>
        <v>381.37346142845843</v>
      </c>
      <c r="M20" s="7">
        <f>csinterpolate(CSTableU1,'FT240-43 x 2'!M18*1000000)</f>
        <v>365.37712557783078</v>
      </c>
      <c r="N20" s="7">
        <f>csinterpolate(CSTableU1,'FT240-43 x 2'!N18*1000000)</f>
        <v>334.94222955130334</v>
      </c>
      <c r="O20" s="7">
        <f>csinterpolate(CSTableU1,'FT240-43 x 2'!O18*1000000)</f>
        <v>307.00600947171955</v>
      </c>
      <c r="P20" s="7">
        <f>csinterpolate(CSTableU1,'FT240-43 x 2'!P18*1000000)</f>
        <v>282.39915680429408</v>
      </c>
      <c r="Q20" s="7">
        <f>csinterpolate(CSTableU1,'FT240-43 x 2'!Q18*1000000)</f>
        <v>261.62060355602716</v>
      </c>
      <c r="R20" s="7">
        <f>csinterpolate(CSTableU1,'FT240-43 x 2'!R18*1000000)</f>
        <v>244.11539967135678</v>
      </c>
      <c r="S20" s="7">
        <f>csinterpolate(CSTableU1,'FT240-43 x 2'!S18*1000000)</f>
        <v>229.11984224841194</v>
      </c>
      <c r="T20" s="7">
        <f>csinterpolate(CSTableU1,'FT240-43 x 2'!T18*1000000)</f>
        <v>215.87024501467678</v>
      </c>
      <c r="U20" s="7">
        <f>csinterpolate(CSTableU1,'FT240-43 x 2'!U18*1000000)</f>
        <v>203.61154173946414</v>
      </c>
      <c r="V20" s="7">
        <f>csinterpolate(CSTableU1,'FT240-43 x 2'!V18*1000000)</f>
        <v>191.93148822449245</v>
      </c>
      <c r="W20" s="7">
        <f>csinterpolate(CSTableU1,'FT240-43 x 2'!W18*1000000)</f>
        <v>180.86787915758393</v>
      </c>
      <c r="X20" s="7">
        <f>csinterpolate(CSTableU1,'FT240-43 x 2'!X18*1000000)</f>
        <v>170.48900691856036</v>
      </c>
      <c r="Y20" s="7">
        <f>csinterpolate(CSTableU1,'FT240-43 x 2'!Y18*1000000)</f>
        <v>160.86317032687728</v>
      </c>
      <c r="Z20" s="7">
        <f>csinterpolate(CSTableU1,'FT240-43 x 2'!Z18*1000000)</f>
        <v>152.05044940691147</v>
      </c>
      <c r="AA20" s="7">
        <f>csinterpolate(CSTableU1,'FT240-43 x 2'!AA18*1000000)</f>
        <v>130.0529425335306</v>
      </c>
      <c r="AB20" s="7">
        <f>csinterpolate(CSTableU1,'FT240-43 x 2'!AB18*1000000)</f>
        <v>118.35127203670631</v>
      </c>
      <c r="AC20" s="7">
        <f>csinterpolate(CSTableU1,'FT240-43 x 2'!AC18*1000000)</f>
        <v>108.33087305026413</v>
      </c>
      <c r="AD20" s="7">
        <f>csinterpolate(CSTableU1,'FT240-43 x 2'!AD18*1000000)</f>
        <v>99.51049694962343</v>
      </c>
      <c r="AE20" s="7">
        <f>csinterpolate(CSTableU1,'FT240-43 x 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51.966879725980995</v>
      </c>
      <c r="C21" s="5">
        <f t="shared" si="1"/>
        <v>87.961915523866651</v>
      </c>
      <c r="D21" s="5">
        <f t="shared" si="1"/>
        <v>222.38900115092085</v>
      </c>
      <c r="E21" s="5">
        <f t="shared" si="1"/>
        <v>272.79430041113784</v>
      </c>
      <c r="F21" s="5">
        <f t="shared" si="1"/>
        <v>401.48837560078243</v>
      </c>
      <c r="G21" s="5">
        <f t="shared" si="1"/>
        <v>526.86082602942486</v>
      </c>
      <c r="H21" s="5">
        <f t="shared" si="1"/>
        <v>644.6831218838355</v>
      </c>
      <c r="I21" s="5">
        <f t="shared" si="1"/>
        <v>754.58090833908727</v>
      </c>
      <c r="J21" s="5">
        <f t="shared" si="1"/>
        <v>859.1188323665117</v>
      </c>
      <c r="K21" s="5">
        <f t="shared" si="1"/>
        <v>958.81308540576697</v>
      </c>
      <c r="L21" s="5">
        <f t="shared" si="1"/>
        <v>1053.8803367477549</v>
      </c>
      <c r="M21" s="5">
        <f t="shared" si="1"/>
        <v>1145.3905405659798</v>
      </c>
      <c r="N21" s="5">
        <f t="shared" si="1"/>
        <v>1322.1668201127725</v>
      </c>
      <c r="O21" s="5">
        <f t="shared" si="1"/>
        <v>1493.4445679667897</v>
      </c>
      <c r="P21" s="5">
        <f t="shared" si="1"/>
        <v>1662.2389599656024</v>
      </c>
      <c r="Q21" s="5">
        <f t="shared" si="1"/>
        <v>1825.6703685200928</v>
      </c>
      <c r="R21" s="5">
        <f t="shared" si="1"/>
        <v>1978.9007809189684</v>
      </c>
      <c r="S21" s="5">
        <f t="shared" si="1"/>
        <v>2121.0733184278565</v>
      </c>
      <c r="T21" s="5">
        <f t="shared" si="1"/>
        <v>2253.1005001655139</v>
      </c>
      <c r="U21" s="5">
        <f t="shared" si="1"/>
        <v>2376.6154315920712</v>
      </c>
      <c r="V21" s="5">
        <f t="shared" si="1"/>
        <v>2493.9718512080717</v>
      </c>
      <c r="W21" s="5">
        <f t="shared" si="1"/>
        <v>2607.5215977057342</v>
      </c>
      <c r="X21" s="5">
        <f t="shared" si="1"/>
        <v>2717.8553378380043</v>
      </c>
      <c r="Y21" s="5">
        <f t="shared" si="1"/>
        <v>2825.1082948109229</v>
      </c>
      <c r="Z21" s="5">
        <f t="shared" si="1"/>
        <v>2929.3131230631611</v>
      </c>
      <c r="AA21" s="5">
        <f t="shared" si="1"/>
        <v>3222.7044352092475</v>
      </c>
      <c r="AB21" s="5">
        <f t="shared" si="1"/>
        <v>3400.6807453668312</v>
      </c>
      <c r="AC21" s="5">
        <f t="shared" si="1"/>
        <v>3561.9346857589912</v>
      </c>
      <c r="AD21" s="5">
        <f t="shared" si="1"/>
        <v>3702.8877565002149</v>
      </c>
      <c r="AE21" s="5">
        <f t="shared" si="1"/>
        <v>3819.4872445808746</v>
      </c>
    </row>
    <row r="22" spans="1:31" x14ac:dyDescent="0.2">
      <c r="A22" t="s">
        <v>11</v>
      </c>
      <c r="B22" s="5">
        <f t="shared" ref="B22:AE22" si="2">B20/$B$13*$B$16*B18*1000000</f>
        <v>619.59436076355928</v>
      </c>
      <c r="C22" s="5">
        <f t="shared" si="2"/>
        <v>706.11467846460823</v>
      </c>
      <c r="D22" s="5">
        <f t="shared" si="2"/>
        <v>908.27329215261045</v>
      </c>
      <c r="E22" s="5">
        <f t="shared" si="2"/>
        <v>977.07490853490651</v>
      </c>
      <c r="F22" s="5">
        <f t="shared" si="2"/>
        <v>1142.9016042091498</v>
      </c>
      <c r="G22" s="5">
        <f t="shared" si="2"/>
        <v>1276.1292799316893</v>
      </c>
      <c r="H22" s="5">
        <f t="shared" si="2"/>
        <v>1381.5237556054587</v>
      </c>
      <c r="I22" s="5">
        <f t="shared" si="2"/>
        <v>1473.392710006324</v>
      </c>
      <c r="J22" s="5">
        <f t="shared" si="2"/>
        <v>1562.4775765755405</v>
      </c>
      <c r="K22" s="5">
        <f t="shared" si="2"/>
        <v>1650.3559852660201</v>
      </c>
      <c r="L22" s="5">
        <f t="shared" si="2"/>
        <v>1735.5517962187421</v>
      </c>
      <c r="M22" s="5">
        <f t="shared" si="2"/>
        <v>1813.9153942613846</v>
      </c>
      <c r="N22" s="5">
        <f t="shared" si="2"/>
        <v>1939.9581815061042</v>
      </c>
      <c r="O22" s="5">
        <f t="shared" si="2"/>
        <v>2032.1758450927225</v>
      </c>
      <c r="P22" s="5">
        <f t="shared" si="2"/>
        <v>2102.9566795279325</v>
      </c>
      <c r="Q22" s="5">
        <f t="shared" si="2"/>
        <v>2164.6932581221686</v>
      </c>
      <c r="R22" s="5">
        <f t="shared" si="2"/>
        <v>2221.8374545380175</v>
      </c>
      <c r="S22" s="5">
        <f t="shared" si="2"/>
        <v>2274.931734316272</v>
      </c>
      <c r="T22" s="5">
        <f t="shared" si="2"/>
        <v>2321.991138920725</v>
      </c>
      <c r="U22" s="5">
        <f t="shared" si="2"/>
        <v>2358.6030150673673</v>
      </c>
      <c r="V22" s="5">
        <f t="shared" si="2"/>
        <v>2382.1105425204291</v>
      </c>
      <c r="W22" s="5">
        <f t="shared" si="2"/>
        <v>2394.4504266197405</v>
      </c>
      <c r="X22" s="5">
        <f t="shared" si="2"/>
        <v>2398.1134438006065</v>
      </c>
      <c r="Y22" s="5">
        <f t="shared" si="2"/>
        <v>2395.8164915016641</v>
      </c>
      <c r="Z22" s="5">
        <f t="shared" si="2"/>
        <v>2390.3733065300789</v>
      </c>
      <c r="AA22" s="5">
        <f t="shared" si="2"/>
        <v>2367.3762424074002</v>
      </c>
      <c r="AB22" s="5">
        <f t="shared" si="2"/>
        <v>2350.2204078954428</v>
      </c>
      <c r="AC22" s="5">
        <f t="shared" si="2"/>
        <v>2330.5048574633997</v>
      </c>
      <c r="AD22" s="5">
        <f t="shared" si="2"/>
        <v>2305.4268547954621</v>
      </c>
      <c r="AE22" s="5">
        <f t="shared" si="2"/>
        <v>2276.5920918999614</v>
      </c>
    </row>
    <row r="23" spans="1:31" x14ac:dyDescent="0.2">
      <c r="A23" t="s">
        <v>12</v>
      </c>
      <c r="B23" s="5" t="str">
        <f t="shared" ref="B23:AE23" si="3">IMDIV(1,COMPLEX(B21,B22))</f>
        <v>0.000134421068459218-0.00160268494903504i</v>
      </c>
      <c r="C23" s="5" t="str">
        <f t="shared" si="3"/>
        <v>0.000173722682069188-0.00139455962345443i</v>
      </c>
      <c r="D23" s="5" t="str">
        <f t="shared" si="3"/>
        <v>0.00025432824366389-0.00103871841666858i</v>
      </c>
      <c r="E23" s="5" t="str">
        <f t="shared" si="3"/>
        <v>0.00026508249212664-0.000949453311005714i</v>
      </c>
      <c r="F23" s="5" t="str">
        <f t="shared" si="3"/>
        <v>0.000273602103296296-0.000778852643751925i</v>
      </c>
      <c r="G23" s="5" t="str">
        <f t="shared" si="3"/>
        <v>0.000276409458349617-0.000669501670314553i</v>
      </c>
      <c r="H23" s="5" t="str">
        <f t="shared" si="3"/>
        <v>0.000277375615372521-0.000594402100590233i</v>
      </c>
      <c r="I23" s="5" t="str">
        <f t="shared" si="3"/>
        <v>0.000275366510723594-0.000537679929343907i</v>
      </c>
      <c r="J23" s="5" t="str">
        <f t="shared" si="3"/>
        <v>0.000270212324516811-0.000491434574666329i</v>
      </c>
      <c r="K23" s="5" t="str">
        <f t="shared" si="3"/>
        <v>0.00026319345782417-0.000453021454352761i</v>
      </c>
      <c r="L23" s="5" t="str">
        <f t="shared" si="3"/>
        <v>0.000255622238524586-0.000420963955541557i</v>
      </c>
      <c r="M23" s="5" t="str">
        <f t="shared" si="3"/>
        <v>0.000248878452297555-0.000394140199289062i</v>
      </c>
      <c r="N23" s="5" t="str">
        <f t="shared" si="3"/>
        <v>0.000239889638748192-0.000351979689906607i</v>
      </c>
      <c r="O23" s="5" t="str">
        <f t="shared" si="3"/>
        <v>0.000234814069782248-0.00031951870925417i</v>
      </c>
      <c r="P23" s="5" t="str">
        <f t="shared" si="3"/>
        <v>0.000231333521752299-0.000292668134055638i</v>
      </c>
      <c r="Q23" s="5" t="str">
        <f t="shared" si="3"/>
        <v>0.000227668958919736-0.000269946573573817i</v>
      </c>
      <c r="R23" s="5" t="str">
        <f t="shared" si="3"/>
        <v>0.00022353868367441-0.000250981062170932i</v>
      </c>
      <c r="S23" s="5" t="str">
        <f t="shared" si="3"/>
        <v>0.000219249008327211-0.000235152892843251i</v>
      </c>
      <c r="T23" s="5" t="str">
        <f t="shared" si="3"/>
        <v>0.000215234807247568-0.000221815811225221i</v>
      </c>
      <c r="U23" s="5" t="str">
        <f t="shared" si="3"/>
        <v>0.000211983757829874-0.000210377128632846i</v>
      </c>
      <c r="V23" s="5" t="str">
        <f t="shared" si="3"/>
        <v>0.000209677085456208-0.000200272507305264i</v>
      </c>
      <c r="W23" s="5" t="str">
        <f t="shared" si="3"/>
        <v>0.000208059745029738-0.000191058338955731i</v>
      </c>
      <c r="X23" s="5" t="str">
        <f t="shared" si="3"/>
        <v>0.000206874741439715-0.000182536977491966i</v>
      </c>
      <c r="Y23" s="5" t="str">
        <f t="shared" si="3"/>
        <v>0.000205894072173394-0.000174607258249711i</v>
      </c>
      <c r="Z23" s="5" t="str">
        <f t="shared" si="3"/>
        <v>0.000204922163083872-0.000167220248561161i</v>
      </c>
      <c r="AA23" s="5" t="str">
        <f t="shared" si="3"/>
        <v>0.000201541285295433-0.000148050825095811i</v>
      </c>
      <c r="AB23" s="5" t="str">
        <f t="shared" si="3"/>
        <v>0.000199007947684324-0.000137534974613041i</v>
      </c>
      <c r="AC23" s="5" t="str">
        <f t="shared" si="3"/>
        <v>0.000196589608151842-0.000128624771969133i</v>
      </c>
      <c r="AD23" s="5" t="str">
        <f t="shared" si="3"/>
        <v>0.000194618711628375-0.000121170079607765i</v>
      </c>
      <c r="AE23" s="5" t="str">
        <f t="shared" si="3"/>
        <v>0.000193182883386826-0.000115145985952139i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53.2022790315971+626.86343361501i</v>
      </c>
      <c r="C25" s="6" t="str">
        <f t="shared" si="5"/>
        <v>90.8401693926221+717.392079806888i</v>
      </c>
      <c r="D25" s="6" t="str">
        <f t="shared" si="5"/>
        <v>236.742044563418+935.310408024535i</v>
      </c>
      <c r="E25" s="6" t="str">
        <f t="shared" si="5"/>
        <v>294.025006103349+1011.30229998546i</v>
      </c>
      <c r="F25" s="6" t="str">
        <f t="shared" si="5"/>
        <v>448.318518895493+1198.99499035645i</v>
      </c>
      <c r="G25" s="6" t="str">
        <f t="shared" si="5"/>
        <v>611.371733714618+1355.75006040691i</v>
      </c>
      <c r="H25" s="6" t="str">
        <f t="shared" si="5"/>
        <v>778.764190375563+1483.62469795475i</v>
      </c>
      <c r="I25" s="6" t="str">
        <f t="shared" si="5"/>
        <v>951.077516890159+1596.65652720584i</v>
      </c>
      <c r="J25" s="6" t="str">
        <f t="shared" si="5"/>
        <v>1133.68980139078+1705.95991239062i</v>
      </c>
      <c r="K25" s="6" t="str">
        <f t="shared" si="5"/>
        <v>1329.33141723292+1812.08576177202i</v>
      </c>
      <c r="L25" s="6" t="str">
        <f t="shared" si="5"/>
        <v>1539.73939972192+1911.20330324872i</v>
      </c>
      <c r="M25" s="6" t="str">
        <f t="shared" si="5"/>
        <v>1766.02757723938+1994.26444195653i</v>
      </c>
      <c r="N25" s="6" t="str">
        <f t="shared" si="5"/>
        <v>2263.93269259071+2076.53589569693i</v>
      </c>
      <c r="O25" s="6" t="str">
        <f t="shared" si="5"/>
        <v>2808.61783172173+2018.09181949472i</v>
      </c>
      <c r="P25" s="6" t="str">
        <f t="shared" si="5"/>
        <v>3369.77021049793+1792.0287052775i</v>
      </c>
      <c r="Q25" s="6" t="str">
        <f t="shared" si="5"/>
        <v>3893.94553090522+1393.100819952i</v>
      </c>
      <c r="R25" s="6" t="str">
        <f t="shared" si="5"/>
        <v>4309.29250583641+841.196952794989i</v>
      </c>
      <c r="S25" s="6" t="str">
        <f t="shared" si="5"/>
        <v>4553.42242805964+186.046761632328i</v>
      </c>
      <c r="T25" s="6" t="str">
        <f t="shared" si="5"/>
        <v>4592.59866477512-495.639123357744i</v>
      </c>
      <c r="U25" s="6" t="str">
        <f t="shared" si="5"/>
        <v>4434.70033994972-1119.5684391482i</v>
      </c>
      <c r="V25" s="6" t="str">
        <f t="shared" si="5"/>
        <v>4130.27268730537-1624.53146549742i</v>
      </c>
      <c r="W25" s="6" t="str">
        <f t="shared" si="5"/>
        <v>3748.36865430985-1991.37158453172i</v>
      </c>
      <c r="X25" s="6" t="str">
        <f t="shared" si="5"/>
        <v>3346.67119318142-2230.93583702975i</v>
      </c>
      <c r="Y25" s="6" t="str">
        <f t="shared" si="5"/>
        <v>2961.93205400677-2369.10674386746i</v>
      </c>
      <c r="Z25" s="6" t="str">
        <f t="shared" si="5"/>
        <v>2612.33562626512-2433.85362878378i</v>
      </c>
      <c r="AA25" s="6" t="str">
        <f t="shared" si="5"/>
        <v>1804.05900451915-2386.77261170556i</v>
      </c>
      <c r="AB25" s="6" t="str">
        <f t="shared" si="5"/>
        <v>1434.421403868-2269.42616666398i</v>
      </c>
      <c r="AC25" s="6" t="str">
        <f t="shared" si="5"/>
        <v>1161.16705188661-2135.0046013482i</v>
      </c>
      <c r="AD25" s="6" t="str">
        <f t="shared" si="5"/>
        <v>957.702215717956-2000.93025085131i</v>
      </c>
      <c r="AE25" s="6" t="str">
        <f t="shared" si="5"/>
        <v>804.50509198944-1875.43209442849i</v>
      </c>
    </row>
    <row r="26" spans="1:31" x14ac:dyDescent="0.2">
      <c r="A26" t="s">
        <v>6</v>
      </c>
      <c r="B26" s="5">
        <f t="shared" ref="B26:AE26" si="6">IMREAL(B25)</f>
        <v>53.202279031597101</v>
      </c>
      <c r="C26" s="5">
        <f t="shared" si="6"/>
        <v>90.840169392622101</v>
      </c>
      <c r="D26" s="5">
        <f t="shared" si="6"/>
        <v>236.74204456341801</v>
      </c>
      <c r="E26" s="5">
        <f t="shared" si="6"/>
        <v>294.02500610334903</v>
      </c>
      <c r="F26" s="5">
        <f t="shared" si="6"/>
        <v>448.31851889549301</v>
      </c>
      <c r="G26" s="5">
        <f t="shared" si="6"/>
        <v>611.37173371461802</v>
      </c>
      <c r="H26" s="5">
        <f t="shared" si="6"/>
        <v>778.76419037556298</v>
      </c>
      <c r="I26" s="5">
        <f t="shared" si="6"/>
        <v>951.07751689015902</v>
      </c>
      <c r="J26" s="5">
        <f t="shared" si="6"/>
        <v>1133.6898013907801</v>
      </c>
      <c r="K26" s="5">
        <f t="shared" si="6"/>
        <v>1329.3314172329201</v>
      </c>
      <c r="L26" s="5">
        <f t="shared" si="6"/>
        <v>1539.7393997219201</v>
      </c>
      <c r="M26" s="5">
        <f t="shared" si="6"/>
        <v>1766.02757723938</v>
      </c>
      <c r="N26" s="5">
        <f t="shared" si="6"/>
        <v>2263.9326925907098</v>
      </c>
      <c r="O26" s="5">
        <f t="shared" si="6"/>
        <v>2808.61783172173</v>
      </c>
      <c r="P26" s="5">
        <f t="shared" si="6"/>
        <v>3369.7702104979298</v>
      </c>
      <c r="Q26" s="5">
        <f t="shared" si="6"/>
        <v>3893.94553090522</v>
      </c>
      <c r="R26" s="5">
        <f t="shared" si="6"/>
        <v>4309.2925058364099</v>
      </c>
      <c r="S26" s="5">
        <f t="shared" si="6"/>
        <v>4553.42242805964</v>
      </c>
      <c r="T26" s="5">
        <f t="shared" si="6"/>
        <v>4592.5986647751197</v>
      </c>
      <c r="U26" s="5">
        <f t="shared" si="6"/>
        <v>4434.7003399497198</v>
      </c>
      <c r="V26" s="5">
        <f t="shared" si="6"/>
        <v>4130.2726873053698</v>
      </c>
      <c r="W26" s="5">
        <f t="shared" si="6"/>
        <v>3748.3686543098502</v>
      </c>
      <c r="X26" s="5">
        <f t="shared" si="6"/>
        <v>3346.6711931814202</v>
      </c>
      <c r="Y26" s="5">
        <f t="shared" si="6"/>
        <v>2961.9320540067702</v>
      </c>
      <c r="Z26" s="5">
        <f t="shared" si="6"/>
        <v>2612.33562626512</v>
      </c>
      <c r="AA26" s="5">
        <f t="shared" si="6"/>
        <v>1804.05900451915</v>
      </c>
      <c r="AB26" s="5">
        <f t="shared" si="6"/>
        <v>1434.421403868</v>
      </c>
      <c r="AC26" s="5">
        <f t="shared" si="6"/>
        <v>1161.1670518866099</v>
      </c>
      <c r="AD26" s="5">
        <f t="shared" si="6"/>
        <v>957.70221571795605</v>
      </c>
      <c r="AE26" s="5">
        <f t="shared" si="6"/>
        <v>804.50509198943996</v>
      </c>
    </row>
    <row r="27" spans="1:31" x14ac:dyDescent="0.2">
      <c r="A27" t="s">
        <v>7</v>
      </c>
      <c r="B27" s="5">
        <f t="shared" ref="B27:AE27" si="7">IMAGINARY(B25)</f>
        <v>626.86343361500997</v>
      </c>
      <c r="C27" s="5">
        <f t="shared" si="7"/>
        <v>717.39207980688798</v>
      </c>
      <c r="D27" s="5">
        <f t="shared" si="7"/>
        <v>935.31040802453504</v>
      </c>
      <c r="E27" s="5">
        <f t="shared" si="7"/>
        <v>1011.30229998546</v>
      </c>
      <c r="F27" s="5">
        <f t="shared" si="7"/>
        <v>1198.99499035645</v>
      </c>
      <c r="G27" s="5">
        <f t="shared" si="7"/>
        <v>1355.7500604069101</v>
      </c>
      <c r="H27" s="5">
        <f t="shared" si="7"/>
        <v>1483.62469795475</v>
      </c>
      <c r="I27" s="5">
        <f t="shared" si="7"/>
        <v>1596.6565272058399</v>
      </c>
      <c r="J27" s="5">
        <f t="shared" si="7"/>
        <v>1705.95991239062</v>
      </c>
      <c r="K27" s="5">
        <f t="shared" si="7"/>
        <v>1812.0857617720201</v>
      </c>
      <c r="L27" s="5">
        <f t="shared" si="7"/>
        <v>1911.20330324872</v>
      </c>
      <c r="M27" s="5">
        <f t="shared" si="7"/>
        <v>1994.2644419565299</v>
      </c>
      <c r="N27" s="5">
        <f t="shared" si="7"/>
        <v>2076.5358956969299</v>
      </c>
      <c r="O27" s="5">
        <f t="shared" si="7"/>
        <v>2018.0918194947201</v>
      </c>
      <c r="P27" s="5">
        <f t="shared" si="7"/>
        <v>1792.0287052775</v>
      </c>
      <c r="Q27" s="5">
        <f t="shared" si="7"/>
        <v>1393.1008199519999</v>
      </c>
      <c r="R27" s="5">
        <f t="shared" si="7"/>
        <v>841.19695279498899</v>
      </c>
      <c r="S27" s="5">
        <f t="shared" si="7"/>
        <v>186.04676163232801</v>
      </c>
      <c r="T27" s="5">
        <f t="shared" si="7"/>
        <v>-495.63912335774398</v>
      </c>
      <c r="U27" s="5">
        <f t="shared" si="7"/>
        <v>-1119.5684391482</v>
      </c>
      <c r="V27" s="5">
        <f t="shared" si="7"/>
        <v>-1624.53146549742</v>
      </c>
      <c r="W27" s="5">
        <f t="shared" si="7"/>
        <v>-1991.3715845317199</v>
      </c>
      <c r="X27" s="5">
        <f t="shared" si="7"/>
        <v>-2230.93583702975</v>
      </c>
      <c r="Y27" s="5">
        <f t="shared" si="7"/>
        <v>-2369.10674386746</v>
      </c>
      <c r="Z27" s="5">
        <f t="shared" si="7"/>
        <v>-2433.8536287837801</v>
      </c>
      <c r="AA27" s="5">
        <f t="shared" si="7"/>
        <v>-2386.7726117055599</v>
      </c>
      <c r="AB27" s="5">
        <f t="shared" si="7"/>
        <v>-2269.42616666398</v>
      </c>
      <c r="AC27" s="5">
        <f t="shared" si="7"/>
        <v>-2135.0046013482001</v>
      </c>
      <c r="AD27" s="5">
        <f t="shared" si="7"/>
        <v>-2000.9302508513099</v>
      </c>
      <c r="AE27" s="5">
        <f t="shared" si="7"/>
        <v>-1875.43209442849</v>
      </c>
    </row>
    <row r="28" spans="1:31" x14ac:dyDescent="0.2">
      <c r="A28" t="s">
        <v>15</v>
      </c>
      <c r="B28" s="5">
        <f t="shared" ref="B28:AE28" si="8">IMABS(B25)</f>
        <v>629.11703751985283</v>
      </c>
      <c r="C28" s="5">
        <f t="shared" si="8"/>
        <v>723.1205518756417</v>
      </c>
      <c r="D28" s="5">
        <f t="shared" si="8"/>
        <v>964.80690038115381</v>
      </c>
      <c r="E28" s="5">
        <f t="shared" si="8"/>
        <v>1053.1775947910949</v>
      </c>
      <c r="F28" s="5">
        <f t="shared" si="8"/>
        <v>1280.0697173531262</v>
      </c>
      <c r="G28" s="5">
        <f t="shared" si="8"/>
        <v>1487.223461043618</v>
      </c>
      <c r="H28" s="5">
        <f t="shared" si="8"/>
        <v>1675.5941956788431</v>
      </c>
      <c r="I28" s="5">
        <f t="shared" si="8"/>
        <v>1858.4564856361217</v>
      </c>
      <c r="J28" s="5">
        <f t="shared" si="8"/>
        <v>2048.3046132011905</v>
      </c>
      <c r="K28" s="5">
        <f t="shared" si="8"/>
        <v>2247.3933400407163</v>
      </c>
      <c r="L28" s="5">
        <f t="shared" si="8"/>
        <v>2454.2810526516391</v>
      </c>
      <c r="M28" s="5">
        <f t="shared" si="8"/>
        <v>2663.821328096572</v>
      </c>
      <c r="N28" s="5">
        <f t="shared" si="8"/>
        <v>3072.0339455642206</v>
      </c>
      <c r="O28" s="5">
        <f t="shared" si="8"/>
        <v>3458.4720204993396</v>
      </c>
      <c r="P28" s="5">
        <f t="shared" si="8"/>
        <v>3816.6370212659494</v>
      </c>
      <c r="Q28" s="5">
        <f t="shared" si="8"/>
        <v>4135.6428390526744</v>
      </c>
      <c r="R28" s="5">
        <f t="shared" si="8"/>
        <v>4390.6279977070953</v>
      </c>
      <c r="S28" s="5">
        <f t="shared" si="8"/>
        <v>4557.2216542396118</v>
      </c>
      <c r="T28" s="5">
        <f t="shared" si="8"/>
        <v>4619.2662443614399</v>
      </c>
      <c r="U28" s="5">
        <f t="shared" si="8"/>
        <v>4573.8387154650418</v>
      </c>
      <c r="V28" s="5">
        <f t="shared" si="8"/>
        <v>4438.2716178589071</v>
      </c>
      <c r="W28" s="5">
        <f t="shared" si="8"/>
        <v>4244.5056668937332</v>
      </c>
      <c r="X28" s="5">
        <f t="shared" si="8"/>
        <v>4022.099300640647</v>
      </c>
      <c r="Y28" s="5">
        <f t="shared" si="8"/>
        <v>3792.8496221694636</v>
      </c>
      <c r="Z28" s="5">
        <f t="shared" si="8"/>
        <v>3570.4258724412625</v>
      </c>
      <c r="AA28" s="5">
        <f t="shared" si="8"/>
        <v>2991.8743943846316</v>
      </c>
      <c r="AB28" s="5">
        <f t="shared" si="8"/>
        <v>2684.7457775018124</v>
      </c>
      <c r="AC28" s="5">
        <f t="shared" si="8"/>
        <v>2430.3402169583233</v>
      </c>
      <c r="AD28" s="5">
        <f t="shared" si="8"/>
        <v>2218.3136394033572</v>
      </c>
      <c r="AE28" s="5">
        <f t="shared" si="8"/>
        <v>2040.7042862329101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 xr:uid="{00000000-0004-0000-0700-000000000000}"/>
  </hyperlinks>
  <pageMargins left="0.75" right="0.75" top="1" bottom="1" header="0.5" footer="0.5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E35"/>
  <sheetViews>
    <sheetView topLeftCell="A4"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25*579</f>
        <v>14475</v>
      </c>
    </row>
    <row r="8" spans="1:2" x14ac:dyDescent="0.2">
      <c r="A8" t="s">
        <v>5</v>
      </c>
      <c r="B8" s="3">
        <v>1</v>
      </c>
    </row>
    <row r="9" spans="1:2" x14ac:dyDescent="0.2">
      <c r="A9" t="s">
        <v>8</v>
      </c>
      <c r="B9" s="3">
        <v>0.2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9.094910732142452E-5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csinterpolate(CSTableU2,'FB2401-43 x 25'!B18*1000000)</f>
        <v>62.806156889999997</v>
      </c>
      <c r="C19" s="7">
        <f>csinterpolate(CSTableU2,'FB2401-43 x 25'!C18*1000000)</f>
        <v>88.590879034678693</v>
      </c>
      <c r="D19" s="7">
        <f>csinterpolate(CSTableU2,'FB2401-43 x 25'!D18*1000000)</f>
        <v>149.31944870511313</v>
      </c>
      <c r="E19" s="7">
        <f>csinterpolate(CSTableU2,'FB2401-43 x 25'!E18*1000000)</f>
        <v>164.84693443845484</v>
      </c>
      <c r="F19" s="7">
        <f>csinterpolate(CSTableU2,'FB2401-43 x 25'!F18*1000000)</f>
        <v>194.09240685957292</v>
      </c>
      <c r="G19" s="7">
        <f>csinterpolate(CSTableU2,'FB2401-43 x 25'!G18*1000000)</f>
        <v>212.25123818145755</v>
      </c>
      <c r="H19" s="7">
        <f>csinterpolate(CSTableU2,'FB2401-43 x 25'!H18*1000000)</f>
        <v>222.61469783871939</v>
      </c>
      <c r="I19" s="7">
        <f>csinterpolate(CSTableU2,'FB2401-43 x 25'!I18*1000000)</f>
        <v>227.99294072128737</v>
      </c>
      <c r="J19" s="7">
        <f>csinterpolate(CSTableU2,'FB2401-43 x 25'!J18*1000000)</f>
        <v>230.73650181843422</v>
      </c>
      <c r="K19" s="7">
        <f>csinterpolate(CSTableU2,'FB2401-43 x 25'!K18*1000000)</f>
        <v>231.76055744625637</v>
      </c>
      <c r="L19" s="7">
        <f>csinterpolate(CSTableU2,'FB2401-43 x 25'!L18*1000000)</f>
        <v>231.5816749650173</v>
      </c>
      <c r="M19" s="7">
        <f>csinterpolate(CSTableU2,'FB2401-43 x 25'!M18*1000000)</f>
        <v>230.71610985828033</v>
      </c>
      <c r="N19" s="7">
        <f>csinterpolate(CSTableU2,'FB2401-43 x 25'!N18*1000000)</f>
        <v>228.27786020805809</v>
      </c>
      <c r="O19" s="7">
        <f>csinterpolate(CSTableU2,'FB2401-43 x 25'!O18*1000000)</f>
        <v>225.61849570541494</v>
      </c>
      <c r="P19" s="7">
        <f>csinterpolate(CSTableU2,'FB2401-43 x 25'!P18*1000000)</f>
        <v>223.21661937748814</v>
      </c>
      <c r="Q19" s="7">
        <f>csinterpolate(CSTableU2,'FB2401-43 x 25'!Q18*1000000)</f>
        <v>220.6469586</v>
      </c>
      <c r="R19" s="7">
        <f>csinterpolate(CSTableU2,'FB2401-43 x 25'!R18*1000000)</f>
        <v>217.42371569860856</v>
      </c>
      <c r="S19" s="7">
        <f>csinterpolate(CSTableU2,'FB2401-43 x 25'!S18*1000000)</f>
        <v>213.62398562766845</v>
      </c>
      <c r="T19" s="7">
        <f>csinterpolate(CSTableU2,'FB2401-43 x 25'!T18*1000000)</f>
        <v>209.4656387187986</v>
      </c>
      <c r="U19" s="7">
        <f>csinterpolate(CSTableU2,'FB2401-43 x 25'!U18*1000000)</f>
        <v>205.16650282262194</v>
      </c>
      <c r="V19" s="7">
        <f>csinterpolate(CSTableU2,'FB2401-43 x 25'!V18*1000000)</f>
        <v>200.94438123173398</v>
      </c>
      <c r="W19" s="7">
        <f>csinterpolate(CSTableU2,'FB2401-43 x 25'!W18*1000000)</f>
        <v>196.96248291112678</v>
      </c>
      <c r="X19" s="7">
        <f>csinterpolate(CSTableU2,'FB2401-43 x 25'!X18*1000000)</f>
        <v>193.22040777268447</v>
      </c>
      <c r="Y19" s="7">
        <f>csinterpolate(CSTableU2,'FB2401-43 x 25'!Y18*1000000)</f>
        <v>189.68726462651435</v>
      </c>
      <c r="Z19" s="7">
        <f>csinterpolate(CSTableU2,'FB2401-43 x 25'!Z18*1000000)</f>
        <v>186.33214134317572</v>
      </c>
      <c r="AA19" s="7">
        <f>csinterpolate(CSTableU2,'FB2401-43 x 25'!AA18*1000000)</f>
        <v>177.04080458652163</v>
      </c>
      <c r="AB19" s="7">
        <f>csinterpolate(CSTableU2,'FB2401-43 x 25'!AB18*1000000)</f>
        <v>171.24984986633834</v>
      </c>
      <c r="AC19" s="7">
        <f>csinterpolate(CSTableU2,'FB2401-43 x 25'!AC18*1000000)</f>
        <v>165.57249087919985</v>
      </c>
      <c r="AD19" s="7">
        <f>csinterpolate(CSTableU2,'FB2401-43 x 25'!AD18*1000000)</f>
        <v>159.82992478445121</v>
      </c>
      <c r="AE19" s="7">
        <f>csinterpolate(CSTableU2,'FB2401-43 x 25'!AE18*1000000)</f>
        <v>153.87192534130403</v>
      </c>
    </row>
    <row r="20" spans="1:31" x14ac:dyDescent="0.2">
      <c r="A20" t="s">
        <v>3</v>
      </c>
      <c r="B20" s="7">
        <f>csinterpolate(CSTableU1,'FB2401-43 x 25'!B18*1000000)</f>
        <v>748.82965526252349</v>
      </c>
      <c r="C20" s="7">
        <f>csinterpolate(CSTableU1,'FB2401-43 x 25'!C18*1000000)</f>
        <v>711.16368591923231</v>
      </c>
      <c r="D20" s="7">
        <f>csinterpolate(CSTableU1,'FB2401-43 x 25'!D18*1000000)</f>
        <v>609.84521067104197</v>
      </c>
      <c r="E20" s="7">
        <f>csinterpolate(CSTableU1,'FB2401-43 x 25'!E18*1000000)</f>
        <v>590.43683517566922</v>
      </c>
      <c r="F20" s="7">
        <f>csinterpolate(CSTableU1,'FB2401-43 x 25'!F18*1000000)</f>
        <v>552.51543169258457</v>
      </c>
      <c r="G20" s="7">
        <f>csinterpolate(CSTableU1,'FB2401-43 x 25'!G18*1000000)</f>
        <v>514.10164955020889</v>
      </c>
      <c r="H20" s="7">
        <f>csinterpolate(CSTableU1,'FB2401-43 x 25'!H18*1000000)</f>
        <v>477.05218730162227</v>
      </c>
      <c r="I20" s="7">
        <f>csinterpolate(CSTableU1,'FB2401-43 x 25'!I18*1000000)</f>
        <v>445.17842033805402</v>
      </c>
      <c r="J20" s="7">
        <f>csinterpolate(CSTableU1,'FB2401-43 x 25'!J18*1000000)</f>
        <v>419.63998064819731</v>
      </c>
      <c r="K20" s="7">
        <f>csinterpolate(CSTableU1,'FB2401-43 x 25'!K18*1000000)</f>
        <v>398.91760860580126</v>
      </c>
      <c r="L20" s="7">
        <f>csinterpolate(CSTableU1,'FB2401-43 x 25'!L18*1000000)</f>
        <v>381.37346142845843</v>
      </c>
      <c r="M20" s="7">
        <f>csinterpolate(CSTableU1,'FB2401-43 x 25'!M18*1000000)</f>
        <v>365.37712557783078</v>
      </c>
      <c r="N20" s="7">
        <f>csinterpolate(CSTableU1,'FB2401-43 x 25'!N18*1000000)</f>
        <v>334.94222955130334</v>
      </c>
      <c r="O20" s="7">
        <f>csinterpolate(CSTableU1,'FB2401-43 x 25'!O18*1000000)</f>
        <v>307.00600947171955</v>
      </c>
      <c r="P20" s="7">
        <f>csinterpolate(CSTableU1,'FB2401-43 x 25'!P18*1000000)</f>
        <v>282.39915680429408</v>
      </c>
      <c r="Q20" s="7">
        <f>csinterpolate(CSTableU1,'FB2401-43 x 25'!Q18*1000000)</f>
        <v>261.62060355602716</v>
      </c>
      <c r="R20" s="7">
        <f>csinterpolate(CSTableU1,'FB2401-43 x 25'!R18*1000000)</f>
        <v>244.11539967135678</v>
      </c>
      <c r="S20" s="7">
        <f>csinterpolate(CSTableU1,'FB2401-43 x 25'!S18*1000000)</f>
        <v>229.11984224841194</v>
      </c>
      <c r="T20" s="7">
        <f>csinterpolate(CSTableU1,'FB2401-43 x 25'!T18*1000000)</f>
        <v>215.87024501467678</v>
      </c>
      <c r="U20" s="7">
        <f>csinterpolate(CSTableU1,'FB2401-43 x 25'!U18*1000000)</f>
        <v>203.61154173946414</v>
      </c>
      <c r="V20" s="7">
        <f>csinterpolate(CSTableU1,'FB2401-43 x 25'!V18*1000000)</f>
        <v>191.93148822449245</v>
      </c>
      <c r="W20" s="7">
        <f>csinterpolate(CSTableU1,'FB2401-43 x 25'!W18*1000000)</f>
        <v>180.86787915758393</v>
      </c>
      <c r="X20" s="7">
        <f>csinterpolate(CSTableU1,'FB2401-43 x 25'!X18*1000000)</f>
        <v>170.48900691856036</v>
      </c>
      <c r="Y20" s="7">
        <f>csinterpolate(CSTableU1,'FB2401-43 x 25'!Y18*1000000)</f>
        <v>160.86317032687728</v>
      </c>
      <c r="Z20" s="7">
        <f>csinterpolate(CSTableU1,'FB2401-43 x 25'!Z18*1000000)</f>
        <v>152.05044940691147</v>
      </c>
      <c r="AA20" s="7">
        <f>csinterpolate(CSTableU1,'FB2401-43 x 25'!AA18*1000000)</f>
        <v>130.0529425335306</v>
      </c>
      <c r="AB20" s="7">
        <f>csinterpolate(CSTableU1,'FB2401-43 x 25'!AB18*1000000)</f>
        <v>118.35127203670631</v>
      </c>
      <c r="AC20" s="7">
        <f>csinterpolate(CSTableU1,'FB2401-43 x 25'!AC18*1000000)</f>
        <v>108.33087305026413</v>
      </c>
      <c r="AD20" s="7">
        <f>csinterpolate(CSTableU1,'FB2401-43 x 25'!AD18*1000000)</f>
        <v>99.51049694962343</v>
      </c>
      <c r="AE20" s="7">
        <f>csinterpolate(CSTableU1,'FB2401-43 x 25'!AE18*1000000)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7.1402048792935444</v>
      </c>
      <c r="C21" s="5">
        <f t="shared" si="1"/>
        <v>12.085892047536495</v>
      </c>
      <c r="D21" s="5">
        <f t="shared" si="1"/>
        <v>30.556058772278877</v>
      </c>
      <c r="E21" s="5">
        <f t="shared" si="1"/>
        <v>37.481703829627151</v>
      </c>
      <c r="F21" s="5">
        <f t="shared" si="1"/>
        <v>55.164159817952779</v>
      </c>
      <c r="G21" s="5">
        <f t="shared" si="1"/>
        <v>72.390227401764818</v>
      </c>
      <c r="H21" s="5">
        <f t="shared" si="1"/>
        <v>88.578910197138285</v>
      </c>
      <c r="I21" s="5">
        <f t="shared" si="1"/>
        <v>103.67877217093772</v>
      </c>
      <c r="J21" s="5">
        <f t="shared" si="1"/>
        <v>118.04219362605848</v>
      </c>
      <c r="K21" s="5">
        <f t="shared" si="1"/>
        <v>131.74009882532965</v>
      </c>
      <c r="L21" s="5">
        <f t="shared" si="1"/>
        <v>144.80225794422168</v>
      </c>
      <c r="M21" s="5">
        <f t="shared" si="1"/>
        <v>157.37568177211733</v>
      </c>
      <c r="N21" s="5">
        <f t="shared" si="1"/>
        <v>181.66459156271844</v>
      </c>
      <c r="O21" s="5">
        <f t="shared" si="1"/>
        <v>205.19800779610139</v>
      </c>
      <c r="P21" s="5">
        <f t="shared" si="1"/>
        <v>228.39021305649828</v>
      </c>
      <c r="Q21" s="5">
        <f t="shared" si="1"/>
        <v>250.84554897321641</v>
      </c>
      <c r="R21" s="5">
        <f t="shared" si="1"/>
        <v>271.89927673281511</v>
      </c>
      <c r="S21" s="5">
        <f t="shared" si="1"/>
        <v>291.433661929219</v>
      </c>
      <c r="T21" s="5">
        <f t="shared" si="1"/>
        <v>309.57408390978469</v>
      </c>
      <c r="U21" s="5">
        <f t="shared" si="1"/>
        <v>326.54492996957981</v>
      </c>
      <c r="V21" s="5">
        <f t="shared" si="1"/>
        <v>342.66960176779156</v>
      </c>
      <c r="W21" s="5">
        <f t="shared" si="1"/>
        <v>358.2712399315663</v>
      </c>
      <c r="X21" s="5">
        <f t="shared" si="1"/>
        <v>373.43100156815484</v>
      </c>
      <c r="Y21" s="5">
        <f t="shared" si="1"/>
        <v>388.16746623054695</v>
      </c>
      <c r="Z21" s="5">
        <f t="shared" si="1"/>
        <v>402.48512061071915</v>
      </c>
      <c r="AA21" s="5">
        <f t="shared" si="1"/>
        <v>442.79683625679979</v>
      </c>
      <c r="AB21" s="5">
        <f t="shared" si="1"/>
        <v>467.25062922814328</v>
      </c>
      <c r="AC21" s="5">
        <f t="shared" si="1"/>
        <v>489.40678287955768</v>
      </c>
      <c r="AD21" s="5">
        <f t="shared" si="1"/>
        <v>508.77361438386907</v>
      </c>
      <c r="AE21" s="5">
        <f t="shared" si="1"/>
        <v>524.79428443576796</v>
      </c>
    </row>
    <row r="22" spans="1:31" x14ac:dyDescent="0.2">
      <c r="A22" t="s">
        <v>11</v>
      </c>
      <c r="B22" s="5">
        <f t="shared" ref="B22:AE22" si="2">B20/$B$13*$B$16*B18*1000000</f>
        <v>85.131735852420718</v>
      </c>
      <c r="C22" s="5">
        <f t="shared" si="2"/>
        <v>97.019553590652151</v>
      </c>
      <c r="D22" s="5">
        <f t="shared" si="2"/>
        <v>124.79597440824905</v>
      </c>
      <c r="E22" s="5">
        <f t="shared" si="2"/>
        <v>134.24925772228545</v>
      </c>
      <c r="F22" s="5">
        <f t="shared" si="2"/>
        <v>157.03370404297524</v>
      </c>
      <c r="G22" s="5">
        <f t="shared" si="2"/>
        <v>175.33907287148745</v>
      </c>
      <c r="H22" s="5">
        <f t="shared" si="2"/>
        <v>189.82018379106802</v>
      </c>
      <c r="I22" s="5">
        <f t="shared" si="2"/>
        <v>202.44289964253954</v>
      </c>
      <c r="J22" s="5">
        <f t="shared" si="2"/>
        <v>214.68308420437543</v>
      </c>
      <c r="K22" s="5">
        <f t="shared" si="2"/>
        <v>226.75750248434403</v>
      </c>
      <c r="L22" s="5">
        <f t="shared" si="2"/>
        <v>238.46333412687514</v>
      </c>
      <c r="M22" s="5">
        <f t="shared" si="2"/>
        <v>249.23042555228798</v>
      </c>
      <c r="N22" s="5">
        <f t="shared" si="2"/>
        <v>266.54859684196356</v>
      </c>
      <c r="O22" s="5">
        <f t="shared" si="2"/>
        <v>279.21922503765694</v>
      </c>
      <c r="P22" s="5">
        <f t="shared" si="2"/>
        <v>288.9444512213272</v>
      </c>
      <c r="Q22" s="5">
        <f t="shared" si="2"/>
        <v>297.4270043789121</v>
      </c>
      <c r="R22" s="5">
        <f t="shared" si="2"/>
        <v>305.2785681484367</v>
      </c>
      <c r="S22" s="5">
        <f t="shared" si="2"/>
        <v>312.57367683178012</v>
      </c>
      <c r="T22" s="5">
        <f t="shared" si="2"/>
        <v>319.03959882180823</v>
      </c>
      <c r="U22" s="5">
        <f t="shared" si="2"/>
        <v>324.07003932700655</v>
      </c>
      <c r="V22" s="5">
        <f t="shared" si="2"/>
        <v>327.29995351668919</v>
      </c>
      <c r="W22" s="5">
        <f t="shared" si="2"/>
        <v>328.99544305003087</v>
      </c>
      <c r="X22" s="5">
        <f t="shared" si="2"/>
        <v>329.49873848138373</v>
      </c>
      <c r="Y22" s="5">
        <f t="shared" si="2"/>
        <v>329.1831391977845</v>
      </c>
      <c r="Z22" s="5">
        <f t="shared" si="2"/>
        <v>328.43525023277545</v>
      </c>
      <c r="AA22" s="5">
        <f t="shared" si="2"/>
        <v>325.27547326860105</v>
      </c>
      <c r="AB22" s="5">
        <f t="shared" si="2"/>
        <v>322.91827626280525</v>
      </c>
      <c r="AC22" s="5">
        <f t="shared" si="2"/>
        <v>320.20937647634287</v>
      </c>
      <c r="AD22" s="5">
        <f t="shared" si="2"/>
        <v>316.7636803337856</v>
      </c>
      <c r="AE22" s="5">
        <f t="shared" si="2"/>
        <v>312.80180854534353</v>
      </c>
    </row>
    <row r="23" spans="1:31" x14ac:dyDescent="0.2">
      <c r="A23" t="s">
        <v>12</v>
      </c>
      <c r="B23" s="5" t="str">
        <f t="shared" ref="B23:AE23" si="3">IMDIV(1,COMPLEX(B21,B22))</f>
        <v>0.000978325358354308-0.0116644462439269i</v>
      </c>
      <c r="C23" s="5" t="str">
        <f t="shared" si="3"/>
        <v>0.00126436508158818-0.0101496964650034i</v>
      </c>
      <c r="D23" s="5" t="str">
        <f t="shared" si="3"/>
        <v>0.00185101764904945-0.00755986080801624i</v>
      </c>
      <c r="E23" s="5" t="str">
        <f t="shared" si="3"/>
        <v>0.00192928777516696-0.00691018351049756i</v>
      </c>
      <c r="F23" s="5" t="str">
        <f t="shared" si="3"/>
        <v>0.00199129406440518-0.00566854065763491i</v>
      </c>
      <c r="G23" s="5" t="str">
        <f t="shared" si="3"/>
        <v>0.00201172617873107-0.0048726770962099i</v>
      </c>
      <c r="H23" s="5" t="str">
        <f t="shared" si="3"/>
        <v>0.00201875793295303-0.0043260974989417i</v>
      </c>
      <c r="I23" s="5" t="str">
        <f t="shared" si="3"/>
        <v>0.00200413553745979-0.00391326981391228i</v>
      </c>
      <c r="J23" s="5" t="str">
        <f t="shared" si="3"/>
        <v>0.00196662303197554-0.0035766930874679i</v>
      </c>
      <c r="K23" s="5" t="str">
        <f t="shared" si="3"/>
        <v>0.0019155392595355-0.00329711987675739i</v>
      </c>
      <c r="L23" s="5" t="str">
        <f t="shared" si="3"/>
        <v>0.001860435428571-0.00306380329646306i</v>
      </c>
      <c r="M23" s="5" t="str">
        <f t="shared" si="3"/>
        <v>0.00181135370981329-0.00286857823800364i</v>
      </c>
      <c r="N23" s="5" t="str">
        <f t="shared" si="3"/>
        <v>0.00174593253486161-0.00256173128370715i</v>
      </c>
      <c r="O23" s="5" t="str">
        <f t="shared" si="3"/>
        <v>0.00170899221081587-0.00232547813609166i</v>
      </c>
      <c r="P23" s="5" t="str">
        <f t="shared" si="3"/>
        <v>0.00168366055382416-0.00213005788758283i</v>
      </c>
      <c r="Q23" s="5" t="str">
        <f t="shared" si="3"/>
        <v>0.00165698962502205-0.00196468887917109i</v>
      </c>
      <c r="R23" s="5" t="str">
        <f t="shared" si="3"/>
        <v>0.00162692921071496-0.00182665664246685i</v>
      </c>
      <c r="S23" s="5" t="str">
        <f t="shared" si="3"/>
        <v>0.00159570867200495-0.00171145818729095i</v>
      </c>
      <c r="T23" s="5" t="str">
        <f t="shared" si="3"/>
        <v>0.0015664930530937-0.00161439003195696i</v>
      </c>
      <c r="U23" s="5" t="str">
        <f t="shared" si="3"/>
        <v>0.00154283170206405-0.00153113854932437i</v>
      </c>
      <c r="V23" s="5" t="str">
        <f t="shared" si="3"/>
        <v>0.00152604358914069-0.00145759645213192i</v>
      </c>
      <c r="W23" s="5" t="str">
        <f t="shared" si="3"/>
        <v>0.00151427247937015-0.00139053513015449i</v>
      </c>
      <c r="X23" s="5" t="str">
        <f t="shared" si="3"/>
        <v>0.00150564794546971-0.00132851610216087i</v>
      </c>
      <c r="Y23" s="5" t="str">
        <f t="shared" si="3"/>
        <v>0.00149851057018771-0.00127080308508511i</v>
      </c>
      <c r="Z23" s="5" t="str">
        <f t="shared" si="3"/>
        <v>0.00149143695204739-0.00121703994375947i</v>
      </c>
      <c r="AA23" s="5" t="str">
        <f t="shared" si="3"/>
        <v>0.00146683070161477-0.00107752362168178i</v>
      </c>
      <c r="AB23" s="5" t="str">
        <f t="shared" si="3"/>
        <v>0.00144839290421717-0.00100098857170873i</v>
      </c>
      <c r="AC23" s="5" t="str">
        <f t="shared" si="3"/>
        <v>0.00143079207038318-0.000936139532086225i</v>
      </c>
      <c r="AD23" s="5" t="str">
        <f t="shared" si="3"/>
        <v>0.00141644775613466-0.000881883791825771i</v>
      </c>
      <c r="AE23" s="5" t="str">
        <f t="shared" si="3"/>
        <v>0.0014059977039587-0.000838040042836462i</v>
      </c>
    </row>
    <row r="24" spans="1:31" x14ac:dyDescent="0.2">
      <c r="A24" t="s">
        <v>13</v>
      </c>
      <c r="B24" s="6" t="str">
        <f t="shared" ref="B24:AE24" si="4">COMPLEX(0,2*PI()*B18*1000000*$B$9*0.000000000001)</f>
        <v>1.25663706143592E-06i</v>
      </c>
      <c r="C24" s="6" t="str">
        <f t="shared" si="4"/>
        <v>0.0000015079644737231i</v>
      </c>
      <c r="D24" s="6" t="str">
        <f t="shared" si="4"/>
        <v>2.26194671058465E-06i</v>
      </c>
      <c r="E24" s="6" t="str">
        <f t="shared" si="4"/>
        <v>2.51327412287183E-06i</v>
      </c>
      <c r="F24" s="6" t="str">
        <f t="shared" si="4"/>
        <v>3.14159265358979E-06i</v>
      </c>
      <c r="G24" s="6" t="str">
        <f t="shared" si="4"/>
        <v>3.76991118430775E-06i</v>
      </c>
      <c r="H24" s="6" t="str">
        <f t="shared" si="4"/>
        <v>4.39822971502571E-06i</v>
      </c>
      <c r="I24" s="6" t="str">
        <f t="shared" si="4"/>
        <v>5.02654824574367E-06i</v>
      </c>
      <c r="J24" s="6" t="str">
        <f t="shared" si="4"/>
        <v>5.65486677646163E-06i</v>
      </c>
      <c r="K24" s="6" t="str">
        <f t="shared" si="4"/>
        <v>6.28318530717959E-06i</v>
      </c>
      <c r="L24" s="6" t="str">
        <f t="shared" si="4"/>
        <v>6.91150383789754E-06i</v>
      </c>
      <c r="M24" s="6" t="str">
        <f t="shared" si="4"/>
        <v>0.0000075398223686155i</v>
      </c>
      <c r="N24" s="6" t="str">
        <f t="shared" si="4"/>
        <v>8.79645943005142E-06i</v>
      </c>
      <c r="O24" s="6" t="str">
        <f t="shared" si="4"/>
        <v>0.0000100530964914873i</v>
      </c>
      <c r="P24" s="6" t="str">
        <f t="shared" si="4"/>
        <v>0.0000113097335529233i</v>
      </c>
      <c r="Q24" s="6" t="str">
        <f t="shared" si="4"/>
        <v>0.0000125663706143592i</v>
      </c>
      <c r="R24" s="6" t="str">
        <f t="shared" si="4"/>
        <v>0.0000138230076757951i</v>
      </c>
      <c r="S24" s="6" t="str">
        <f t="shared" si="4"/>
        <v>0.000015079644737231i</v>
      </c>
      <c r="T24" s="6" t="str">
        <f t="shared" si="4"/>
        <v>0.0000163362817986669i</v>
      </c>
      <c r="U24" s="6" t="str">
        <f t="shared" si="4"/>
        <v>0.0000175929188601028i</v>
      </c>
      <c r="V24" s="6" t="str">
        <f t="shared" si="4"/>
        <v>0.0000188495559215388i</v>
      </c>
      <c r="W24" s="6" t="str">
        <f t="shared" si="4"/>
        <v>0.0000201061929829747i</v>
      </c>
      <c r="X24" s="6" t="str">
        <f t="shared" si="4"/>
        <v>0.0000213628300444106i</v>
      </c>
      <c r="Y24" s="6" t="str">
        <f t="shared" si="4"/>
        <v>0.0000226194671058465i</v>
      </c>
      <c r="Z24" s="6" t="str">
        <f t="shared" si="4"/>
        <v>0.0000238761041672824i</v>
      </c>
      <c r="AA24" s="6" t="str">
        <f t="shared" si="4"/>
        <v>0.0000276460153515902i</v>
      </c>
      <c r="AB24" s="6" t="str">
        <f t="shared" si="4"/>
        <v>0.000030159289474462i</v>
      </c>
      <c r="AC24" s="6" t="str">
        <f t="shared" si="4"/>
        <v>0.0000326725635973338i</v>
      </c>
      <c r="AD24" s="6" t="str">
        <f t="shared" si="4"/>
        <v>0.0000351858377202057i</v>
      </c>
      <c r="AE24" s="6" t="str">
        <f t="shared" si="4"/>
        <v>0.0000376991118430775i</v>
      </c>
    </row>
    <row r="25" spans="1:31" x14ac:dyDescent="0.2">
      <c r="A25" t="s">
        <v>14</v>
      </c>
      <c r="B25" s="6" t="str">
        <f t="shared" ref="B25:AE25" si="5">IMDIV(1,IMSUM(B23,B24))</f>
        <v>7.14173283777642+85.1407801068138i</v>
      </c>
      <c r="C25" s="6" t="str">
        <f t="shared" si="5"/>
        <v>12.0894292010661+97.0335294629619i</v>
      </c>
      <c r="D25" s="6" t="str">
        <f t="shared" si="5"/>
        <v>30.5733167745149+124.829098285512i</v>
      </c>
      <c r="E25" s="6" t="str">
        <f t="shared" si="5"/>
        <v>37.507009345796+134.291034986194i</v>
      </c>
      <c r="F25" s="6" t="str">
        <f t="shared" si="5"/>
        <v>55.218627386285+157.101638354583i</v>
      </c>
      <c r="G25" s="6" t="str">
        <f t="shared" si="5"/>
        <v>72.486018693818+175.435256032133i</v>
      </c>
      <c r="H25" s="6" t="str">
        <f t="shared" si="5"/>
        <v>88.7269863765613+189.944195846878i</v>
      </c>
      <c r="I25" s="6" t="str">
        <f t="shared" si="5"/>
        <v>103.890071165894+202.594916069578i</v>
      </c>
      <c r="J25" s="6" t="str">
        <f t="shared" si="5"/>
        <v>118.329270980705+214.864944846181i</v>
      </c>
      <c r="K25" s="6" t="str">
        <f t="shared" si="5"/>
        <v>132.116207735741+226.971523443202i</v>
      </c>
      <c r="L25" s="6" t="str">
        <f t="shared" si="5"/>
        <v>145.280603415128+238.711366912882i</v>
      </c>
      <c r="M25" s="6" t="str">
        <f t="shared" si="5"/>
        <v>157.968595898897+249.511853417771i</v>
      </c>
      <c r="N25" s="6" t="str">
        <f t="shared" si="5"/>
        <v>182.519020898424+266.882686037739i</v>
      </c>
      <c r="O25" s="6" t="str">
        <f t="shared" si="5"/>
        <v>206.353982338845+279.578323824235i</v>
      </c>
      <c r="P25" s="6" t="str">
        <f t="shared" si="5"/>
        <v>229.888723940533+289.296027263323i</v>
      </c>
      <c r="Q25" s="6" t="str">
        <f t="shared" si="5"/>
        <v>252.72869364345+297.743186782447i</v>
      </c>
      <c r="R25" s="6" t="str">
        <f t="shared" si="5"/>
        <v>274.204736033763+305.537306126896i</v>
      </c>
      <c r="S25" s="6" t="str">
        <f t="shared" si="5"/>
        <v>294.194818391912+312.754944562324i</v>
      </c>
      <c r="T25" s="6" t="str">
        <f t="shared" si="5"/>
        <v>312.818354751481+319.120818277289i</v>
      </c>
      <c r="U25" s="6" t="str">
        <f t="shared" si="5"/>
        <v>330.289476904911+324.019913441605i</v>
      </c>
      <c r="V25" s="6" t="str">
        <f t="shared" si="5"/>
        <v>346.922572227058+327.077009836961i</v>
      </c>
      <c r="W25" s="6" t="str">
        <f t="shared" si="5"/>
        <v>363.039416163944+328.553630884094i</v>
      </c>
      <c r="X25" s="6" t="str">
        <f t="shared" si="5"/>
        <v>378.719770915787+328.791859516223i</v>
      </c>
      <c r="Y25" s="6" t="str">
        <f t="shared" si="5"/>
        <v>393.982394767608+328.167435522037i</v>
      </c>
      <c r="Z25" s="6" t="str">
        <f t="shared" si="5"/>
        <v>408.834179512376+327.071257496917i</v>
      </c>
      <c r="AA25" s="6" t="str">
        <f t="shared" si="5"/>
        <v>450.800537954522+322.658497125153i</v>
      </c>
      <c r="AB25" s="6" t="str">
        <f t="shared" si="5"/>
        <v>476.389951657737+319.314816777197i</v>
      </c>
      <c r="AC25" s="6" t="str">
        <f t="shared" si="5"/>
        <v>499.67968862254+315.520404984058i</v>
      </c>
      <c r="AD25" s="6" t="str">
        <f t="shared" si="5"/>
        <v>520.136781753369+310.917749742803i</v>
      </c>
      <c r="AE25" s="6" t="str">
        <f t="shared" si="5"/>
        <v>537.178518066938+305.779983885357i</v>
      </c>
    </row>
    <row r="26" spans="1:31" x14ac:dyDescent="0.2">
      <c r="A26" t="s">
        <v>6</v>
      </c>
      <c r="B26" s="5">
        <f t="shared" ref="B26:AE26" si="6">IMREAL(B25)</f>
        <v>7.14173283777642</v>
      </c>
      <c r="C26" s="5">
        <f t="shared" si="6"/>
        <v>12.0894292010661</v>
      </c>
      <c r="D26" s="5">
        <f t="shared" si="6"/>
        <v>30.5733167745149</v>
      </c>
      <c r="E26" s="5">
        <f t="shared" si="6"/>
        <v>37.507009345796</v>
      </c>
      <c r="F26" s="5">
        <f t="shared" si="6"/>
        <v>55.218627386285</v>
      </c>
      <c r="G26" s="5">
        <f t="shared" si="6"/>
        <v>72.486018693817996</v>
      </c>
      <c r="H26" s="5">
        <f t="shared" si="6"/>
        <v>88.7269863765613</v>
      </c>
      <c r="I26" s="5">
        <f t="shared" si="6"/>
        <v>103.890071165894</v>
      </c>
      <c r="J26" s="5">
        <f t="shared" si="6"/>
        <v>118.329270980705</v>
      </c>
      <c r="K26" s="5">
        <f t="shared" si="6"/>
        <v>132.116207735741</v>
      </c>
      <c r="L26" s="5">
        <f t="shared" si="6"/>
        <v>145.28060341512801</v>
      </c>
      <c r="M26" s="5">
        <f t="shared" si="6"/>
        <v>157.96859589889701</v>
      </c>
      <c r="N26" s="5">
        <f t="shared" si="6"/>
        <v>182.519020898424</v>
      </c>
      <c r="O26" s="5">
        <f t="shared" si="6"/>
        <v>206.35398233884499</v>
      </c>
      <c r="P26" s="5">
        <f t="shared" si="6"/>
        <v>229.888723940533</v>
      </c>
      <c r="Q26" s="5">
        <f t="shared" si="6"/>
        <v>252.72869364344999</v>
      </c>
      <c r="R26" s="5">
        <f t="shared" si="6"/>
        <v>274.20473603376303</v>
      </c>
      <c r="S26" s="5">
        <f t="shared" si="6"/>
        <v>294.19481839191201</v>
      </c>
      <c r="T26" s="5">
        <f t="shared" si="6"/>
        <v>312.81835475148102</v>
      </c>
      <c r="U26" s="5">
        <f t="shared" si="6"/>
        <v>330.289476904911</v>
      </c>
      <c r="V26" s="5">
        <f t="shared" si="6"/>
        <v>346.92257222705803</v>
      </c>
      <c r="W26" s="5">
        <f t="shared" si="6"/>
        <v>363.039416163944</v>
      </c>
      <c r="X26" s="5">
        <f t="shared" si="6"/>
        <v>378.71977091578702</v>
      </c>
      <c r="Y26" s="5">
        <f t="shared" si="6"/>
        <v>393.98239476760801</v>
      </c>
      <c r="Z26" s="5">
        <f t="shared" si="6"/>
        <v>408.83417951237601</v>
      </c>
      <c r="AA26" s="5">
        <f t="shared" si="6"/>
        <v>450.80053795452199</v>
      </c>
      <c r="AB26" s="5">
        <f t="shared" si="6"/>
        <v>476.38995165773702</v>
      </c>
      <c r="AC26" s="5">
        <f t="shared" si="6"/>
        <v>499.67968862254003</v>
      </c>
      <c r="AD26" s="5">
        <f t="shared" si="6"/>
        <v>520.13678175336895</v>
      </c>
      <c r="AE26" s="5">
        <f t="shared" si="6"/>
        <v>537.17851806693795</v>
      </c>
    </row>
    <row r="27" spans="1:31" x14ac:dyDescent="0.2">
      <c r="A27" t="s">
        <v>7</v>
      </c>
      <c r="B27" s="5">
        <f t="shared" ref="B27:AE27" si="7">IMAGINARY(B25)</f>
        <v>85.140780106813807</v>
      </c>
      <c r="C27" s="5">
        <f t="shared" si="7"/>
        <v>97.033529462961894</v>
      </c>
      <c r="D27" s="5">
        <f t="shared" si="7"/>
        <v>124.829098285512</v>
      </c>
      <c r="E27" s="5">
        <f t="shared" si="7"/>
        <v>134.29103498619401</v>
      </c>
      <c r="F27" s="5">
        <f t="shared" si="7"/>
        <v>157.101638354583</v>
      </c>
      <c r="G27" s="5">
        <f t="shared" si="7"/>
        <v>175.435256032133</v>
      </c>
      <c r="H27" s="5">
        <f t="shared" si="7"/>
        <v>189.94419584687799</v>
      </c>
      <c r="I27" s="5">
        <f t="shared" si="7"/>
        <v>202.59491606957801</v>
      </c>
      <c r="J27" s="5">
        <f t="shared" si="7"/>
        <v>214.864944846181</v>
      </c>
      <c r="K27" s="5">
        <f t="shared" si="7"/>
        <v>226.97152344320199</v>
      </c>
      <c r="L27" s="5">
        <f t="shared" si="7"/>
        <v>238.711366912882</v>
      </c>
      <c r="M27" s="5">
        <f t="shared" si="7"/>
        <v>249.51185341777099</v>
      </c>
      <c r="N27" s="5">
        <f t="shared" si="7"/>
        <v>266.88268603773901</v>
      </c>
      <c r="O27" s="5">
        <f t="shared" si="7"/>
        <v>279.57832382423499</v>
      </c>
      <c r="P27" s="5">
        <f t="shared" si="7"/>
        <v>289.29602726332303</v>
      </c>
      <c r="Q27" s="5">
        <f t="shared" si="7"/>
        <v>297.74318678244703</v>
      </c>
      <c r="R27" s="5">
        <f t="shared" si="7"/>
        <v>305.537306126896</v>
      </c>
      <c r="S27" s="5">
        <f t="shared" si="7"/>
        <v>312.754944562324</v>
      </c>
      <c r="T27" s="5">
        <f t="shared" si="7"/>
        <v>319.120818277289</v>
      </c>
      <c r="U27" s="5">
        <f t="shared" si="7"/>
        <v>324.01991344160501</v>
      </c>
      <c r="V27" s="5">
        <f t="shared" si="7"/>
        <v>327.077009836961</v>
      </c>
      <c r="W27" s="5">
        <f t="shared" si="7"/>
        <v>328.55363088409399</v>
      </c>
      <c r="X27" s="5">
        <f t="shared" si="7"/>
        <v>328.79185951622298</v>
      </c>
      <c r="Y27" s="5">
        <f t="shared" si="7"/>
        <v>328.16743552203701</v>
      </c>
      <c r="Z27" s="5">
        <f t="shared" si="7"/>
        <v>327.07125749691699</v>
      </c>
      <c r="AA27" s="5">
        <f t="shared" si="7"/>
        <v>322.65849712515302</v>
      </c>
      <c r="AB27" s="5">
        <f t="shared" si="7"/>
        <v>319.314816777197</v>
      </c>
      <c r="AC27" s="5">
        <f t="shared" si="7"/>
        <v>315.52040498405802</v>
      </c>
      <c r="AD27" s="5">
        <f t="shared" si="7"/>
        <v>310.91774974280298</v>
      </c>
      <c r="AE27" s="5">
        <f t="shared" si="7"/>
        <v>305.77998388535701</v>
      </c>
    </row>
    <row r="28" spans="1:31" x14ac:dyDescent="0.2">
      <c r="A28" t="s">
        <v>15</v>
      </c>
      <c r="B28" s="5">
        <f t="shared" ref="B28:AE28" si="8">IMABS(B25)</f>
        <v>85.439784556862008</v>
      </c>
      <c r="C28" s="5">
        <f t="shared" si="8"/>
        <v>97.783741687701266</v>
      </c>
      <c r="D28" s="5">
        <f t="shared" si="8"/>
        <v>128.51860362363439</v>
      </c>
      <c r="E28" s="5">
        <f t="shared" si="8"/>
        <v>139.43047668185321</v>
      </c>
      <c r="F28" s="5">
        <f t="shared" si="8"/>
        <v>166.52333645504334</v>
      </c>
      <c r="G28" s="5">
        <f t="shared" si="8"/>
        <v>189.82031494321302</v>
      </c>
      <c r="H28" s="5">
        <f t="shared" si="8"/>
        <v>209.64559534458061</v>
      </c>
      <c r="I28" s="5">
        <f t="shared" si="8"/>
        <v>227.67926322810752</v>
      </c>
      <c r="J28" s="5">
        <f t="shared" si="8"/>
        <v>245.29321412256297</v>
      </c>
      <c r="K28" s="5">
        <f t="shared" si="8"/>
        <v>262.62285658449736</v>
      </c>
      <c r="L28" s="5">
        <f t="shared" si="8"/>
        <v>279.44511164463103</v>
      </c>
      <c r="M28" s="5">
        <f t="shared" si="8"/>
        <v>295.31380307435728</v>
      </c>
      <c r="N28" s="5">
        <f t="shared" si="8"/>
        <v>323.32578167606385</v>
      </c>
      <c r="O28" s="5">
        <f t="shared" si="8"/>
        <v>347.4852589383745</v>
      </c>
      <c r="P28" s="5">
        <f t="shared" si="8"/>
        <v>369.51456911108107</v>
      </c>
      <c r="Q28" s="5">
        <f t="shared" si="8"/>
        <v>390.54167238092782</v>
      </c>
      <c r="R28" s="5">
        <f t="shared" si="8"/>
        <v>410.53779691841555</v>
      </c>
      <c r="S28" s="5">
        <f t="shared" si="8"/>
        <v>429.37890786207981</v>
      </c>
      <c r="T28" s="5">
        <f t="shared" si="8"/>
        <v>446.87069687706082</v>
      </c>
      <c r="U28" s="5">
        <f t="shared" si="8"/>
        <v>462.68784602669751</v>
      </c>
      <c r="V28" s="5">
        <f t="shared" si="8"/>
        <v>476.796226374041</v>
      </c>
      <c r="W28" s="5">
        <f t="shared" si="8"/>
        <v>489.63772940387139</v>
      </c>
      <c r="X28" s="5">
        <f t="shared" si="8"/>
        <v>501.53040961305817</v>
      </c>
      <c r="Y28" s="5">
        <f t="shared" si="8"/>
        <v>512.75334530739985</v>
      </c>
      <c r="Z28" s="5">
        <f t="shared" si="8"/>
        <v>523.56565378008918</v>
      </c>
      <c r="AA28" s="5">
        <f t="shared" si="8"/>
        <v>554.3731872909699</v>
      </c>
      <c r="AB28" s="5">
        <f t="shared" si="8"/>
        <v>573.50617978703235</v>
      </c>
      <c r="AC28" s="5">
        <f t="shared" si="8"/>
        <v>590.95931939789432</v>
      </c>
      <c r="AD28" s="5">
        <f t="shared" si="8"/>
        <v>605.98029575051373</v>
      </c>
      <c r="AE28" s="5">
        <f t="shared" si="8"/>
        <v>618.11176887155341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 xr:uid="{00000000-0004-0000-0800-000000000000}"/>
  </hyperlinks>
  <pageMargins left="0.75" right="0.75" top="1" bottom="1" header="0.5" footer="0.5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2*2300</f>
        <v>4600</v>
      </c>
    </row>
    <row r="8" spans="1:2" x14ac:dyDescent="0.2">
      <c r="A8" t="s">
        <v>5</v>
      </c>
      <c r="B8" s="3">
        <v>3</v>
      </c>
    </row>
    <row r="9" spans="1:2" x14ac:dyDescent="0.2">
      <c r="A9" t="s">
        <v>8</v>
      </c>
      <c r="B9" s="3">
        <v>3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2.6012387171723487E-4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csinterpolate(CSTableU2,'2643167851x2'!B18*1000000)</f>
        <v>62.806156889999997</v>
      </c>
      <c r="C19" s="7">
        <f>csinterpolate(CSTableU2,'2643167851x2'!C18*1000000)</f>
        <v>88.590879034678693</v>
      </c>
      <c r="D19" s="7">
        <f>csinterpolate(CSTableU2,'2643167851x2'!D18*1000000)</f>
        <v>149.31944870511313</v>
      </c>
      <c r="E19" s="7">
        <f>csinterpolate(CSTableU2,'2643167851x2'!E18*1000000)</f>
        <v>164.84693443845484</v>
      </c>
      <c r="F19" s="7">
        <f>csinterpolate(CSTableU2,'2643167851x2'!F18*1000000)</f>
        <v>194.09240685957292</v>
      </c>
      <c r="G19" s="7">
        <f>csinterpolate(CSTableU2,'2643167851x2'!G18*1000000)</f>
        <v>212.25123818145755</v>
      </c>
      <c r="H19" s="7">
        <f>csinterpolate(CSTableU2,'2643167851x2'!H18*1000000)</f>
        <v>222.61469783871939</v>
      </c>
      <c r="I19" s="7">
        <f>csinterpolate(CSTableU2,'2643167851x2'!I18*1000000)</f>
        <v>227.99294072128737</v>
      </c>
      <c r="J19" s="7">
        <f>csinterpolate(CSTableU2,'2643167851x2'!J18*1000000)</f>
        <v>230.73650181843422</v>
      </c>
      <c r="K19" s="7">
        <f>csinterpolate(CSTableU2,'2643167851x2'!K18*1000000)</f>
        <v>231.76055744625637</v>
      </c>
      <c r="L19" s="7">
        <f>csinterpolate(CSTableU2,'2643167851x2'!L18*1000000)</f>
        <v>231.5816749650173</v>
      </c>
      <c r="M19" s="7">
        <f>csinterpolate(CSTableU2,'2643167851x2'!M18*1000000)</f>
        <v>230.71610985828033</v>
      </c>
      <c r="N19" s="7">
        <f>csinterpolate(CSTableU2,'2643167851x2'!N18*1000000)</f>
        <v>228.27786020805809</v>
      </c>
      <c r="O19" s="7">
        <f>csinterpolate(CSTableU2,'2643167851x2'!O18*1000000)</f>
        <v>225.61849570541494</v>
      </c>
      <c r="P19" s="7">
        <f>csinterpolate(CSTableU2,'2643167851x2'!P18*1000000)</f>
        <v>223.21661937748814</v>
      </c>
      <c r="Q19" s="7">
        <f>csinterpolate(CSTableU2,'2643167851x2'!Q18*1000000)</f>
        <v>220.6469586</v>
      </c>
      <c r="R19" s="7">
        <f>csinterpolate(CSTableU2,'2643167851x2'!R18*1000000)</f>
        <v>217.42371569860856</v>
      </c>
      <c r="S19" s="7">
        <f>csinterpolate(CSTableU2,'2643167851x2'!S18*1000000)</f>
        <v>213.62398562766845</v>
      </c>
      <c r="T19" s="7">
        <f>csinterpolate(CSTableU2,'2643167851x2'!T18*1000000)</f>
        <v>209.4656387187986</v>
      </c>
      <c r="U19" s="7">
        <f>csinterpolate(CSTableU2,'2643167851x2'!U18*1000000)</f>
        <v>205.16650282262194</v>
      </c>
      <c r="V19" s="7">
        <f>csinterpolate(CSTableU2,'2643167851x2'!V18*1000000)</f>
        <v>200.94438123173398</v>
      </c>
      <c r="W19" s="7">
        <f>csinterpolate(CSTableU2,'2643167851x2'!W18*1000000)</f>
        <v>196.96248291112678</v>
      </c>
      <c r="X19" s="7">
        <f>csinterpolate(CSTableU2,'2643167851x2'!X18*1000000)</f>
        <v>193.22040777268447</v>
      </c>
      <c r="Y19" s="7">
        <f>csinterpolate(CSTableU2,'2643167851x2'!Y18*1000000)</f>
        <v>189.68726462651435</v>
      </c>
      <c r="Z19" s="7">
        <f>csinterpolate(CSTableU2,'2643167851x2'!Z18*1000000)</f>
        <v>186.33214134317572</v>
      </c>
      <c r="AA19" s="7">
        <f>csinterpolate(CSTableU2,'2643167851x2'!AA18*1000000)</f>
        <v>177.04080458652163</v>
      </c>
      <c r="AB19" s="7">
        <f>csinterpolate(CSTableU2,'2643167851x2'!AB18*1000000)</f>
        <v>171.24984986633834</v>
      </c>
      <c r="AC19" s="7">
        <f>csinterpolate(CSTableU2,'2643167851x2'!AC18*1000000)</f>
        <v>165.57249087919985</v>
      </c>
      <c r="AD19" s="7">
        <f>csinterpolate(CSTableU2,'2643167851x2'!AD18*1000000)</f>
        <v>159.82992478445121</v>
      </c>
      <c r="AE19" s="7">
        <f>csinterpolate(CSTableU2,'2643167851x2'!AE18*1000000)</f>
        <v>153.87192534130403</v>
      </c>
    </row>
    <row r="20" spans="1:31" x14ac:dyDescent="0.2">
      <c r="A20" t="s">
        <v>3</v>
      </c>
      <c r="B20" s="7">
        <f>csinterpolate(CSTableU1,'2643167851x2'!B18*1000000)</f>
        <v>748.82965526252349</v>
      </c>
      <c r="C20" s="7">
        <f>csinterpolate(CSTableU1,'2643167851x2'!C18*1000000)</f>
        <v>711.16368591923231</v>
      </c>
      <c r="D20" s="7">
        <f>csinterpolate(CSTableU1,'2643167851x2'!D18*1000000)</f>
        <v>609.84521067104197</v>
      </c>
      <c r="E20" s="7">
        <f>csinterpolate(CSTableU1,'2643167851x2'!E18*1000000)</f>
        <v>590.43683517566922</v>
      </c>
      <c r="F20" s="7">
        <f>csinterpolate(CSTableU1,'2643167851x2'!F18*1000000)</f>
        <v>552.51543169258457</v>
      </c>
      <c r="G20" s="7">
        <f>csinterpolate(CSTableU1,'2643167851x2'!G18*1000000)</f>
        <v>514.10164955020889</v>
      </c>
      <c r="H20" s="7">
        <f>csinterpolate(CSTableU1,'2643167851x2'!H18*1000000)</f>
        <v>477.05218730162227</v>
      </c>
      <c r="I20" s="7">
        <f>csinterpolate(CSTableU1,'2643167851x2'!I18*1000000)</f>
        <v>445.17842033805402</v>
      </c>
      <c r="J20" s="7">
        <f>csinterpolate(CSTableU1,'2643167851x2'!J18*1000000)</f>
        <v>419.63998064819731</v>
      </c>
      <c r="K20" s="7">
        <f>csinterpolate(CSTableU1,'2643167851x2'!K18*1000000)</f>
        <v>398.91760860580126</v>
      </c>
      <c r="L20" s="7">
        <f>csinterpolate(CSTableU1,'2643167851x2'!L18*1000000)</f>
        <v>381.37346142845843</v>
      </c>
      <c r="M20" s="7">
        <f>csinterpolate(CSTableU1,'2643167851x2'!M18*1000000)</f>
        <v>365.37712557783078</v>
      </c>
      <c r="N20" s="7">
        <f>csinterpolate(CSTableU1,'2643167851x2'!N18*1000000)</f>
        <v>334.94222955130334</v>
      </c>
      <c r="O20" s="7">
        <f>csinterpolate(CSTableU1,'2643167851x2'!O18*1000000)</f>
        <v>307.00600947171955</v>
      </c>
      <c r="P20" s="7">
        <f>csinterpolate(CSTableU1,'2643167851x2'!P18*1000000)</f>
        <v>282.39915680429408</v>
      </c>
      <c r="Q20" s="7">
        <f>csinterpolate(CSTableU1,'2643167851x2'!Q18*1000000)</f>
        <v>261.62060355602716</v>
      </c>
      <c r="R20" s="7">
        <f>csinterpolate(CSTableU1,'2643167851x2'!R18*1000000)</f>
        <v>244.11539967135678</v>
      </c>
      <c r="S20" s="7">
        <f>csinterpolate(CSTableU1,'2643167851x2'!S18*1000000)</f>
        <v>229.11984224841194</v>
      </c>
      <c r="T20" s="7">
        <f>csinterpolate(CSTableU1,'2643167851x2'!T18*1000000)</f>
        <v>215.87024501467678</v>
      </c>
      <c r="U20" s="7">
        <f>csinterpolate(CSTableU1,'2643167851x2'!U18*1000000)</f>
        <v>203.61154173946414</v>
      </c>
      <c r="V20" s="7">
        <f>csinterpolate(CSTableU1,'2643167851x2'!V18*1000000)</f>
        <v>191.93148822449245</v>
      </c>
      <c r="W20" s="7">
        <f>csinterpolate(CSTableU1,'2643167851x2'!W18*1000000)</f>
        <v>180.86787915758393</v>
      </c>
      <c r="X20" s="7">
        <f>csinterpolate(CSTableU1,'2643167851x2'!X18*1000000)</f>
        <v>170.48900691856036</v>
      </c>
      <c r="Y20" s="7">
        <f>csinterpolate(CSTableU1,'2643167851x2'!Y18*1000000)</f>
        <v>160.86317032687728</v>
      </c>
      <c r="Z20" s="7">
        <f>csinterpolate(CSTableU1,'2643167851x2'!Z18*1000000)</f>
        <v>152.05044940691147</v>
      </c>
      <c r="AA20" s="7">
        <f>csinterpolate(CSTableU1,'2643167851x2'!AA18*1000000)</f>
        <v>130.0529425335306</v>
      </c>
      <c r="AB20" s="7">
        <f>csinterpolate(CSTableU1,'2643167851x2'!AB18*1000000)</f>
        <v>118.35127203670631</v>
      </c>
      <c r="AC20" s="7">
        <f>csinterpolate(CSTableU1,'2643167851x2'!AC18*1000000)</f>
        <v>108.33087305026413</v>
      </c>
      <c r="AD20" s="7">
        <f>csinterpolate(CSTableU1,'2643167851x2'!AD18*1000000)</f>
        <v>99.51049694962343</v>
      </c>
      <c r="AE20" s="7">
        <f>csinterpolate(CSTableU1,'2643167851x2'!AE18*1000000)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20.421725872383611</v>
      </c>
      <c r="C21" s="5">
        <f t="shared" si="1"/>
        <v>34.566903680000742</v>
      </c>
      <c r="D21" s="5">
        <f t="shared" si="1"/>
        <v>87.393494519678441</v>
      </c>
      <c r="E21" s="5">
        <f t="shared" si="1"/>
        <v>107.20155706712013</v>
      </c>
      <c r="F21" s="5">
        <f t="shared" si="1"/>
        <v>157.77521357259033</v>
      </c>
      <c r="G21" s="5">
        <f t="shared" si="1"/>
        <v>207.04355194701645</v>
      </c>
      <c r="H21" s="5">
        <f t="shared" si="1"/>
        <v>253.34486232549395</v>
      </c>
      <c r="I21" s="5">
        <f t="shared" si="1"/>
        <v>296.53203232309647</v>
      </c>
      <c r="J21" s="5">
        <f t="shared" si="1"/>
        <v>337.61290612219824</v>
      </c>
      <c r="K21" s="5">
        <f t="shared" si="1"/>
        <v>376.79033446415519</v>
      </c>
      <c r="L21" s="5">
        <f t="shared" si="1"/>
        <v>414.14946313580498</v>
      </c>
      <c r="M21" s="5">
        <f t="shared" si="1"/>
        <v>450.11075822906088</v>
      </c>
      <c r="N21" s="5">
        <f t="shared" si="1"/>
        <v>519.57955721565065</v>
      </c>
      <c r="O21" s="5">
        <f t="shared" si="1"/>
        <v>586.88756633910862</v>
      </c>
      <c r="P21" s="5">
        <f t="shared" si="1"/>
        <v>653.21967672117637</v>
      </c>
      <c r="Q21" s="5">
        <f t="shared" si="1"/>
        <v>717.44426442080533</v>
      </c>
      <c r="R21" s="5">
        <f t="shared" si="1"/>
        <v>777.66010754670424</v>
      </c>
      <c r="S21" s="5">
        <f t="shared" si="1"/>
        <v>833.53047349704093</v>
      </c>
      <c r="T21" s="5">
        <f t="shared" si="1"/>
        <v>885.41396019793331</v>
      </c>
      <c r="U21" s="5">
        <f t="shared" si="1"/>
        <v>933.95233856584491</v>
      </c>
      <c r="V21" s="5">
        <f t="shared" si="1"/>
        <v>980.07057085917586</v>
      </c>
      <c r="W21" s="5">
        <f t="shared" si="1"/>
        <v>1024.6928727576403</v>
      </c>
      <c r="X21" s="5">
        <f t="shared" si="1"/>
        <v>1068.0513619980388</v>
      </c>
      <c r="Y21" s="5">
        <f t="shared" si="1"/>
        <v>1110.1991780272635</v>
      </c>
      <c r="Z21" s="5">
        <f t="shared" si="1"/>
        <v>1151.1491532493105</v>
      </c>
      <c r="AA21" s="5">
        <f t="shared" si="1"/>
        <v>1266.444837376961</v>
      </c>
      <c r="AB21" s="5">
        <f t="shared" si="1"/>
        <v>1336.3852193468135</v>
      </c>
      <c r="AC21" s="5">
        <f t="shared" si="1"/>
        <v>1399.7541147643306</v>
      </c>
      <c r="AD21" s="5">
        <f t="shared" si="1"/>
        <v>1455.1452597922062</v>
      </c>
      <c r="AE21" s="5">
        <f t="shared" si="1"/>
        <v>1500.9660363136993</v>
      </c>
    </row>
    <row r="22" spans="1:31" x14ac:dyDescent="0.2">
      <c r="A22" t="s">
        <v>11</v>
      </c>
      <c r="B22" s="5">
        <f t="shared" ref="B22:AE22" si="2">B20/$B$13*$B$16*B18*1000000</f>
        <v>243.48558647946231</v>
      </c>
      <c r="C22" s="5">
        <f t="shared" si="2"/>
        <v>277.48597710901544</v>
      </c>
      <c r="D22" s="5">
        <f t="shared" si="2"/>
        <v>356.92941903291944</v>
      </c>
      <c r="E22" s="5">
        <f t="shared" si="2"/>
        <v>383.96678892591478</v>
      </c>
      <c r="F22" s="5">
        <f t="shared" si="2"/>
        <v>449.1326664856079</v>
      </c>
      <c r="G22" s="5">
        <f t="shared" si="2"/>
        <v>501.48791826456517</v>
      </c>
      <c r="H22" s="5">
        <f t="shared" si="2"/>
        <v>542.90539612782152</v>
      </c>
      <c r="I22" s="5">
        <f t="shared" si="2"/>
        <v>579.00767151648608</v>
      </c>
      <c r="J22" s="5">
        <f t="shared" si="2"/>
        <v>614.01586777624459</v>
      </c>
      <c r="K22" s="5">
        <f t="shared" si="2"/>
        <v>648.54995529200983</v>
      </c>
      <c r="L22" s="5">
        <f t="shared" si="2"/>
        <v>682.02984682919714</v>
      </c>
      <c r="M22" s="5">
        <f t="shared" si="2"/>
        <v>712.82484406664753</v>
      </c>
      <c r="N22" s="5">
        <f t="shared" si="2"/>
        <v>762.35660858426877</v>
      </c>
      <c r="O22" s="5">
        <f t="shared" si="2"/>
        <v>798.59591824241784</v>
      </c>
      <c r="P22" s="5">
        <f t="shared" si="2"/>
        <v>826.41107292317417</v>
      </c>
      <c r="Q22" s="5">
        <f t="shared" si="2"/>
        <v>850.67205397491955</v>
      </c>
      <c r="R22" s="5">
        <f t="shared" si="2"/>
        <v>873.12833998931114</v>
      </c>
      <c r="S22" s="5">
        <f t="shared" si="2"/>
        <v>893.99310679348491</v>
      </c>
      <c r="T22" s="5">
        <f t="shared" si="2"/>
        <v>912.48631372869488</v>
      </c>
      <c r="U22" s="5">
        <f t="shared" si="2"/>
        <v>926.87389486273378</v>
      </c>
      <c r="V22" s="5">
        <f t="shared" si="2"/>
        <v>936.11178415135987</v>
      </c>
      <c r="W22" s="5">
        <f t="shared" si="2"/>
        <v>940.96105991511399</v>
      </c>
      <c r="X22" s="5">
        <f t="shared" si="2"/>
        <v>942.40053700375029</v>
      </c>
      <c r="Y22" s="5">
        <f t="shared" si="2"/>
        <v>941.49789034806747</v>
      </c>
      <c r="Z22" s="5">
        <f t="shared" si="2"/>
        <v>939.3588504066945</v>
      </c>
      <c r="AA22" s="5">
        <f t="shared" si="2"/>
        <v>930.3215608511282</v>
      </c>
      <c r="AB22" s="5">
        <f t="shared" si="2"/>
        <v>923.57973314543267</v>
      </c>
      <c r="AC22" s="5">
        <f t="shared" si="2"/>
        <v>915.83199904114622</v>
      </c>
      <c r="AD22" s="5">
        <f t="shared" si="2"/>
        <v>905.97695100647468</v>
      </c>
      <c r="AE22" s="5">
        <f t="shared" si="2"/>
        <v>894.64558713486849</v>
      </c>
    </row>
    <row r="23" spans="1:31" x14ac:dyDescent="0.2">
      <c r="A23" t="s">
        <v>12</v>
      </c>
      <c r="B23" s="5" t="str">
        <f t="shared" ref="B23:AE23" si="3">IMDIV(1,COMPLEX(B21,B22))</f>
        <v>0.00034205940971446-0.0040783299367353i</v>
      </c>
      <c r="C23" s="5" t="str">
        <f t="shared" si="3"/>
        <v>0.000442069675265434-0.00354871633649576i</v>
      </c>
      <c r="D23" s="5" t="str">
        <f t="shared" si="3"/>
        <v>0.000647185518598811-0.00264321220280278i</v>
      </c>
      <c r="E23" s="5" t="str">
        <f t="shared" si="3"/>
        <v>0.000674551703998587-0.00241606053899642i</v>
      </c>
      <c r="F23" s="5" t="str">
        <f t="shared" si="3"/>
        <v>0.00069623143918514-0.00198193541109336i</v>
      </c>
      <c r="G23" s="5" t="str">
        <f t="shared" si="3"/>
        <v>0.000703375276259231-0.00170367152095745i</v>
      </c>
      <c r="H23" s="5" t="str">
        <f t="shared" si="3"/>
        <v>0.000705833842499882-0.00151256669799954i</v>
      </c>
      <c r="I23" s="5" t="str">
        <f t="shared" si="3"/>
        <v>0.000700721302046631-0.00136822658348745i</v>
      </c>
      <c r="J23" s="5" t="str">
        <f t="shared" si="3"/>
        <v>0.000687605516614637-0.0012505466773212i</v>
      </c>
      <c r="K23" s="5" t="str">
        <f t="shared" si="3"/>
        <v>0.000669744704873822-0.00115279734821409i</v>
      </c>
      <c r="L23" s="5" t="str">
        <f t="shared" si="3"/>
        <v>0.000650478329192396-0.00107122108010394i</v>
      </c>
      <c r="M23" s="5" t="str">
        <f t="shared" si="3"/>
        <v>0.000633317510858632-0.00100296304335997i</v>
      </c>
      <c r="N23" s="5" t="str">
        <f t="shared" si="3"/>
        <v>0.000610443802949805-0.000895677785788912i</v>
      </c>
      <c r="O23" s="5" t="str">
        <f t="shared" si="3"/>
        <v>0.000597528073709173-0.000813074783090019i</v>
      </c>
      <c r="P23" s="5" t="str">
        <f t="shared" si="3"/>
        <v>0.000588671171898663-0.000744748500549793i</v>
      </c>
      <c r="Q23" s="5" t="str">
        <f t="shared" si="3"/>
        <v>0.000579346010197927-0.000686929263913081i</v>
      </c>
      <c r="R23" s="5" t="str">
        <f t="shared" si="3"/>
        <v>0.000568835756644905-0.000638667992746563i</v>
      </c>
      <c r="S23" s="5" t="str">
        <f t="shared" si="3"/>
        <v>0.000557919879885789-0.000598390272005713i</v>
      </c>
      <c r="T23" s="5" t="str">
        <f t="shared" si="3"/>
        <v>0.000547704998636023-0.000564451587260315i</v>
      </c>
      <c r="U23" s="5" t="str">
        <f t="shared" si="3"/>
        <v>0.000539432098728918-0.000535343731919572i</v>
      </c>
      <c r="V23" s="5" t="str">
        <f t="shared" si="3"/>
        <v>0.000533562341855351-0.000509630643589602i</v>
      </c>
      <c r="W23" s="5" t="str">
        <f t="shared" si="3"/>
        <v>0.000529446718330506-0.000486183478477929i</v>
      </c>
      <c r="X23" s="5" t="str">
        <f t="shared" si="3"/>
        <v>0.000526431256296474-0.000464499289342478i</v>
      </c>
      <c r="Y23" s="5" t="str">
        <f t="shared" si="3"/>
        <v>0.00052393576095331-0.000444320643879398i</v>
      </c>
      <c r="Z23" s="5" t="str">
        <f t="shared" si="3"/>
        <v>0.000521462557509322-0.000425523023814452i</v>
      </c>
      <c r="AA23" s="5" t="str">
        <f t="shared" si="3"/>
        <v>0.000512859285166035-0.000376742860479317i</v>
      </c>
      <c r="AB23" s="5" t="str">
        <f t="shared" si="3"/>
        <v>0.000506412736438249-0.000349983323079323i</v>
      </c>
      <c r="AC23" s="5" t="str">
        <f t="shared" si="3"/>
        <v>0.000500258821710062-0.000327309655240293i</v>
      </c>
      <c r="AD23" s="5" t="str">
        <f t="shared" si="3"/>
        <v>0.000495243508938388-0.000308339804026038i</v>
      </c>
      <c r="AE23" s="5" t="str">
        <f t="shared" si="3"/>
        <v>0.000491589776927588-0.000293010377296081i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20.6104761553339+244.600268887942i</v>
      </c>
      <c r="C25" s="6" t="str">
        <f t="shared" si="5"/>
        <v>35.0049260251791+279.211099464123i</v>
      </c>
      <c r="D25" s="6" t="str">
        <f t="shared" si="5"/>
        <v>89.5484976805596+361.03615756313i</v>
      </c>
      <c r="E25" s="6" t="str">
        <f t="shared" si="5"/>
        <v>110.371941335353+389.15381334888i</v>
      </c>
      <c r="F25" s="6" t="str">
        <f t="shared" si="5"/>
        <v>164.662472691919+457.593310726127i</v>
      </c>
      <c r="G25" s="6" t="str">
        <f t="shared" si="5"/>
        <v>219.27368797281+513.48222599564i</v>
      </c>
      <c r="H25" s="6" t="str">
        <f t="shared" si="5"/>
        <v>272.435050696676+558.35053845671i</v>
      </c>
      <c r="I25" s="6" t="str">
        <f t="shared" si="5"/>
        <v>324.045632519023+597.863062485377i</v>
      </c>
      <c r="J25" s="6" t="str">
        <f t="shared" si="5"/>
        <v>375.389323360859+636.411737927273i</v>
      </c>
      <c r="K25" s="6" t="str">
        <f t="shared" si="5"/>
        <v>426.837702895569+674.628500945259i</v>
      </c>
      <c r="L25" s="6" t="str">
        <f t="shared" si="5"/>
        <v>478.548983119152+711.813662036449i</v>
      </c>
      <c r="M25" s="6" t="str">
        <f t="shared" si="5"/>
        <v>530.882621952974+745.935856911229i</v>
      </c>
      <c r="N25" s="6" t="str">
        <f t="shared" si="5"/>
        <v>638.588628973932+798.943100681344i</v>
      </c>
      <c r="O25" s="6" t="str">
        <f t="shared" si="5"/>
        <v>750.991361419345+832.371449749249i</v>
      </c>
      <c r="P25" s="6" t="str">
        <f t="shared" si="5"/>
        <v>869.173901735829+849.139732502507i</v>
      </c>
      <c r="Q25" s="6" t="str">
        <f t="shared" si="5"/>
        <v>991.898431960757+853.368455850983i</v>
      </c>
      <c r="R25" s="6" t="str">
        <f t="shared" si="5"/>
        <v>1116.21004719333+846.37247913506i</v>
      </c>
      <c r="S25" s="6" t="str">
        <f t="shared" si="5"/>
        <v>1240.36176698244+827.461450824307i</v>
      </c>
      <c r="T25" s="6" t="str">
        <f t="shared" si="5"/>
        <v>1362.44405223443+794.542060666868i</v>
      </c>
      <c r="U25" s="6" t="str">
        <f t="shared" si="5"/>
        <v>1479.22517801266+744.367270883347i</v>
      </c>
      <c r="V25" s="6" t="str">
        <f t="shared" si="5"/>
        <v>1587.19607300879+674.925141622154i</v>
      </c>
      <c r="W25" s="6" t="str">
        <f t="shared" si="5"/>
        <v>1684.05772986082+587.143500248395i</v>
      </c>
      <c r="X25" s="6" t="str">
        <f t="shared" si="5"/>
        <v>1767.24619646082+483.603314164763i</v>
      </c>
      <c r="Y25" s="6" t="str">
        <f t="shared" si="5"/>
        <v>1834.89640081988+367.824994802618i</v>
      </c>
      <c r="Z25" s="6" t="str">
        <f t="shared" si="5"/>
        <v>1886.18979560571+243.726462996583i</v>
      </c>
      <c r="AA25" s="6" t="str">
        <f t="shared" si="5"/>
        <v>1939.23568465618-143.487494080534i</v>
      </c>
      <c r="AB25" s="6" t="str">
        <f t="shared" si="5"/>
        <v>1897.09717324004-383.628126348871i</v>
      </c>
      <c r="AC25" s="6" t="str">
        <f t="shared" si="5"/>
        <v>1807.58189961105-588.167559345348i</v>
      </c>
      <c r="AD25" s="6" t="str">
        <f t="shared" si="5"/>
        <v>1687.81160257569-747.887598326188i</v>
      </c>
      <c r="AE25" s="6" t="str">
        <f t="shared" si="5"/>
        <v>1556.1373746172-862.529235905252i</v>
      </c>
    </row>
    <row r="26" spans="1:31" x14ac:dyDescent="0.2">
      <c r="A26" t="s">
        <v>6</v>
      </c>
      <c r="B26" s="5">
        <f t="shared" ref="B26:AE26" si="6">IMREAL(B25)</f>
        <v>20.610476155333899</v>
      </c>
      <c r="C26" s="5">
        <f t="shared" si="6"/>
        <v>35.004926025179103</v>
      </c>
      <c r="D26" s="5">
        <f t="shared" si="6"/>
        <v>89.548497680559606</v>
      </c>
      <c r="E26" s="5">
        <f t="shared" si="6"/>
        <v>110.371941335353</v>
      </c>
      <c r="F26" s="5">
        <f t="shared" si="6"/>
        <v>164.66247269191899</v>
      </c>
      <c r="G26" s="5">
        <f t="shared" si="6"/>
        <v>219.27368797281</v>
      </c>
      <c r="H26" s="5">
        <f t="shared" si="6"/>
        <v>272.435050696676</v>
      </c>
      <c r="I26" s="5">
        <f t="shared" si="6"/>
        <v>324.045632519023</v>
      </c>
      <c r="J26" s="5">
        <f t="shared" si="6"/>
        <v>375.38932336085901</v>
      </c>
      <c r="K26" s="5">
        <f t="shared" si="6"/>
        <v>426.83770289556901</v>
      </c>
      <c r="L26" s="5">
        <f t="shared" si="6"/>
        <v>478.54898311915201</v>
      </c>
      <c r="M26" s="5">
        <f t="shared" si="6"/>
        <v>530.88262195297398</v>
      </c>
      <c r="N26" s="5">
        <f t="shared" si="6"/>
        <v>638.58862897393203</v>
      </c>
      <c r="O26" s="5">
        <f t="shared" si="6"/>
        <v>750.99136141934503</v>
      </c>
      <c r="P26" s="5">
        <f t="shared" si="6"/>
        <v>869.17390173582896</v>
      </c>
      <c r="Q26" s="5">
        <f t="shared" si="6"/>
        <v>991.89843196075697</v>
      </c>
      <c r="R26" s="5">
        <f t="shared" si="6"/>
        <v>1116.21004719333</v>
      </c>
      <c r="S26" s="5">
        <f t="shared" si="6"/>
        <v>1240.36176698244</v>
      </c>
      <c r="T26" s="5">
        <f t="shared" si="6"/>
        <v>1362.44405223443</v>
      </c>
      <c r="U26" s="5">
        <f t="shared" si="6"/>
        <v>1479.2251780126601</v>
      </c>
      <c r="V26" s="5">
        <f t="shared" si="6"/>
        <v>1587.1960730087901</v>
      </c>
      <c r="W26" s="5">
        <f t="shared" si="6"/>
        <v>1684.05772986082</v>
      </c>
      <c r="X26" s="5">
        <f t="shared" si="6"/>
        <v>1767.2461964608201</v>
      </c>
      <c r="Y26" s="5">
        <f t="shared" si="6"/>
        <v>1834.89640081988</v>
      </c>
      <c r="Z26" s="5">
        <f t="shared" si="6"/>
        <v>1886.1897956057101</v>
      </c>
      <c r="AA26" s="5">
        <f t="shared" si="6"/>
        <v>1939.23568465618</v>
      </c>
      <c r="AB26" s="5">
        <f t="shared" si="6"/>
        <v>1897.0971732400401</v>
      </c>
      <c r="AC26" s="5">
        <f t="shared" si="6"/>
        <v>1807.5818996110499</v>
      </c>
      <c r="AD26" s="5">
        <f t="shared" si="6"/>
        <v>1687.8116025756899</v>
      </c>
      <c r="AE26" s="5">
        <f t="shared" si="6"/>
        <v>1556.1373746172001</v>
      </c>
    </row>
    <row r="27" spans="1:31" x14ac:dyDescent="0.2">
      <c r="A27" t="s">
        <v>7</v>
      </c>
      <c r="B27" s="5">
        <f t="shared" ref="B27:AE27" si="7">IMAGINARY(B25)</f>
        <v>244.60026888794201</v>
      </c>
      <c r="C27" s="5">
        <f t="shared" si="7"/>
        <v>279.21109946412298</v>
      </c>
      <c r="D27" s="5">
        <f t="shared" si="7"/>
        <v>361.03615756313002</v>
      </c>
      <c r="E27" s="5">
        <f t="shared" si="7"/>
        <v>389.15381334888002</v>
      </c>
      <c r="F27" s="5">
        <f t="shared" si="7"/>
        <v>457.59331072612702</v>
      </c>
      <c r="G27" s="5">
        <f t="shared" si="7"/>
        <v>513.48222599563996</v>
      </c>
      <c r="H27" s="5">
        <f t="shared" si="7"/>
        <v>558.35053845670996</v>
      </c>
      <c r="I27" s="5">
        <f t="shared" si="7"/>
        <v>597.86306248537699</v>
      </c>
      <c r="J27" s="5">
        <f t="shared" si="7"/>
        <v>636.41173792727295</v>
      </c>
      <c r="K27" s="5">
        <f t="shared" si="7"/>
        <v>674.62850094525902</v>
      </c>
      <c r="L27" s="5">
        <f t="shared" si="7"/>
        <v>711.81366203644905</v>
      </c>
      <c r="M27" s="5">
        <f t="shared" si="7"/>
        <v>745.93585691122905</v>
      </c>
      <c r="N27" s="5">
        <f t="shared" si="7"/>
        <v>798.94310068134405</v>
      </c>
      <c r="O27" s="5">
        <f t="shared" si="7"/>
        <v>832.371449749249</v>
      </c>
      <c r="P27" s="5">
        <f t="shared" si="7"/>
        <v>849.13973250250694</v>
      </c>
      <c r="Q27" s="5">
        <f t="shared" si="7"/>
        <v>853.36845585098297</v>
      </c>
      <c r="R27" s="5">
        <f t="shared" si="7"/>
        <v>846.37247913505996</v>
      </c>
      <c r="S27" s="5">
        <f t="shared" si="7"/>
        <v>827.46145082430701</v>
      </c>
      <c r="T27" s="5">
        <f t="shared" si="7"/>
        <v>794.542060666868</v>
      </c>
      <c r="U27" s="5">
        <f t="shared" si="7"/>
        <v>744.36727088334703</v>
      </c>
      <c r="V27" s="5">
        <f t="shared" si="7"/>
        <v>674.925141622154</v>
      </c>
      <c r="W27" s="5">
        <f t="shared" si="7"/>
        <v>587.14350024839496</v>
      </c>
      <c r="X27" s="5">
        <f t="shared" si="7"/>
        <v>483.60331416476299</v>
      </c>
      <c r="Y27" s="5">
        <f t="shared" si="7"/>
        <v>367.82499480261799</v>
      </c>
      <c r="Z27" s="5">
        <f t="shared" si="7"/>
        <v>243.726462996583</v>
      </c>
      <c r="AA27" s="5">
        <f t="shared" si="7"/>
        <v>-143.48749408053399</v>
      </c>
      <c r="AB27" s="5">
        <f t="shared" si="7"/>
        <v>-383.62812634887098</v>
      </c>
      <c r="AC27" s="5">
        <f t="shared" si="7"/>
        <v>-588.16755934534797</v>
      </c>
      <c r="AD27" s="5">
        <f t="shared" si="7"/>
        <v>-747.88759832618803</v>
      </c>
      <c r="AE27" s="5">
        <f t="shared" si="7"/>
        <v>-862.52923590525199</v>
      </c>
    </row>
    <row r="28" spans="1:31" x14ac:dyDescent="0.2">
      <c r="A28" t="s">
        <v>15</v>
      </c>
      <c r="B28" s="5">
        <f t="shared" ref="B28:AE28" si="8">IMABS(B25)</f>
        <v>245.46707165606369</v>
      </c>
      <c r="C28" s="5">
        <f t="shared" si="8"/>
        <v>281.39684239520642</v>
      </c>
      <c r="D28" s="5">
        <f t="shared" si="8"/>
        <v>371.97586011029591</v>
      </c>
      <c r="E28" s="5">
        <f t="shared" si="8"/>
        <v>404.50297388042719</v>
      </c>
      <c r="F28" s="5">
        <f t="shared" si="8"/>
        <v>486.31817561583563</v>
      </c>
      <c r="G28" s="5">
        <f t="shared" si="8"/>
        <v>558.34124570072254</v>
      </c>
      <c r="H28" s="5">
        <f t="shared" si="8"/>
        <v>621.26981307882522</v>
      </c>
      <c r="I28" s="5">
        <f t="shared" si="8"/>
        <v>680.03368551789208</v>
      </c>
      <c r="J28" s="5">
        <f t="shared" si="8"/>
        <v>738.87552690892085</v>
      </c>
      <c r="K28" s="5">
        <f t="shared" si="8"/>
        <v>798.31950928235085</v>
      </c>
      <c r="L28" s="5">
        <f t="shared" si="8"/>
        <v>857.72246018517819</v>
      </c>
      <c r="M28" s="5">
        <f t="shared" si="8"/>
        <v>915.56357557383967</v>
      </c>
      <c r="N28" s="5">
        <f t="shared" si="8"/>
        <v>1022.7929972292178</v>
      </c>
      <c r="O28" s="5">
        <f t="shared" si="8"/>
        <v>1121.0844104188354</v>
      </c>
      <c r="P28" s="5">
        <f t="shared" si="8"/>
        <v>1215.1138040418739</v>
      </c>
      <c r="Q28" s="5">
        <f t="shared" si="8"/>
        <v>1308.472476121565</v>
      </c>
      <c r="R28" s="5">
        <f t="shared" si="8"/>
        <v>1400.8109233199762</v>
      </c>
      <c r="S28" s="5">
        <f t="shared" si="8"/>
        <v>1491.0364735954879</v>
      </c>
      <c r="T28" s="5">
        <f t="shared" si="8"/>
        <v>1577.1971600398372</v>
      </c>
      <c r="U28" s="5">
        <f t="shared" si="8"/>
        <v>1655.9558451930138</v>
      </c>
      <c r="V28" s="5">
        <f t="shared" si="8"/>
        <v>1724.7363047631975</v>
      </c>
      <c r="W28" s="5">
        <f t="shared" si="8"/>
        <v>1783.4763601987875</v>
      </c>
      <c r="X28" s="5">
        <f t="shared" si="8"/>
        <v>1832.2203154578265</v>
      </c>
      <c r="Y28" s="5">
        <f t="shared" si="8"/>
        <v>1871.4005526725955</v>
      </c>
      <c r="Z28" s="5">
        <f t="shared" si="8"/>
        <v>1901.8713241993885</v>
      </c>
      <c r="AA28" s="5">
        <f t="shared" si="8"/>
        <v>1944.5368861508991</v>
      </c>
      <c r="AB28" s="5">
        <f t="shared" si="8"/>
        <v>1935.4968933173973</v>
      </c>
      <c r="AC28" s="5">
        <f t="shared" si="8"/>
        <v>1900.8664870705034</v>
      </c>
      <c r="AD28" s="5">
        <f t="shared" si="8"/>
        <v>1846.0888021758954</v>
      </c>
      <c r="AE28" s="5">
        <f t="shared" si="8"/>
        <v>1779.1908867436935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 xr:uid="{00000000-0004-0000-0900-000000000000}"/>
  </hyperlinks>
  <pageMargins left="0.75" right="0.75" top="1" bottom="1" header="0.5" footer="0.5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E61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1660</v>
      </c>
    </row>
    <row r="8" spans="1:2" x14ac:dyDescent="0.2">
      <c r="A8" t="s">
        <v>5</v>
      </c>
      <c r="B8" s="3">
        <v>4</v>
      </c>
    </row>
    <row r="9" spans="1:2" x14ac:dyDescent="0.2">
      <c r="A9" t="s">
        <v>8</v>
      </c>
      <c r="B9" s="3">
        <v>0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1.6688140175868981E-4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csinterpolate(CSTableU2,'2643625002'!B18*1000000)</f>
        <v>62.806156889999997</v>
      </c>
      <c r="C19" s="7">
        <f>csinterpolate(CSTableU2,'2643625002'!C18*1000000)</f>
        <v>88.590879034678693</v>
      </c>
      <c r="D19" s="7">
        <f>csinterpolate(CSTableU2,'2643625002'!D18*1000000)</f>
        <v>149.31944870511313</v>
      </c>
      <c r="E19" s="7">
        <f>csinterpolate(CSTableU2,'2643625002'!E18*1000000)</f>
        <v>164.84693443845484</v>
      </c>
      <c r="F19" s="7">
        <f>csinterpolate(CSTableU2,'2643625002'!F18*1000000)</f>
        <v>194.09240685957292</v>
      </c>
      <c r="G19" s="7">
        <f>csinterpolate(CSTableU2,'2643625002'!G18*1000000)</f>
        <v>212.25123818145755</v>
      </c>
      <c r="H19" s="7">
        <f>csinterpolate(CSTableU2,'2643625002'!H18*1000000)</f>
        <v>222.61469783871939</v>
      </c>
      <c r="I19" s="7">
        <f>csinterpolate(CSTableU2,'2643625002'!I18*1000000)</f>
        <v>227.99294072128737</v>
      </c>
      <c r="J19" s="7">
        <f>csinterpolate(CSTableU2,'2643625002'!J18*1000000)</f>
        <v>230.73650181843422</v>
      </c>
      <c r="K19" s="7">
        <f>csinterpolate(CSTableU2,'2643625002'!K18*1000000)</f>
        <v>231.76055744625637</v>
      </c>
      <c r="L19" s="7">
        <f>csinterpolate(CSTableU2,'2643625002'!L18*1000000)</f>
        <v>231.5816749650173</v>
      </c>
      <c r="M19" s="7">
        <f>csinterpolate(CSTableU2,'2643625002'!M18*1000000)</f>
        <v>230.71610985828033</v>
      </c>
      <c r="N19" s="7">
        <f>csinterpolate(CSTableU2,'2643625002'!N18*1000000)</f>
        <v>228.27786020805809</v>
      </c>
      <c r="O19" s="7">
        <f>csinterpolate(CSTableU2,'2643625002'!O18*1000000)</f>
        <v>225.61849570541494</v>
      </c>
      <c r="P19" s="7">
        <f>csinterpolate(CSTableU2,'2643625002'!P18*1000000)</f>
        <v>223.21661937748814</v>
      </c>
      <c r="Q19" s="7">
        <f>csinterpolate(CSTableU2,'2643625002'!Q18*1000000)</f>
        <v>220.6469586</v>
      </c>
      <c r="R19" s="7">
        <f>csinterpolate(CSTableU2,'2643625002'!R18*1000000)</f>
        <v>217.42371569860856</v>
      </c>
      <c r="S19" s="7">
        <f>csinterpolate(CSTableU2,'2643625002'!S18*1000000)</f>
        <v>213.62398562766845</v>
      </c>
      <c r="T19" s="7">
        <f>csinterpolate(CSTableU2,'2643625002'!T18*1000000)</f>
        <v>209.4656387187986</v>
      </c>
      <c r="U19" s="7">
        <f>csinterpolate(CSTableU2,'2643625002'!U18*1000000)</f>
        <v>205.16650282262194</v>
      </c>
      <c r="V19" s="7">
        <f>csinterpolate(CSTableU2,'2643625002'!V18*1000000)</f>
        <v>200.94438123173398</v>
      </c>
      <c r="W19" s="7">
        <f>csinterpolate(CSTableU2,'2643625002'!W18*1000000)</f>
        <v>196.96248291112678</v>
      </c>
      <c r="X19" s="7">
        <f>csinterpolate(CSTableU2,'2643625002'!X18*1000000)</f>
        <v>193.22040777268447</v>
      </c>
      <c r="Y19" s="7">
        <f>csinterpolate(CSTableU2,'2643625002'!Y18*1000000)</f>
        <v>189.68726462651435</v>
      </c>
      <c r="Z19" s="7">
        <f>csinterpolate(CSTableU2,'2643625002'!Z18*1000000)</f>
        <v>186.33214134317572</v>
      </c>
      <c r="AA19" s="7">
        <f>csinterpolate(CSTableU2,'2643625002'!AA18*1000000)</f>
        <v>177.04080458652163</v>
      </c>
      <c r="AB19" s="7">
        <f>csinterpolate(CSTableU2,'2643625002'!AB18*1000000)</f>
        <v>171.24984986633834</v>
      </c>
      <c r="AC19" s="7">
        <f>csinterpolate(CSTableU2,'2643625002'!AC18*1000000)</f>
        <v>165.57249087919985</v>
      </c>
      <c r="AD19" s="7">
        <f>csinterpolate(CSTableU2,'2643625002'!AD18*1000000)</f>
        <v>159.82992478445121</v>
      </c>
      <c r="AE19" s="7">
        <f>csinterpolate(CSTableU2,'2643625002'!AE18*1000000)</f>
        <v>153.87192534130403</v>
      </c>
    </row>
    <row r="20" spans="1:31" x14ac:dyDescent="0.2">
      <c r="A20" t="s">
        <v>3</v>
      </c>
      <c r="B20" s="7">
        <f>csinterpolate(CSTableU1,'2643625002'!B18*1000000)</f>
        <v>748.82965526252349</v>
      </c>
      <c r="C20" s="7">
        <f>csinterpolate(CSTableU1,'2643625002'!C18*1000000)</f>
        <v>711.16368591923231</v>
      </c>
      <c r="D20" s="7">
        <f>csinterpolate(CSTableU1,'2643625002'!D18*1000000)</f>
        <v>609.84521067104197</v>
      </c>
      <c r="E20" s="7">
        <f>csinterpolate(CSTableU1,'2643625002'!E18*1000000)</f>
        <v>590.43683517566922</v>
      </c>
      <c r="F20" s="7">
        <f>csinterpolate(CSTableU1,'2643625002'!F18*1000000)</f>
        <v>552.51543169258457</v>
      </c>
      <c r="G20" s="7">
        <f>csinterpolate(CSTableU1,'2643625002'!G18*1000000)</f>
        <v>514.10164955020889</v>
      </c>
      <c r="H20" s="7">
        <f>csinterpolate(CSTableU1,'2643625002'!H18*1000000)</f>
        <v>477.05218730162227</v>
      </c>
      <c r="I20" s="7">
        <f>csinterpolate(CSTableU1,'2643625002'!I18*1000000)</f>
        <v>445.17842033805402</v>
      </c>
      <c r="J20" s="7">
        <f>csinterpolate(CSTableU1,'2643625002'!J18*1000000)</f>
        <v>419.63998064819731</v>
      </c>
      <c r="K20" s="7">
        <f>csinterpolate(CSTableU1,'2643625002'!K18*1000000)</f>
        <v>398.91760860580126</v>
      </c>
      <c r="L20" s="7">
        <f>csinterpolate(CSTableU1,'2643625002'!L18*1000000)</f>
        <v>381.37346142845843</v>
      </c>
      <c r="M20" s="7">
        <f>csinterpolate(CSTableU1,'2643625002'!M18*1000000)</f>
        <v>365.37712557783078</v>
      </c>
      <c r="N20" s="7">
        <f>csinterpolate(CSTableU1,'2643625002'!N18*1000000)</f>
        <v>334.94222955130334</v>
      </c>
      <c r="O20" s="7">
        <f>csinterpolate(CSTableU1,'2643625002'!O18*1000000)</f>
        <v>307.00600947171955</v>
      </c>
      <c r="P20" s="7">
        <f>csinterpolate(CSTableU1,'2643625002'!P18*1000000)</f>
        <v>282.39915680429408</v>
      </c>
      <c r="Q20" s="7">
        <f>csinterpolate(CSTableU1,'2643625002'!Q18*1000000)</f>
        <v>261.62060355602716</v>
      </c>
      <c r="R20" s="7">
        <f>csinterpolate(CSTableU1,'2643625002'!R18*1000000)</f>
        <v>244.11539967135678</v>
      </c>
      <c r="S20" s="7">
        <f>csinterpolate(CSTableU1,'2643625002'!S18*1000000)</f>
        <v>229.11984224841194</v>
      </c>
      <c r="T20" s="7">
        <f>csinterpolate(CSTableU1,'2643625002'!T18*1000000)</f>
        <v>215.87024501467678</v>
      </c>
      <c r="U20" s="7">
        <f>csinterpolate(CSTableU1,'2643625002'!U18*1000000)</f>
        <v>203.61154173946414</v>
      </c>
      <c r="V20" s="7">
        <f>csinterpolate(CSTableU1,'2643625002'!V18*1000000)</f>
        <v>191.93148822449245</v>
      </c>
      <c r="W20" s="7">
        <f>csinterpolate(CSTableU1,'2643625002'!W18*1000000)</f>
        <v>180.86787915758393</v>
      </c>
      <c r="X20" s="7">
        <f>csinterpolate(CSTableU1,'2643625002'!X18*1000000)</f>
        <v>170.48900691856036</v>
      </c>
      <c r="Y20" s="7">
        <f>csinterpolate(CSTableU1,'2643625002'!Y18*1000000)</f>
        <v>160.86317032687728</v>
      </c>
      <c r="Z20" s="7">
        <f>csinterpolate(CSTableU1,'2643625002'!Z18*1000000)</f>
        <v>152.05044940691147</v>
      </c>
      <c r="AA20" s="7">
        <f>csinterpolate(CSTableU1,'2643625002'!AA18*1000000)</f>
        <v>130.0529425335306</v>
      </c>
      <c r="AB20" s="7">
        <f>csinterpolate(CSTableU1,'2643625002'!AB18*1000000)</f>
        <v>118.35127203670631</v>
      </c>
      <c r="AC20" s="7">
        <f>csinterpolate(CSTableU1,'2643625002'!AC18*1000000)</f>
        <v>108.33087305026413</v>
      </c>
      <c r="AD20" s="7">
        <f>csinterpolate(CSTableU1,'2643625002'!AD18*1000000)</f>
        <v>99.51049694962343</v>
      </c>
      <c r="AE20" s="7">
        <f>csinterpolate(CSTableU1,'2643625002'!AE18*1000000)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13.101474376099242</v>
      </c>
      <c r="C21" s="5">
        <f t="shared" si="1"/>
        <v>22.176255114512561</v>
      </c>
      <c r="D21" s="5">
        <f t="shared" si="1"/>
        <v>56.066937546924137</v>
      </c>
      <c r="E21" s="5">
        <f t="shared" si="1"/>
        <v>68.774718736780443</v>
      </c>
      <c r="F21" s="5">
        <f t="shared" si="1"/>
        <v>101.22004039826085</v>
      </c>
      <c r="G21" s="5">
        <f t="shared" si="1"/>
        <v>132.82794057277192</v>
      </c>
      <c r="H21" s="5">
        <f t="shared" si="1"/>
        <v>162.5323561199304</v>
      </c>
      <c r="I21" s="5">
        <f t="shared" si="1"/>
        <v>190.23890769327153</v>
      </c>
      <c r="J21" s="5">
        <f t="shared" si="1"/>
        <v>216.59417358950694</v>
      </c>
      <c r="K21" s="5">
        <f t="shared" si="1"/>
        <v>241.72829186879136</v>
      </c>
      <c r="L21" s="5">
        <f t="shared" si="1"/>
        <v>265.69588746103818</v>
      </c>
      <c r="M21" s="5">
        <f t="shared" si="1"/>
        <v>288.76670866096276</v>
      </c>
      <c r="N21" s="5">
        <f t="shared" si="1"/>
        <v>333.33413139245602</v>
      </c>
      <c r="O21" s="5">
        <f t="shared" si="1"/>
        <v>376.51530826006581</v>
      </c>
      <c r="P21" s="5">
        <f t="shared" si="1"/>
        <v>419.07040129745036</v>
      </c>
      <c r="Q21" s="5">
        <f t="shared" si="1"/>
        <v>460.27342181199498</v>
      </c>
      <c r="R21" s="5">
        <f t="shared" si="1"/>
        <v>498.90464870629137</v>
      </c>
      <c r="S21" s="5">
        <f t="shared" si="1"/>
        <v>534.74805256235277</v>
      </c>
      <c r="T21" s="5">
        <f t="shared" si="1"/>
        <v>568.03369040717655</v>
      </c>
      <c r="U21" s="5">
        <f t="shared" si="1"/>
        <v>599.17328773692839</v>
      </c>
      <c r="V21" s="5">
        <f t="shared" si="1"/>
        <v>628.76025029033099</v>
      </c>
      <c r="W21" s="5">
        <f t="shared" si="1"/>
        <v>657.38750484161653</v>
      </c>
      <c r="X21" s="5">
        <f t="shared" si="1"/>
        <v>685.20396557168863</v>
      </c>
      <c r="Y21" s="5">
        <f t="shared" si="1"/>
        <v>712.24372387449569</v>
      </c>
      <c r="Z21" s="5">
        <f t="shared" si="1"/>
        <v>738.51501232612782</v>
      </c>
      <c r="AA21" s="5">
        <f t="shared" si="1"/>
        <v>812.48248504183778</v>
      </c>
      <c r="AB21" s="5">
        <f t="shared" si="1"/>
        <v>857.35244989979174</v>
      </c>
      <c r="AC21" s="5">
        <f t="shared" si="1"/>
        <v>898.00650454445952</v>
      </c>
      <c r="AD21" s="5">
        <f t="shared" si="1"/>
        <v>933.54246618553111</v>
      </c>
      <c r="AE21" s="5">
        <f t="shared" si="1"/>
        <v>962.93859720994806</v>
      </c>
    </row>
    <row r="22" spans="1:31" x14ac:dyDescent="0.2">
      <c r="A22" t="s">
        <v>11</v>
      </c>
      <c r="B22" s="5">
        <f t="shared" ref="B22:AE22" si="2">B20/$B$13*$B$16*B18*1000000</f>
        <v>156.20717818585794</v>
      </c>
      <c r="C22" s="5">
        <f t="shared" si="2"/>
        <v>178.01998917911718</v>
      </c>
      <c r="D22" s="5">
        <f t="shared" si="2"/>
        <v>228.98660312836569</v>
      </c>
      <c r="E22" s="5">
        <f t="shared" si="2"/>
        <v>246.3323167602004</v>
      </c>
      <c r="F22" s="5">
        <f t="shared" si="2"/>
        <v>288.13921791926919</v>
      </c>
      <c r="G22" s="5">
        <f t="shared" si="2"/>
        <v>321.72751471272585</v>
      </c>
      <c r="H22" s="5">
        <f t="shared" si="2"/>
        <v>348.29872756412891</v>
      </c>
      <c r="I22" s="5">
        <f t="shared" si="2"/>
        <v>371.45999409366834</v>
      </c>
      <c r="J22" s="5">
        <f t="shared" si="2"/>
        <v>393.91935865065363</v>
      </c>
      <c r="K22" s="5">
        <f t="shared" si="2"/>
        <v>416.07456068975313</v>
      </c>
      <c r="L22" s="5">
        <f t="shared" si="2"/>
        <v>437.55344762762024</v>
      </c>
      <c r="M22" s="5">
        <f t="shared" si="2"/>
        <v>457.30985165241924</v>
      </c>
      <c r="N22" s="5">
        <f t="shared" si="2"/>
        <v>489.08675178739571</v>
      </c>
      <c r="O22" s="5">
        <f t="shared" si="2"/>
        <v>512.33593208982165</v>
      </c>
      <c r="P22" s="5">
        <f t="shared" si="2"/>
        <v>530.18063035844216</v>
      </c>
      <c r="Q22" s="5">
        <f t="shared" si="2"/>
        <v>545.74516312980359</v>
      </c>
      <c r="R22" s="5">
        <f t="shared" si="2"/>
        <v>560.15190121053388</v>
      </c>
      <c r="S22" s="5">
        <f t="shared" si="2"/>
        <v>573.5376066771729</v>
      </c>
      <c r="T22" s="5">
        <f t="shared" si="2"/>
        <v>585.40184764816752</v>
      </c>
      <c r="U22" s="5">
        <f t="shared" si="2"/>
        <v>594.63214124527076</v>
      </c>
      <c r="V22" s="5">
        <f t="shared" si="2"/>
        <v>600.55867118502704</v>
      </c>
      <c r="W22" s="5">
        <f t="shared" si="2"/>
        <v>603.66970413877846</v>
      </c>
      <c r="X22" s="5">
        <f t="shared" si="2"/>
        <v>604.59319475409677</v>
      </c>
      <c r="Y22" s="5">
        <f t="shared" si="2"/>
        <v>604.01410549866353</v>
      </c>
      <c r="Z22" s="5">
        <f t="shared" si="2"/>
        <v>602.641813207773</v>
      </c>
      <c r="AA22" s="5">
        <f t="shared" si="2"/>
        <v>596.84397720304275</v>
      </c>
      <c r="AB22" s="5">
        <f t="shared" si="2"/>
        <v>592.51878532228727</v>
      </c>
      <c r="AC22" s="5">
        <f t="shared" si="2"/>
        <v>587.54825832204926</v>
      </c>
      <c r="AD22" s="5">
        <f t="shared" si="2"/>
        <v>581.22579272299447</v>
      </c>
      <c r="AE22" s="5">
        <f t="shared" si="2"/>
        <v>573.95620276092041</v>
      </c>
    </row>
    <row r="23" spans="1:31" x14ac:dyDescent="0.2">
      <c r="A23" t="s">
        <v>12</v>
      </c>
      <c r="B23" s="5" t="str">
        <f t="shared" ref="B23:AE23" si="3">IMDIV(1,COMPLEX(B21,B22))</f>
        <v>0.000533179953395277-0.00635703536825456i</v>
      </c>
      <c r="C23" s="5" t="str">
        <f t="shared" si="3"/>
        <v>0.000689069448644164-0.00553150814498962i</v>
      </c>
      <c r="D23" s="5" t="str">
        <f t="shared" si="3"/>
        <v>0.00100879068034603-0.00412006721370614i</v>
      </c>
      <c r="E23" s="5" t="str">
        <f t="shared" si="3"/>
        <v>0.0010514473096966-0.00376599797870678i</v>
      </c>
      <c r="F23" s="5" t="str">
        <f t="shared" si="3"/>
        <v>0.0010852402704166-0.00308931197361692i</v>
      </c>
      <c r="G23" s="5" t="str">
        <f t="shared" si="3"/>
        <v>0.00109637561886793-0.00265557232558879i</v>
      </c>
      <c r="H23" s="5" t="str">
        <f t="shared" si="3"/>
        <v>0.00110020787196894-0.00235769056088784i</v>
      </c>
      <c r="I23" s="5" t="str">
        <f t="shared" si="3"/>
        <v>0.00109223877653353-0.00213270258118902i</v>
      </c>
      <c r="J23" s="5" t="str">
        <f t="shared" si="3"/>
        <v>0.0010717947435183-0.00194927079974012i</v>
      </c>
      <c r="K23" s="5" t="str">
        <f t="shared" si="3"/>
        <v>0.00104395447220543-0.00179690550512287i</v>
      </c>
      <c r="L23" s="5" t="str">
        <f t="shared" si="3"/>
        <v>0.00101392329926827-0.00166974972576442i</v>
      </c>
      <c r="M23" s="5" t="str">
        <f t="shared" si="3"/>
        <v>0.000987174132136574-0.00156335353897224i</v>
      </c>
      <c r="N23" s="5" t="str">
        <f t="shared" si="3"/>
        <v>0.000951520084417241-0.00139612425947519i</v>
      </c>
      <c r="O23" s="5" t="str">
        <f t="shared" si="3"/>
        <v>0.000931387885977399-0.00126736807303941i</v>
      </c>
      <c r="P23" s="5" t="str">
        <f t="shared" si="3"/>
        <v>0.000917582323667344-0.00116086550914011i</v>
      </c>
      <c r="Q23" s="5" t="str">
        <f t="shared" si="3"/>
        <v>0.000903046868305503-0.00107074064480427i</v>
      </c>
      <c r="R23" s="5" t="str">
        <f t="shared" si="3"/>
        <v>0.000886664168866682-0.000995514115199839i</v>
      </c>
      <c r="S23" s="5" t="str">
        <f t="shared" si="3"/>
        <v>0.000869649210364145-0.000932731824587218i</v>
      </c>
      <c r="T23" s="5" t="str">
        <f t="shared" si="3"/>
        <v>0.000853726918054644-0.000879830410865098i</v>
      </c>
      <c r="U23" s="5" t="str">
        <f t="shared" si="3"/>
        <v>0.000840831659916311-0.000834458979724033i</v>
      </c>
      <c r="V23" s="5" t="str">
        <f t="shared" si="3"/>
        <v>0.00083168226478959-0.000794379090534997i</v>
      </c>
      <c r="W23" s="5" t="str">
        <f t="shared" si="3"/>
        <v>0.000825267098602521-0.000757831175037133i</v>
      </c>
      <c r="X23" s="5" t="str">
        <f t="shared" si="3"/>
        <v>0.000820566792570557-0.000724031271791364i</v>
      </c>
      <c r="Y23" s="5" t="str">
        <f t="shared" si="3"/>
        <v>0.000816676976787161-0.000692578112071047i</v>
      </c>
      <c r="Z23" s="5" t="str">
        <f t="shared" si="3"/>
        <v>0.000812821908165887-0.000663277604891502i</v>
      </c>
      <c r="AA23" s="5" t="str">
        <f t="shared" si="3"/>
        <v>0.000799411686968141-0.000587242259933875i</v>
      </c>
      <c r="AB23" s="5" t="str">
        <f t="shared" si="3"/>
        <v>0.000789363226225282-0.000545531234016713i</v>
      </c>
      <c r="AC23" s="5" t="str">
        <f t="shared" si="3"/>
        <v>0.000779770904322159-0.000510188995743528i</v>
      </c>
      <c r="AD23" s="5" t="str">
        <f t="shared" si="3"/>
        <v>0.000771953361071133-0.000480620025853841i</v>
      </c>
      <c r="AE23" s="5" t="str">
        <f t="shared" si="3"/>
        <v>0.000766258161325383-0.00045672551280338i</v>
      </c>
    </row>
    <row r="24" spans="1:31" x14ac:dyDescent="0.2">
      <c r="A24" t="s">
        <v>13</v>
      </c>
      <c r="B24" s="6" t="str">
        <f t="shared" ref="B24:AE24" si="4">COMPLEX(0,2*PI()*B18*1000000*$B$9*0.000000000001)</f>
        <v>0</v>
      </c>
      <c r="C24" s="6" t="str">
        <f t="shared" si="4"/>
        <v>0</v>
      </c>
      <c r="D24" s="6" t="str">
        <f t="shared" si="4"/>
        <v>0</v>
      </c>
      <c r="E24" s="6" t="str">
        <f t="shared" si="4"/>
        <v>0</v>
      </c>
      <c r="F24" s="6" t="str">
        <f t="shared" si="4"/>
        <v>0</v>
      </c>
      <c r="G24" s="6" t="str">
        <f t="shared" si="4"/>
        <v>0</v>
      </c>
      <c r="H24" s="6" t="str">
        <f t="shared" si="4"/>
        <v>0</v>
      </c>
      <c r="I24" s="6" t="str">
        <f t="shared" si="4"/>
        <v>0</v>
      </c>
      <c r="J24" s="6" t="str">
        <f t="shared" si="4"/>
        <v>0</v>
      </c>
      <c r="K24" s="6" t="str">
        <f t="shared" si="4"/>
        <v>0</v>
      </c>
      <c r="L24" s="6" t="str">
        <f t="shared" si="4"/>
        <v>0</v>
      </c>
      <c r="M24" s="6" t="str">
        <f t="shared" si="4"/>
        <v>0</v>
      </c>
      <c r="N24" s="6" t="str">
        <f t="shared" si="4"/>
        <v>0</v>
      </c>
      <c r="O24" s="6" t="str">
        <f t="shared" si="4"/>
        <v>0</v>
      </c>
      <c r="P24" s="6" t="str">
        <f t="shared" si="4"/>
        <v>0</v>
      </c>
      <c r="Q24" s="6" t="str">
        <f t="shared" si="4"/>
        <v>0</v>
      </c>
      <c r="R24" s="6" t="str">
        <f t="shared" si="4"/>
        <v>0</v>
      </c>
      <c r="S24" s="6" t="str">
        <f t="shared" si="4"/>
        <v>0</v>
      </c>
      <c r="T24" s="6" t="str">
        <f t="shared" si="4"/>
        <v>0</v>
      </c>
      <c r="U24" s="6" t="str">
        <f t="shared" si="4"/>
        <v>0</v>
      </c>
      <c r="V24" s="6" t="str">
        <f t="shared" si="4"/>
        <v>0</v>
      </c>
      <c r="W24" s="6" t="str">
        <f t="shared" si="4"/>
        <v>0</v>
      </c>
      <c r="X24" s="6" t="str">
        <f t="shared" si="4"/>
        <v>0</v>
      </c>
      <c r="Y24" s="6" t="str">
        <f t="shared" si="4"/>
        <v>0</v>
      </c>
      <c r="Z24" s="6" t="str">
        <f t="shared" si="4"/>
        <v>0</v>
      </c>
      <c r="AA24" s="6" t="str">
        <f t="shared" si="4"/>
        <v>0</v>
      </c>
      <c r="AB24" s="6" t="str">
        <f t="shared" si="4"/>
        <v>0</v>
      </c>
      <c r="AC24" s="6" t="str">
        <f t="shared" si="4"/>
        <v>0</v>
      </c>
      <c r="AD24" s="6" t="str">
        <f t="shared" si="4"/>
        <v>0</v>
      </c>
      <c r="AE24" s="6" t="str">
        <f t="shared" si="4"/>
        <v>0</v>
      </c>
    </row>
    <row r="25" spans="1:31" x14ac:dyDescent="0.2">
      <c r="A25" t="s">
        <v>14</v>
      </c>
      <c r="B25" s="6" t="str">
        <f t="shared" ref="B25:AE25" si="5">IMDIV(1,IMSUM(B23,B24))</f>
        <v>13.1014743760992+156.207178185858i</v>
      </c>
      <c r="C25" s="6" t="str">
        <f t="shared" si="5"/>
        <v>22.1762551145126+178.019989179117i</v>
      </c>
      <c r="D25" s="6" t="str">
        <f t="shared" si="5"/>
        <v>56.0669375469238+228.986603128366i</v>
      </c>
      <c r="E25" s="6" t="str">
        <f t="shared" si="5"/>
        <v>68.7747187367806+246.3323167602i</v>
      </c>
      <c r="F25" s="6" t="str">
        <f t="shared" si="5"/>
        <v>101.220040398261+288.139217919269i</v>
      </c>
      <c r="G25" s="6" t="str">
        <f t="shared" si="5"/>
        <v>132.827940572772+321.727514712726i</v>
      </c>
      <c r="H25" s="6" t="str">
        <f t="shared" si="5"/>
        <v>162.53235611993+348.29872756413i</v>
      </c>
      <c r="I25" s="6" t="str">
        <f t="shared" si="5"/>
        <v>190.238907693272+371.459994093669i</v>
      </c>
      <c r="J25" s="6" t="str">
        <f t="shared" si="5"/>
        <v>216.594173589508+393.919358650654i</v>
      </c>
      <c r="K25" s="6" t="str">
        <f t="shared" si="5"/>
        <v>241.72829186879+416.074560689753i</v>
      </c>
      <c r="L25" s="6" t="str">
        <f t="shared" si="5"/>
        <v>265.695887461038+437.553447627619i</v>
      </c>
      <c r="M25" s="6" t="str">
        <f t="shared" si="5"/>
        <v>288.766708660963+457.309851652419i</v>
      </c>
      <c r="N25" s="6" t="str">
        <f t="shared" si="5"/>
        <v>333.334131392455+489.086751787396i</v>
      </c>
      <c r="O25" s="6" t="str">
        <f t="shared" si="5"/>
        <v>376.515308260066+512.335932089822i</v>
      </c>
      <c r="P25" s="6" t="str">
        <f t="shared" si="5"/>
        <v>419.070401297452+530.180630358442i</v>
      </c>
      <c r="Q25" s="6" t="str">
        <f t="shared" si="5"/>
        <v>460.273421811997+545.745163129804i</v>
      </c>
      <c r="R25" s="6" t="str">
        <f t="shared" si="5"/>
        <v>498.904648706291+560.151901210534i</v>
      </c>
      <c r="S25" s="6" t="str">
        <f t="shared" si="5"/>
        <v>534.748052562353+573.537606677173i</v>
      </c>
      <c r="T25" s="6" t="str">
        <f t="shared" si="5"/>
        <v>568.033690407177+585.401847648168i</v>
      </c>
      <c r="U25" s="6" t="str">
        <f t="shared" si="5"/>
        <v>599.173287736928+594.632141245271i</v>
      </c>
      <c r="V25" s="6" t="str">
        <f t="shared" si="5"/>
        <v>628.760250290331+600.558671185027i</v>
      </c>
      <c r="W25" s="6" t="str">
        <f t="shared" si="5"/>
        <v>657.387504841617+603.669704138778i</v>
      </c>
      <c r="X25" s="6" t="str">
        <f t="shared" si="5"/>
        <v>685.203965571689+604.593194754097i</v>
      </c>
      <c r="Y25" s="6" t="str">
        <f t="shared" si="5"/>
        <v>712.243723874496+604.014105498664i</v>
      </c>
      <c r="Z25" s="6" t="str">
        <f t="shared" si="5"/>
        <v>738.515012326128+602.641813207773i</v>
      </c>
      <c r="AA25" s="6" t="str">
        <f t="shared" si="5"/>
        <v>812.482485041838+596.843977203043i</v>
      </c>
      <c r="AB25" s="6" t="str">
        <f t="shared" si="5"/>
        <v>857.352449899792+592.518785322287i</v>
      </c>
      <c r="AC25" s="6" t="str">
        <f t="shared" si="5"/>
        <v>898.00650454446+587.548258322049i</v>
      </c>
      <c r="AD25" s="6" t="str">
        <f t="shared" si="5"/>
        <v>933.542466185532+581.225792722994i</v>
      </c>
      <c r="AE25" s="6" t="str">
        <f t="shared" si="5"/>
        <v>962.938597209948+573.956202760919i</v>
      </c>
    </row>
    <row r="26" spans="1:31" x14ac:dyDescent="0.2">
      <c r="A26" t="s">
        <v>6</v>
      </c>
      <c r="B26" s="5">
        <f t="shared" ref="B26:AE26" si="6">IMREAL(B25)</f>
        <v>13.101474376099199</v>
      </c>
      <c r="C26" s="5">
        <f t="shared" si="6"/>
        <v>22.1762551145126</v>
      </c>
      <c r="D26" s="5">
        <f t="shared" si="6"/>
        <v>56.066937546923803</v>
      </c>
      <c r="E26" s="5">
        <f t="shared" si="6"/>
        <v>68.774718736780599</v>
      </c>
      <c r="F26" s="5">
        <f t="shared" si="6"/>
        <v>101.22004039826101</v>
      </c>
      <c r="G26" s="5">
        <f t="shared" si="6"/>
        <v>132.82794057277201</v>
      </c>
      <c r="H26" s="5">
        <f t="shared" si="6"/>
        <v>162.53235611993</v>
      </c>
      <c r="I26" s="5">
        <f t="shared" si="6"/>
        <v>190.23890769327201</v>
      </c>
      <c r="J26" s="5">
        <f t="shared" si="6"/>
        <v>216.59417358950799</v>
      </c>
      <c r="K26" s="5">
        <f t="shared" si="6"/>
        <v>241.72829186879</v>
      </c>
      <c r="L26" s="5">
        <f t="shared" si="6"/>
        <v>265.69588746103801</v>
      </c>
      <c r="M26" s="5">
        <f t="shared" si="6"/>
        <v>288.76670866096299</v>
      </c>
      <c r="N26" s="5">
        <f t="shared" si="6"/>
        <v>333.33413139245499</v>
      </c>
      <c r="O26" s="5">
        <f t="shared" si="6"/>
        <v>376.51530826006598</v>
      </c>
      <c r="P26" s="5">
        <f t="shared" si="6"/>
        <v>419.07040129745201</v>
      </c>
      <c r="Q26" s="5">
        <f t="shared" si="6"/>
        <v>460.27342181199703</v>
      </c>
      <c r="R26" s="5">
        <f t="shared" si="6"/>
        <v>498.90464870629103</v>
      </c>
      <c r="S26" s="5">
        <f t="shared" si="6"/>
        <v>534.748052562353</v>
      </c>
      <c r="T26" s="5">
        <f t="shared" si="6"/>
        <v>568.033690407177</v>
      </c>
      <c r="U26" s="5">
        <f t="shared" si="6"/>
        <v>599.17328773692805</v>
      </c>
      <c r="V26" s="5">
        <f t="shared" si="6"/>
        <v>628.76025029033099</v>
      </c>
      <c r="W26" s="5">
        <f t="shared" si="6"/>
        <v>657.38750484161699</v>
      </c>
      <c r="X26" s="5">
        <f t="shared" si="6"/>
        <v>685.20396557168897</v>
      </c>
      <c r="Y26" s="5">
        <f t="shared" si="6"/>
        <v>712.24372387449603</v>
      </c>
      <c r="Z26" s="5">
        <f t="shared" si="6"/>
        <v>738.51501232612804</v>
      </c>
      <c r="AA26" s="5">
        <f t="shared" si="6"/>
        <v>812.482485041838</v>
      </c>
      <c r="AB26" s="5">
        <f t="shared" si="6"/>
        <v>857.35244989979196</v>
      </c>
      <c r="AC26" s="5">
        <f t="shared" si="6"/>
        <v>898.00650454445997</v>
      </c>
      <c r="AD26" s="5">
        <f t="shared" si="6"/>
        <v>933.54246618553202</v>
      </c>
      <c r="AE26" s="5">
        <f t="shared" si="6"/>
        <v>962.93859720994806</v>
      </c>
    </row>
    <row r="27" spans="1:31" x14ac:dyDescent="0.2">
      <c r="A27" t="s">
        <v>7</v>
      </c>
      <c r="B27" s="5">
        <f t="shared" ref="B27:AE27" si="7">IMAGINARY(B25)</f>
        <v>156.207178185858</v>
      </c>
      <c r="C27" s="5">
        <f t="shared" si="7"/>
        <v>178.019989179117</v>
      </c>
      <c r="D27" s="5">
        <f t="shared" si="7"/>
        <v>228.986603128366</v>
      </c>
      <c r="E27" s="5">
        <f t="shared" si="7"/>
        <v>246.3323167602</v>
      </c>
      <c r="F27" s="5">
        <f t="shared" si="7"/>
        <v>288.13921791926902</v>
      </c>
      <c r="G27" s="5">
        <f t="shared" si="7"/>
        <v>321.72751471272602</v>
      </c>
      <c r="H27" s="5">
        <f t="shared" si="7"/>
        <v>348.29872756412999</v>
      </c>
      <c r="I27" s="5">
        <f t="shared" si="7"/>
        <v>371.45999409366902</v>
      </c>
      <c r="J27" s="5">
        <f t="shared" si="7"/>
        <v>393.91935865065398</v>
      </c>
      <c r="K27" s="5">
        <f t="shared" si="7"/>
        <v>416.07456068975301</v>
      </c>
      <c r="L27" s="5">
        <f t="shared" si="7"/>
        <v>437.55344762761899</v>
      </c>
      <c r="M27" s="5">
        <f t="shared" si="7"/>
        <v>457.30985165241901</v>
      </c>
      <c r="N27" s="5">
        <f t="shared" si="7"/>
        <v>489.086751787396</v>
      </c>
      <c r="O27" s="5">
        <f t="shared" si="7"/>
        <v>512.33593208982199</v>
      </c>
      <c r="P27" s="5">
        <f t="shared" si="7"/>
        <v>530.18063035844204</v>
      </c>
      <c r="Q27" s="5">
        <f t="shared" si="7"/>
        <v>545.74516312980404</v>
      </c>
      <c r="R27" s="5">
        <f t="shared" si="7"/>
        <v>560.15190121053399</v>
      </c>
      <c r="S27" s="5">
        <f t="shared" si="7"/>
        <v>573.53760667717302</v>
      </c>
      <c r="T27" s="5">
        <f t="shared" si="7"/>
        <v>585.40184764816797</v>
      </c>
      <c r="U27" s="5">
        <f t="shared" si="7"/>
        <v>594.63214124527099</v>
      </c>
      <c r="V27" s="5">
        <f t="shared" si="7"/>
        <v>600.55867118502704</v>
      </c>
      <c r="W27" s="5">
        <f t="shared" si="7"/>
        <v>603.669704138778</v>
      </c>
      <c r="X27" s="5">
        <f t="shared" si="7"/>
        <v>604.593194754097</v>
      </c>
      <c r="Y27" s="5">
        <f t="shared" si="7"/>
        <v>604.01410549866398</v>
      </c>
      <c r="Z27" s="5">
        <f t="shared" si="7"/>
        <v>602.641813207773</v>
      </c>
      <c r="AA27" s="5">
        <f t="shared" si="7"/>
        <v>596.84397720304298</v>
      </c>
      <c r="AB27" s="5">
        <f t="shared" si="7"/>
        <v>592.51878532228704</v>
      </c>
      <c r="AC27" s="5">
        <f t="shared" si="7"/>
        <v>587.54825832204904</v>
      </c>
      <c r="AD27" s="5">
        <f t="shared" si="7"/>
        <v>581.22579272299402</v>
      </c>
      <c r="AE27" s="5">
        <f t="shared" si="7"/>
        <v>573.95620276091904</v>
      </c>
    </row>
    <row r="28" spans="1:31" x14ac:dyDescent="0.2">
      <c r="A28" t="s">
        <v>15</v>
      </c>
      <c r="B28" s="5">
        <f t="shared" ref="B28:AE28" si="8">IMABS(B25)</f>
        <v>156.75564151766903</v>
      </c>
      <c r="C28" s="5">
        <f t="shared" si="8"/>
        <v>179.39593874510336</v>
      </c>
      <c r="D28" s="5">
        <f t="shared" si="8"/>
        <v>235.75064347347697</v>
      </c>
      <c r="E28" s="5">
        <f t="shared" si="8"/>
        <v>255.75295153286268</v>
      </c>
      <c r="F28" s="5">
        <f t="shared" si="8"/>
        <v>305.40089305919457</v>
      </c>
      <c r="G28" s="5">
        <f t="shared" si="8"/>
        <v>348.06875113981602</v>
      </c>
      <c r="H28" s="5">
        <f t="shared" si="8"/>
        <v>384.35500570265481</v>
      </c>
      <c r="I28" s="5">
        <f t="shared" si="8"/>
        <v>417.34083099116714</v>
      </c>
      <c r="J28" s="5">
        <f t="shared" si="8"/>
        <v>449.53920535662343</v>
      </c>
      <c r="K28" s="5">
        <f t="shared" si="8"/>
        <v>481.19705645709627</v>
      </c>
      <c r="L28" s="5">
        <f t="shared" si="8"/>
        <v>511.90558127893485</v>
      </c>
      <c r="M28" s="5">
        <f t="shared" si="8"/>
        <v>540.8498058141862</v>
      </c>
      <c r="N28" s="5">
        <f t="shared" si="8"/>
        <v>591.87624882665148</v>
      </c>
      <c r="O28" s="5">
        <f t="shared" si="8"/>
        <v>635.80805646399233</v>
      </c>
      <c r="P28" s="5">
        <f t="shared" si="8"/>
        <v>675.80433710570583</v>
      </c>
      <c r="Q28" s="5">
        <f t="shared" si="8"/>
        <v>713.92535037362336</v>
      </c>
      <c r="R28" s="5">
        <f t="shared" si="8"/>
        <v>750.1173247769467</v>
      </c>
      <c r="S28" s="5">
        <f t="shared" si="8"/>
        <v>784.15614898577996</v>
      </c>
      <c r="T28" s="5">
        <f t="shared" si="8"/>
        <v>815.69454863170779</v>
      </c>
      <c r="U28" s="5">
        <f t="shared" si="8"/>
        <v>844.154021573916</v>
      </c>
      <c r="V28" s="5">
        <f t="shared" si="8"/>
        <v>869.48845298870128</v>
      </c>
      <c r="W28" s="5">
        <f t="shared" si="8"/>
        <v>892.5107524376873</v>
      </c>
      <c r="X28" s="5">
        <f t="shared" si="8"/>
        <v>913.80381131736033</v>
      </c>
      <c r="Y28" s="5">
        <f t="shared" si="8"/>
        <v>933.87588138893511</v>
      </c>
      <c r="Z28" s="5">
        <f t="shared" si="8"/>
        <v>953.19545658664015</v>
      </c>
      <c r="AA28" s="5">
        <f t="shared" si="8"/>
        <v>1008.1421138030624</v>
      </c>
      <c r="AB28" s="5">
        <f t="shared" si="8"/>
        <v>1042.1764410640712</v>
      </c>
      <c r="AC28" s="5">
        <f t="shared" si="8"/>
        <v>1073.1396172266832</v>
      </c>
      <c r="AD28" s="5">
        <f t="shared" si="8"/>
        <v>1099.6931200558809</v>
      </c>
      <c r="AE28" s="5">
        <f t="shared" si="8"/>
        <v>1121.0158182132827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  <row r="60" spans="2:31" x14ac:dyDescent="0.2">
      <c r="B60" s="15">
        <f>1/IMREAL(IMDIV(1,B25))</f>
        <v>1875.5393814640336</v>
      </c>
      <c r="C60" s="15">
        <f t="shared" ref="C60:AE60" si="9">1/IMREAL(IMDIV(1,C25))</f>
        <v>1451.2325310135768</v>
      </c>
      <c r="D60" s="15">
        <f t="shared" si="9"/>
        <v>991.28592232531855</v>
      </c>
      <c r="E60" s="15">
        <f t="shared" si="9"/>
        <v>951.07000681618047</v>
      </c>
      <c r="F60" s="15">
        <f t="shared" si="9"/>
        <v>921.45493238665188</v>
      </c>
      <c r="G60" s="15">
        <f t="shared" si="9"/>
        <v>912.09616739977923</v>
      </c>
      <c r="H60" s="15">
        <f t="shared" si="9"/>
        <v>908.91914653400249</v>
      </c>
      <c r="I60" s="15">
        <f t="shared" si="9"/>
        <v>915.55072158647329</v>
      </c>
      <c r="J60" s="15">
        <f t="shared" si="9"/>
        <v>933.01446573377962</v>
      </c>
      <c r="K60" s="15">
        <f t="shared" si="9"/>
        <v>957.89617902342707</v>
      </c>
      <c r="L60" s="15">
        <f t="shared" si="9"/>
        <v>986.26789691259864</v>
      </c>
      <c r="M60" s="15">
        <f t="shared" si="9"/>
        <v>1012.9925080549533</v>
      </c>
      <c r="N60" s="15">
        <f t="shared" si="9"/>
        <v>1050.9499656147054</v>
      </c>
      <c r="O60" s="15">
        <f t="shared" si="9"/>
        <v>1073.6665304065014</v>
      </c>
      <c r="P60" s="15">
        <f t="shared" si="9"/>
        <v>1089.8204708251706</v>
      </c>
      <c r="Q60" s="15">
        <f t="shared" si="9"/>
        <v>1107.3622367756193</v>
      </c>
      <c r="R60" s="15">
        <f t="shared" si="9"/>
        <v>1127.822726025099</v>
      </c>
      <c r="S60" s="15">
        <f t="shared" si="9"/>
        <v>1149.8889300218807</v>
      </c>
      <c r="T60" s="15">
        <f t="shared" si="9"/>
        <v>1171.3347428222869</v>
      </c>
      <c r="U60" s="15">
        <f t="shared" si="9"/>
        <v>1189.2986999318402</v>
      </c>
      <c r="V60" s="15">
        <f t="shared" si="9"/>
        <v>1202.3822586297342</v>
      </c>
      <c r="W60" s="15">
        <f t="shared" si="9"/>
        <v>1211.7289077601249</v>
      </c>
      <c r="X60" s="15">
        <f t="shared" si="9"/>
        <v>1218.669837792655</v>
      </c>
      <c r="Y60" s="15">
        <f t="shared" si="9"/>
        <v>1224.4743373739259</v>
      </c>
      <c r="Z60" s="15">
        <f t="shared" si="9"/>
        <v>1230.2817996828799</v>
      </c>
      <c r="AA60" s="15">
        <f t="shared" si="9"/>
        <v>1250.9199156102068</v>
      </c>
      <c r="AB60" s="15">
        <f t="shared" si="9"/>
        <v>1266.8439151668854</v>
      </c>
      <c r="AC60" s="15">
        <f t="shared" si="9"/>
        <v>1282.427947051041</v>
      </c>
      <c r="AD60" s="15">
        <f t="shared" si="9"/>
        <v>1295.4150476298701</v>
      </c>
      <c r="AE60" s="15">
        <f t="shared" si="9"/>
        <v>1305.0431962386124</v>
      </c>
    </row>
    <row r="61" spans="2:31" x14ac:dyDescent="0.2">
      <c r="B61" s="15">
        <f>-1/IMAGINARY(IMDIV(1,B25))</f>
        <v>157.30603057421217</v>
      </c>
      <c r="C61" s="15">
        <f t="shared" ref="C61:AE61" si="10">-1/IMAGINARY(IMDIV(1,C25))</f>
        <v>180.78252328088664</v>
      </c>
      <c r="D61" s="15">
        <f t="shared" si="10"/>
        <v>242.7144869562616</v>
      </c>
      <c r="E61" s="15">
        <f t="shared" si="10"/>
        <v>265.53386530053149</v>
      </c>
      <c r="F61" s="15">
        <f t="shared" si="10"/>
        <v>323.69667050143045</v>
      </c>
      <c r="G61" s="15">
        <f t="shared" si="10"/>
        <v>376.56665961010168</v>
      </c>
      <c r="H61" s="15">
        <f t="shared" si="10"/>
        <v>424.1438705270246</v>
      </c>
      <c r="I61" s="15">
        <f t="shared" si="10"/>
        <v>468.88863398968743</v>
      </c>
      <c r="J61" s="15">
        <f t="shared" si="10"/>
        <v>513.01235320065416</v>
      </c>
      <c r="K61" s="15">
        <f t="shared" si="10"/>
        <v>556.51229135258359</v>
      </c>
      <c r="L61" s="15">
        <f t="shared" si="10"/>
        <v>598.89214806859445</v>
      </c>
      <c r="M61" s="15">
        <f t="shared" si="10"/>
        <v>639.65058131214982</v>
      </c>
      <c r="N61" s="15">
        <f t="shared" si="10"/>
        <v>716.26862237599471</v>
      </c>
      <c r="O61" s="15">
        <f t="shared" si="10"/>
        <v>789.03676151616617</v>
      </c>
      <c r="P61" s="15">
        <f t="shared" si="10"/>
        <v>861.4262307963063</v>
      </c>
      <c r="Q61" s="15">
        <f t="shared" si="10"/>
        <v>933.9329788707131</v>
      </c>
      <c r="R61" s="15">
        <f t="shared" si="10"/>
        <v>1004.5060986395563</v>
      </c>
      <c r="S61" s="15">
        <f t="shared" si="10"/>
        <v>1072.1195242186056</v>
      </c>
      <c r="T61" s="15">
        <f t="shared" si="10"/>
        <v>1136.5826728093482</v>
      </c>
      <c r="U61" s="15">
        <f t="shared" si="10"/>
        <v>1198.3812557577291</v>
      </c>
      <c r="V61" s="15">
        <f t="shared" si="10"/>
        <v>1258.8448159260106</v>
      </c>
      <c r="W61" s="15">
        <f t="shared" si="10"/>
        <v>1319.5551106102239</v>
      </c>
      <c r="X61" s="15">
        <f t="shared" si="10"/>
        <v>1381.1558132369714</v>
      </c>
      <c r="Y61" s="15">
        <f t="shared" si="10"/>
        <v>1443.8804556061637</v>
      </c>
      <c r="Z61" s="15">
        <f t="shared" si="10"/>
        <v>1507.6643514348393</v>
      </c>
      <c r="AA61" s="15">
        <f t="shared" si="10"/>
        <v>1702.8747217759885</v>
      </c>
      <c r="AB61" s="15">
        <f t="shared" si="10"/>
        <v>1833.0756107896175</v>
      </c>
      <c r="AC61" s="15">
        <f t="shared" si="10"/>
        <v>1960.0579556653161</v>
      </c>
      <c r="AD61" s="15">
        <f t="shared" si="10"/>
        <v>2080.6457205428746</v>
      </c>
      <c r="AE61" s="15">
        <f t="shared" si="10"/>
        <v>2189.4988827359407</v>
      </c>
    </row>
  </sheetData>
  <hyperlinks>
    <hyperlink ref="A4" r:id="rId1" xr:uid="{00000000-0004-0000-0A00-000000000000}"/>
  </hyperlinks>
  <pageMargins left="0.75" right="0.75" top="1" bottom="1" header="0.5" footer="0.5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AE66"/>
  <sheetViews>
    <sheetView workbookViewId="0">
      <selection activeCell="B9" sqref="B9"/>
    </sheetView>
  </sheetViews>
  <sheetFormatPr defaultRowHeight="12.75" x14ac:dyDescent="0.2"/>
  <cols>
    <col min="1" max="1" width="22" customWidth="1"/>
    <col min="2" max="31" width="11.28515625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9050</v>
      </c>
      <c r="D7" s="16" t="s">
        <v>37</v>
      </c>
    </row>
    <row r="8" spans="1:4" x14ac:dyDescent="0.2">
      <c r="A8" t="s">
        <v>5</v>
      </c>
      <c r="B8" s="3">
        <v>4</v>
      </c>
    </row>
    <row r="9" spans="1:4" x14ac:dyDescent="0.2">
      <c r="A9" t="s">
        <v>8</v>
      </c>
      <c r="B9" s="3">
        <v>2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9.0980523247960411E-4</v>
      </c>
    </row>
    <row r="18" spans="1:31" x14ac:dyDescent="0.2">
      <c r="A18" t="s">
        <v>2</v>
      </c>
      <c r="B18" s="10">
        <v>1</v>
      </c>
      <c r="C18" s="10">
        <f>B18*1.13</f>
        <v>1.1299999999999999</v>
      </c>
      <c r="D18" s="10">
        <f t="shared" ref="D18:AE18" si="0">C18*1.13</f>
        <v>1.2768999999999997</v>
      </c>
      <c r="E18" s="10">
        <f t="shared" si="0"/>
        <v>1.4428969999999994</v>
      </c>
      <c r="F18" s="10">
        <f t="shared" si="0"/>
        <v>1.6304736099999992</v>
      </c>
      <c r="G18" s="10">
        <f t="shared" si="0"/>
        <v>1.8424351792999989</v>
      </c>
      <c r="H18" s="10">
        <f t="shared" si="0"/>
        <v>2.0819517526089983</v>
      </c>
      <c r="I18" s="10">
        <f t="shared" si="0"/>
        <v>2.352605480448168</v>
      </c>
      <c r="J18" s="10">
        <f t="shared" si="0"/>
        <v>2.6584441929064297</v>
      </c>
      <c r="K18" s="10">
        <f t="shared" si="0"/>
        <v>3.0040419379842653</v>
      </c>
      <c r="L18" s="10">
        <f t="shared" si="0"/>
        <v>3.3945673899222193</v>
      </c>
      <c r="M18" s="10">
        <f t="shared" si="0"/>
        <v>3.8358611506121076</v>
      </c>
      <c r="N18" s="10">
        <f t="shared" si="0"/>
        <v>4.3345231001916815</v>
      </c>
      <c r="O18" s="10">
        <f t="shared" si="0"/>
        <v>4.8980111032166</v>
      </c>
      <c r="P18" s="10">
        <f t="shared" si="0"/>
        <v>5.5347525466347571</v>
      </c>
      <c r="Q18" s="10">
        <f t="shared" si="0"/>
        <v>6.2542703776972752</v>
      </c>
      <c r="R18" s="10">
        <f t="shared" si="0"/>
        <v>7.0673255267979203</v>
      </c>
      <c r="S18" s="10">
        <f t="shared" si="0"/>
        <v>7.986077845281649</v>
      </c>
      <c r="T18" s="10">
        <f t="shared" si="0"/>
        <v>9.0242679651682618</v>
      </c>
      <c r="U18" s="10">
        <f t="shared" si="0"/>
        <v>10.197422800640135</v>
      </c>
      <c r="V18" s="10">
        <f t="shared" si="0"/>
        <v>11.523087764723352</v>
      </c>
      <c r="W18" s="10">
        <f t="shared" si="0"/>
        <v>13.021089174137385</v>
      </c>
      <c r="X18" s="10">
        <f t="shared" si="0"/>
        <v>14.713830766775244</v>
      </c>
      <c r="Y18" s="10">
        <f t="shared" si="0"/>
        <v>16.626628766456022</v>
      </c>
      <c r="Z18" s="10">
        <f t="shared" si="0"/>
        <v>18.788090506095305</v>
      </c>
      <c r="AA18" s="10">
        <f t="shared" si="0"/>
        <v>21.230542271887693</v>
      </c>
      <c r="AB18" s="10">
        <f t="shared" si="0"/>
        <v>23.990512767233092</v>
      </c>
      <c r="AC18" s="10">
        <f t="shared" si="0"/>
        <v>27.109279426973391</v>
      </c>
      <c r="AD18" s="10">
        <f t="shared" si="0"/>
        <v>30.633485752479928</v>
      </c>
      <c r="AE18" s="10">
        <f t="shared" si="0"/>
        <v>34.615838900302315</v>
      </c>
    </row>
    <row r="19" spans="1:31" x14ac:dyDescent="0.2">
      <c r="A19" t="s">
        <v>4</v>
      </c>
      <c r="B19" s="7">
        <f>csinterpolate(CSTableU2,'2843009902'!B18*1000000)</f>
        <v>62.806156889999997</v>
      </c>
      <c r="C19" s="7">
        <f>csinterpolate(CSTableU2,'2843009902'!C18*1000000)</f>
        <v>79.960379904303778</v>
      </c>
      <c r="D19" s="7">
        <f>csinterpolate(CSTableU2,'2843009902'!D18*1000000)</f>
        <v>97.633908628088719</v>
      </c>
      <c r="E19" s="7">
        <f>csinterpolate(CSTableU2,'2843009902'!E18*1000000)</f>
        <v>115.79426950616312</v>
      </c>
      <c r="F19" s="7">
        <f>csinterpolate(CSTableU2,'2843009902'!F18*1000000)</f>
        <v>134.3351197582929</v>
      </c>
      <c r="G19" s="7">
        <f>csinterpolate(CSTableU2,'2843009902'!G18*1000000)</f>
        <v>152.80809563155617</v>
      </c>
      <c r="H19" s="7">
        <f>csinterpolate(CSTableU2,'2843009902'!H18*1000000)</f>
        <v>170.5424807056981</v>
      </c>
      <c r="I19" s="7">
        <f>csinterpolate(CSTableU2,'2843009902'!I18*1000000)</f>
        <v>186.77595338231251</v>
      </c>
      <c r="J19" s="7">
        <f>csinterpolate(CSTableU2,'2843009902'!J18*1000000)</f>
        <v>200.885291707166</v>
      </c>
      <c r="K19" s="7">
        <f>csinterpolate(CSTableU2,'2843009902'!K18*1000000)</f>
        <v>212.36212330872786</v>
      </c>
      <c r="L19" s="7">
        <f>csinterpolate(CSTableU2,'2843009902'!L18*1000000)</f>
        <v>220.93395432707868</v>
      </c>
      <c r="M19" s="7">
        <f>csinterpolate(CSTableU2,'2843009902'!M18*1000000)</f>
        <v>226.61277276083621</v>
      </c>
      <c r="N19" s="7">
        <f>csinterpolate(CSTableU2,'2843009902'!N18*1000000)</f>
        <v>230.04425470936931</v>
      </c>
      <c r="O19" s="7">
        <f>csinterpolate(CSTableU2,'2843009902'!O18*1000000)</f>
        <v>231.66616298887595</v>
      </c>
      <c r="P19" s="7">
        <f>csinterpolate(CSTableU2,'2843009902'!P18*1000000)</f>
        <v>231.53777675257319</v>
      </c>
      <c r="Q19" s="7">
        <f>csinterpolate(CSTableU2,'2843009902'!Q18*1000000)</f>
        <v>230.15749401866731</v>
      </c>
      <c r="R19" s="7">
        <f>csinterpolate(CSTableU2,'2843009902'!R18*1000000)</f>
        <v>228.09758428887835</v>
      </c>
      <c r="S19" s="7">
        <f>csinterpolate(CSTableU2,'2843009902'!S18*1000000)</f>
        <v>225.65370780825648</v>
      </c>
      <c r="T19" s="7">
        <f>csinterpolate(CSTableU2,'2843009902'!T18*1000000)</f>
        <v>223.1587785028247</v>
      </c>
      <c r="U19" s="7">
        <f>csinterpolate(CSTableU2,'2843009902'!U18*1000000)</f>
        <v>220.06665298700719</v>
      </c>
      <c r="V19" s="7">
        <f>csinterpolate(CSTableU2,'2843009902'!V18*1000000)</f>
        <v>215.49423197889152</v>
      </c>
      <c r="W19" s="7">
        <f>csinterpolate(CSTableU2,'2843009902'!W18*1000000)</f>
        <v>209.37566422861477</v>
      </c>
      <c r="X19" s="7">
        <f>csinterpolate(CSTableU2,'2843009902'!X18*1000000)</f>
        <v>202.13207171589542</v>
      </c>
      <c r="Y19" s="7">
        <f>csinterpolate(CSTableU2,'2843009902'!Y18*1000000)</f>
        <v>194.59149480591387</v>
      </c>
      <c r="Z19" s="7">
        <f>csinterpolate(CSTableU2,'2843009902'!Z18*1000000)</f>
        <v>187.02979473075962</v>
      </c>
      <c r="AA19" s="7">
        <f>csinterpolate(CSTableU2,'2843009902'!AA18*1000000)</f>
        <v>179.33686821228906</v>
      </c>
      <c r="AB19" s="7">
        <f>csinterpolate(CSTableU2,'2843009902'!AB18*1000000)</f>
        <v>171.27691628771501</v>
      </c>
      <c r="AC19" s="7">
        <f>csinterpolate(CSTableU2,'2843009902'!AC18*1000000)</f>
        <v>162.40693569743186</v>
      </c>
      <c r="AD19" s="7">
        <f>csinterpolate(CSTableU2,'2843009902'!AD18*1000000)</f>
        <v>151.95168467404361</v>
      </c>
      <c r="AE19" s="7">
        <f>csinterpolate(CSTableU2,'2843009902'!AE18*1000000)</f>
        <v>140.17317156706201</v>
      </c>
    </row>
    <row r="20" spans="1:31" x14ac:dyDescent="0.2">
      <c r="A20" t="s">
        <v>3</v>
      </c>
      <c r="B20" s="7">
        <f>csinterpolate(CSTableU1,'2843009902'!B18*1000000)</f>
        <v>748.82965526252349</v>
      </c>
      <c r="C20" s="7">
        <f>csinterpolate(CSTableU1,'2843009902'!C18*1000000)</f>
        <v>725.24612429985052</v>
      </c>
      <c r="D20" s="7">
        <f>csinterpolate(CSTableU1,'2843009902'!D18*1000000)</f>
        <v>695.2425683323022</v>
      </c>
      <c r="E20" s="7">
        <f>csinterpolate(CSTableU1,'2843009902'!E18*1000000)</f>
        <v>661.95256538903527</v>
      </c>
      <c r="F20" s="7">
        <f>csinterpolate(CSTableU1,'2843009902'!F18*1000000)</f>
        <v>631.14520901094681</v>
      </c>
      <c r="G20" s="7">
        <f>csinterpolate(CSTableU1,'2843009902'!G18*1000000)</f>
        <v>605.28799623148791</v>
      </c>
      <c r="H20" s="7">
        <f>csinterpolate(CSTableU1,'2843009902'!H18*1000000)</f>
        <v>583.69608463522559</v>
      </c>
      <c r="I20" s="7">
        <f>csinterpolate(CSTableU1,'2843009902'!I18*1000000)</f>
        <v>563.52686044608572</v>
      </c>
      <c r="J20" s="7">
        <f>csinterpolate(CSTableU1,'2843009902'!J18*1000000)</f>
        <v>540.43321940266833</v>
      </c>
      <c r="K20" s="7">
        <f>csinterpolate(CSTableU1,'2843009902'!K18*1000000)</f>
        <v>513.79139480290189</v>
      </c>
      <c r="L20" s="7">
        <f>csinterpolate(CSTableU1,'2843009902'!L18*1000000)</f>
        <v>484.5563948103545</v>
      </c>
      <c r="M20" s="7">
        <f>csinterpolate(CSTableU1,'2843009902'!M18*1000000)</f>
        <v>454.88926216024532</v>
      </c>
      <c r="N20" s="7">
        <f>csinterpolate(CSTableU1,'2843009902'!N18*1000000)</f>
        <v>427.47836972276667</v>
      </c>
      <c r="O20" s="7">
        <f>csinterpolate(CSTableU1,'2843009902'!O18*1000000)</f>
        <v>402.83312447239575</v>
      </c>
      <c r="P20" s="7">
        <f>csinterpolate(CSTableU1,'2843009902'!P18*1000000)</f>
        <v>380.23018550397677</v>
      </c>
      <c r="Q20" s="7">
        <f>csinterpolate(CSTableU1,'2843009902'!Q18*1000000)</f>
        <v>357.44736765117688</v>
      </c>
      <c r="R20" s="7">
        <f>csinterpolate(CSTableU1,'2843009902'!R18*1000000)</f>
        <v>332.97368013372943</v>
      </c>
      <c r="S20" s="7">
        <f>csinterpolate(CSTableU1,'2843009902'!S18*1000000)</f>
        <v>307.37401889415759</v>
      </c>
      <c r="T20" s="7">
        <f>csinterpolate(CSTableU1,'2843009902'!T18*1000000)</f>
        <v>281.85019183342871</v>
      </c>
      <c r="U20" s="7">
        <f>csinterpolate(CSTableU1,'2843009902'!U18*1000000)</f>
        <v>257.92950133029149</v>
      </c>
      <c r="V20" s="7">
        <f>csinterpolate(CSTableU1,'2843009902'!V18*1000000)</f>
        <v>236.00672929316457</v>
      </c>
      <c r="W20" s="7">
        <f>csinterpolate(CSTableU1,'2843009902'!W18*1000000)</f>
        <v>215.60408190794925</v>
      </c>
      <c r="X20" s="7">
        <f>csinterpolate(CSTableU1,'2843009902'!X18*1000000)</f>
        <v>195.21399347255783</v>
      </c>
      <c r="Y20" s="7">
        <f>csinterpolate(CSTableU1,'2843009902'!Y18*1000000)</f>
        <v>174.27974215175146</v>
      </c>
      <c r="Z20" s="7">
        <f>csinterpolate(CSTableU1,'2843009902'!Z18*1000000)</f>
        <v>153.84964647256612</v>
      </c>
      <c r="AA20" s="7">
        <f>csinterpolate(CSTableU1,'2843009902'!AA18*1000000)</f>
        <v>135.12786624696804</v>
      </c>
      <c r="AB20" s="7">
        <f>csinterpolate(CSTableU1,'2843009902'!AB18*1000000)</f>
        <v>118.40234556946996</v>
      </c>
      <c r="AC20" s="7">
        <f>csinterpolate(CSTableU1,'2843009902'!AC18*1000000)</f>
        <v>103.3048971959132</v>
      </c>
      <c r="AD20" s="7">
        <f>csinterpolate(CSTableU1,'2843009902'!AD18*1000000)</f>
        <v>89.439575010350879</v>
      </c>
      <c r="AE20" s="7">
        <f>csinterpolate(CSTableU1,'2843009902'!AE18*1000000)</f>
        <v>76.963599787867167</v>
      </c>
    </row>
    <row r="21" spans="1:31" x14ac:dyDescent="0.2">
      <c r="A21" t="s">
        <v>10</v>
      </c>
      <c r="B21" s="5">
        <f t="shared" ref="B21:AE21" si="1">B19/$B$13*$B$16*B18*1000000</f>
        <v>71.426712713071169</v>
      </c>
      <c r="C21" s="5">
        <f t="shared" si="1"/>
        <v>102.7570754895395</v>
      </c>
      <c r="D21" s="5">
        <f t="shared" si="1"/>
        <v>141.78033761600113</v>
      </c>
      <c r="E21" s="5">
        <f t="shared" si="1"/>
        <v>190.01191764682153</v>
      </c>
      <c r="F21" s="5">
        <f t="shared" si="1"/>
        <v>249.0931495853514</v>
      </c>
      <c r="G21" s="5">
        <f t="shared" si="1"/>
        <v>320.18208177716065</v>
      </c>
      <c r="H21" s="5">
        <f t="shared" si="1"/>
        <v>403.79569089101545</v>
      </c>
      <c r="I21" s="5">
        <f t="shared" si="1"/>
        <v>499.72204610314753</v>
      </c>
      <c r="J21" s="5">
        <f t="shared" si="1"/>
        <v>607.34314091412523</v>
      </c>
      <c r="K21" s="5">
        <f t="shared" si="1"/>
        <v>725.50681043172449</v>
      </c>
      <c r="L21" s="5">
        <f t="shared" si="1"/>
        <v>852.9141977177195</v>
      </c>
      <c r="M21" s="5">
        <f t="shared" si="1"/>
        <v>988.56608348169118</v>
      </c>
      <c r="N21" s="5">
        <f t="shared" si="1"/>
        <v>1133.9950436263894</v>
      </c>
      <c r="O21" s="5">
        <f t="shared" si="1"/>
        <v>1290.4489071420865</v>
      </c>
      <c r="P21" s="5">
        <f t="shared" si="1"/>
        <v>1457.399146439436</v>
      </c>
      <c r="Q21" s="5">
        <f t="shared" si="1"/>
        <v>1637.0434848189873</v>
      </c>
      <c r="R21" s="5">
        <f t="shared" si="1"/>
        <v>1833.3028972892482</v>
      </c>
      <c r="S21" s="5">
        <f t="shared" si="1"/>
        <v>2049.4364518874609</v>
      </c>
      <c r="T21" s="5">
        <f t="shared" si="1"/>
        <v>2290.2579612847262</v>
      </c>
      <c r="U21" s="5">
        <f t="shared" si="1"/>
        <v>2552.1318514106683</v>
      </c>
      <c r="V21" s="5">
        <f t="shared" si="1"/>
        <v>2823.9887548297429</v>
      </c>
      <c r="W21" s="5">
        <f t="shared" si="1"/>
        <v>3100.5015909345689</v>
      </c>
      <c r="X21" s="5">
        <f t="shared" si="1"/>
        <v>3382.356864798775</v>
      </c>
      <c r="Y21" s="5">
        <f t="shared" si="1"/>
        <v>3679.4804315421352</v>
      </c>
      <c r="Z21" s="5">
        <f t="shared" si="1"/>
        <v>3996.2429585132695</v>
      </c>
      <c r="AA21" s="5">
        <f t="shared" si="1"/>
        <v>4330.0121167558891</v>
      </c>
      <c r="AB21" s="5">
        <f t="shared" si="1"/>
        <v>4673.0110610852853</v>
      </c>
      <c r="AC21" s="5">
        <f t="shared" si="1"/>
        <v>5007.0391760726452</v>
      </c>
      <c r="AD21" s="5">
        <f t="shared" si="1"/>
        <v>5293.7128533672676</v>
      </c>
      <c r="AE21" s="5">
        <f t="shared" si="1"/>
        <v>5518.209748206099</v>
      </c>
    </row>
    <row r="22" spans="1:31" x14ac:dyDescent="0.2">
      <c r="A22" t="s">
        <v>11</v>
      </c>
      <c r="B22" s="5">
        <f t="shared" ref="B22:AE22" si="2">B20/$B$13*$B$16*B18*1000000</f>
        <v>851.61142324217747</v>
      </c>
      <c r="C22" s="5">
        <f t="shared" si="2"/>
        <v>932.01371519702468</v>
      </c>
      <c r="D22" s="5">
        <f t="shared" si="2"/>
        <v>1009.6054480278282</v>
      </c>
      <c r="E22" s="5">
        <f t="shared" si="2"/>
        <v>1086.2271239951911</v>
      </c>
      <c r="F22" s="5">
        <f t="shared" si="2"/>
        <v>1170.3115926878561</v>
      </c>
      <c r="G22" s="5">
        <f t="shared" si="2"/>
        <v>1268.2729269489184</v>
      </c>
      <c r="H22" s="5">
        <f t="shared" si="2"/>
        <v>1382.02495231903</v>
      </c>
      <c r="I22" s="5">
        <f t="shared" si="2"/>
        <v>1507.7251146981364</v>
      </c>
      <c r="J22" s="5">
        <f t="shared" si="2"/>
        <v>1633.9096114852121</v>
      </c>
      <c r="K22" s="5">
        <f t="shared" si="2"/>
        <v>1755.2996281206433</v>
      </c>
      <c r="L22" s="5">
        <f t="shared" si="2"/>
        <v>1870.6270386887738</v>
      </c>
      <c r="M22" s="5">
        <f t="shared" si="2"/>
        <v>1984.3898948547978</v>
      </c>
      <c r="N22" s="5">
        <f t="shared" si="2"/>
        <v>2107.2395532569817</v>
      </c>
      <c r="O22" s="5">
        <f t="shared" si="2"/>
        <v>2243.8994047697697</v>
      </c>
      <c r="P22" s="5">
        <f t="shared" si="2"/>
        <v>2393.3336303741876</v>
      </c>
      <c r="Q22" s="5">
        <f t="shared" si="2"/>
        <v>2542.4194283745383</v>
      </c>
      <c r="R22" s="5">
        <f t="shared" si="2"/>
        <v>2676.2300636078839</v>
      </c>
      <c r="S22" s="5">
        <f t="shared" si="2"/>
        <v>2791.6382354333414</v>
      </c>
      <c r="T22" s="5">
        <f t="shared" si="2"/>
        <v>2892.6025230415335</v>
      </c>
      <c r="U22" s="5">
        <f t="shared" si="2"/>
        <v>2991.2305514201271</v>
      </c>
      <c r="V22" s="5">
        <f t="shared" si="2"/>
        <v>3092.7990205015249</v>
      </c>
      <c r="W22" s="5">
        <f t="shared" si="2"/>
        <v>3192.7339857304414</v>
      </c>
      <c r="X22" s="5">
        <f t="shared" si="2"/>
        <v>3266.5938924068587</v>
      </c>
      <c r="Y22" s="5">
        <f t="shared" si="2"/>
        <v>3295.4107346838155</v>
      </c>
      <c r="Z22" s="5">
        <f t="shared" si="2"/>
        <v>3287.2867516687302</v>
      </c>
      <c r="AA22" s="5">
        <f t="shared" si="2"/>
        <v>3262.6046389308276</v>
      </c>
      <c r="AB22" s="5">
        <f t="shared" si="2"/>
        <v>3230.4147137675964</v>
      </c>
      <c r="AC22" s="5">
        <f t="shared" si="2"/>
        <v>3184.9111931016746</v>
      </c>
      <c r="AD22" s="5">
        <f t="shared" si="2"/>
        <v>3115.9077232190639</v>
      </c>
      <c r="AE22" s="5">
        <f t="shared" si="2"/>
        <v>3029.8328978256354</v>
      </c>
    </row>
    <row r="23" spans="1:31" x14ac:dyDescent="0.2">
      <c r="A23" t="s">
        <v>12</v>
      </c>
      <c r="B23" s="5" t="str">
        <f t="shared" ref="B23:AE23" si="3">IMDIV(1,COMPLEX(B21,B22))</f>
        <v>0.0000977987538824491-0.00116604184655277i</v>
      </c>
      <c r="C23" s="5" t="str">
        <f t="shared" si="3"/>
        <v>0.000116874513747339-0.00106005984746609i</v>
      </c>
      <c r="D23" s="5" t="str">
        <f t="shared" si="3"/>
        <v>0.000136405310260402-0.000971330345903237i</v>
      </c>
      <c r="E23" s="5" t="str">
        <f t="shared" si="3"/>
        <v>0.000156260585372463-0.000893283370564276i</v>
      </c>
      <c r="F23" s="5" t="str">
        <f t="shared" si="3"/>
        <v>0.000173987020466448-0.000817441296029439i</v>
      </c>
      <c r="G23" s="5" t="str">
        <f t="shared" si="3"/>
        <v>0.000187127964472814-0.000741232394700667i</v>
      </c>
      <c r="H23" s="5" t="str">
        <f t="shared" si="3"/>
        <v>0.000194783952852325-0.000666664576234675i</v>
      </c>
      <c r="I23" s="5" t="str">
        <f t="shared" si="3"/>
        <v>0.000198069970043925-0.000597602348408485i</v>
      </c>
      <c r="J23" s="5" t="str">
        <f t="shared" si="3"/>
        <v>0.000199880823493744-0.000537730940974247i</v>
      </c>
      <c r="K23" s="5" t="str">
        <f t="shared" si="3"/>
        <v>0.000201114205801001-0.000486578052164952i</v>
      </c>
      <c r="L23" s="5" t="str">
        <f t="shared" si="3"/>
        <v>0.000201791599549053-0.000442573031738469i</v>
      </c>
      <c r="M23" s="5" t="str">
        <f t="shared" si="3"/>
        <v>0.000201129761444256-0.000403736151617557i</v>
      </c>
      <c r="N23" s="5" t="str">
        <f t="shared" si="3"/>
        <v>0.000198029196591542-0.000367986578162578i</v>
      </c>
      <c r="O23" s="5" t="str">
        <f t="shared" si="3"/>
        <v>0.0001925944570928-0.000334893218352663i</v>
      </c>
      <c r="P23" s="5" t="str">
        <f t="shared" si="3"/>
        <v>0.000185607279106417-0.000304803350690103i</v>
      </c>
      <c r="Q23" s="5" t="str">
        <f t="shared" si="3"/>
        <v>0.000179033013266347-0.000278048210368173i</v>
      </c>
      <c r="R23" s="5" t="str">
        <f t="shared" si="3"/>
        <v>0.000174215229305588-0.00025431696796822i</v>
      </c>
      <c r="S23" s="5" t="str">
        <f t="shared" si="3"/>
        <v>0.000170879873497498-0.000232763883984934i</v>
      </c>
      <c r="T23" s="5" t="str">
        <f t="shared" si="3"/>
        <v>0.000168247536427792-0.000212497132023307i</v>
      </c>
      <c r="U23" s="5" t="str">
        <f t="shared" si="3"/>
        <v>0.000165070740905263-0.000193471447436563i</v>
      </c>
      <c r="V23" s="5" t="str">
        <f t="shared" si="3"/>
        <v>0.000160999858245555-0.000176325136929505i</v>
      </c>
      <c r="W23" s="5" t="str">
        <f t="shared" si="3"/>
        <v>0.000156538332325639-0.000161194967661663i</v>
      </c>
      <c r="X23" s="5" t="str">
        <f t="shared" si="3"/>
        <v>0.000152971864700198-0.000147736320830086i</v>
      </c>
      <c r="Y23" s="5" t="str">
        <f t="shared" si="3"/>
        <v>0.000150808835102829-0.000135067182263756i</v>
      </c>
      <c r="Z23" s="5" t="str">
        <f t="shared" si="3"/>
        <v>0.000149246015934479-0.000122768924716048i</v>
      </c>
      <c r="AA23" s="5" t="str">
        <f t="shared" si="3"/>
        <v>0.000147311421749507-0.000110997132342328i</v>
      </c>
      <c r="AB23" s="5" t="str">
        <f t="shared" si="3"/>
        <v>0.000144798044825486-0.000100097716100932i</v>
      </c>
      <c r="AC23" s="5" t="str">
        <f t="shared" si="3"/>
        <v>0.000142188472461452-0.0000904442009634352i</v>
      </c>
      <c r="AD23" s="5" t="str">
        <f t="shared" si="3"/>
        <v>0.00014029667209215-0.0000825793722143042i</v>
      </c>
      <c r="AE23" s="5" t="str">
        <f t="shared" si="3"/>
        <v>0.000139241394838321-0.0000764519976714224i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0.0000125663706143592i</v>
      </c>
      <c r="C24" s="6" t="str">
        <f t="shared" si="4"/>
        <v>0.0000141999987942259i</v>
      </c>
      <c r="D24" s="6" t="str">
        <f t="shared" si="4"/>
        <v>0.0000160459986374752i</v>
      </c>
      <c r="E24" s="6" t="str">
        <f t="shared" si="4"/>
        <v>0.000018131978460347i</v>
      </c>
      <c r="F24" s="6" t="str">
        <f t="shared" si="4"/>
        <v>0.0000204891356601921i</v>
      </c>
      <c r="G24" s="6" t="str">
        <f t="shared" si="4"/>
        <v>0.0000231527232960171i</v>
      </c>
      <c r="H24" s="6" t="str">
        <f t="shared" si="4"/>
        <v>0.0000261625773244993i</v>
      </c>
      <c r="I24" s="6" t="str">
        <f t="shared" si="4"/>
        <v>0.0000295637123766842i</v>
      </c>
      <c r="J24" s="6" t="str">
        <f t="shared" si="4"/>
        <v>0.0000334069949856532i</v>
      </c>
      <c r="K24" s="6" t="str">
        <f t="shared" si="4"/>
        <v>0.0000377499043337881i</v>
      </c>
      <c r="L24" s="6" t="str">
        <f t="shared" si="4"/>
        <v>0.0000426573918971805i</v>
      </c>
      <c r="M24" s="6" t="str">
        <f t="shared" si="4"/>
        <v>0.0000482028528438139i</v>
      </c>
      <c r="N24" s="6" t="str">
        <f t="shared" si="4"/>
        <v>0.0000544692237135098i</v>
      </c>
      <c r="O24" s="6" t="str">
        <f t="shared" si="4"/>
        <v>0.000061550222796266i</v>
      </c>
      <c r="P24" s="6" t="str">
        <f t="shared" si="4"/>
        <v>0.0000695517517597806i</v>
      </c>
      <c r="Q24" s="6" t="str">
        <f t="shared" si="4"/>
        <v>0.0000785934794885521i</v>
      </c>
      <c r="R24" s="6" t="str">
        <f t="shared" si="4"/>
        <v>0.0000888106318220638i</v>
      </c>
      <c r="S24" s="6" t="str">
        <f t="shared" si="4"/>
        <v>0.000100356013958932i</v>
      </c>
      <c r="T24" s="6" t="str">
        <f t="shared" si="4"/>
        <v>0.000113402295773593i</v>
      </c>
      <c r="U24" s="6" t="str">
        <f t="shared" si="4"/>
        <v>0.00012814459422416i</v>
      </c>
      <c r="V24" s="6" t="str">
        <f t="shared" si="4"/>
        <v>0.000144803391473301i</v>
      </c>
      <c r="W24" s="6" t="str">
        <f t="shared" si="4"/>
        <v>0.00016362783236483i</v>
      </c>
      <c r="X24" s="6" t="str">
        <f t="shared" si="4"/>
        <v>0.000184899450572258i</v>
      </c>
      <c r="Y24" s="6" t="str">
        <f t="shared" si="4"/>
        <v>0.000208936379146652i</v>
      </c>
      <c r="Z24" s="6" t="str">
        <f t="shared" si="4"/>
        <v>0.000236098108435717i</v>
      </c>
      <c r="AA24" s="6" t="str">
        <f t="shared" si="4"/>
        <v>0.00026679086253236i</v>
      </c>
      <c r="AB24" s="6" t="str">
        <f t="shared" si="4"/>
        <v>0.000301473674661566i</v>
      </c>
      <c r="AC24" s="6" t="str">
        <f t="shared" si="4"/>
        <v>0.00034066525236757i</v>
      </c>
      <c r="AD24" s="6" t="str">
        <f t="shared" si="4"/>
        <v>0.000384951735175354i</v>
      </c>
      <c r="AE24" s="6" t="str">
        <f t="shared" si="4"/>
        <v>0.00043499546074815i</v>
      </c>
    </row>
    <row r="25" spans="1:31" x14ac:dyDescent="0.2">
      <c r="A25" t="s">
        <v>14</v>
      </c>
      <c r="B25" s="6" t="str">
        <f t="shared" ref="B25:AE25" si="5">IMDIV(1,IMSUM(B23,B24))</f>
        <v>72.9803175867995+860.757455700844i</v>
      </c>
      <c r="C25" s="6" t="str">
        <f t="shared" si="5"/>
        <v>105.531704909756+944.357921912754i</v>
      </c>
      <c r="D25" s="6" t="str">
        <f t="shared" si="5"/>
        <v>146.487362644313+1025.89176579131i</v>
      </c>
      <c r="E25" s="6" t="str">
        <f t="shared" si="5"/>
        <v>197.721290833998+1107.35578335068i</v>
      </c>
      <c r="F25" s="6" t="str">
        <f t="shared" si="5"/>
        <v>261.475675731031+1197.69626549837i</v>
      </c>
      <c r="G25" s="6" t="str">
        <f t="shared" si="5"/>
        <v>339.827779767887+1304.04571608188i</v>
      </c>
      <c r="H25" s="6" t="str">
        <f t="shared" si="5"/>
        <v>434.607498649714+1429.10628699242i</v>
      </c>
      <c r="I25" s="6" t="str">
        <f t="shared" si="5"/>
        <v>547.306400105473+1569.60280722233i</v>
      </c>
      <c r="J25" s="6" t="str">
        <f t="shared" si="5"/>
        <v>679.185283255741+1713.66815546283i</v>
      </c>
      <c r="K25" s="6" t="str">
        <f t="shared" si="5"/>
        <v>831.41588205809+1855.47733406154i</v>
      </c>
      <c r="L25" s="6" t="str">
        <f t="shared" si="5"/>
        <v>1005.67763499904+1993.07709425708i</v>
      </c>
      <c r="M25" s="6" t="str">
        <f t="shared" si="5"/>
        <v>1205.40122316164+2130.76508488446i</v>
      </c>
      <c r="N25" s="6" t="str">
        <f t="shared" si="5"/>
        <v>1440.12127873869+2279.98204894625i</v>
      </c>
      <c r="O25" s="6" t="str">
        <f t="shared" si="5"/>
        <v>1722.53061807226+2444.73120456739i</v>
      </c>
      <c r="P25" s="6" t="str">
        <f t="shared" si="5"/>
        <v>2067.04865775249+2619.92150385571i</v>
      </c>
      <c r="Q25" s="6" t="str">
        <f t="shared" si="5"/>
        <v>2492.2807763072+2776.56719532098i</v>
      </c>
      <c r="R25" s="6" t="str">
        <f t="shared" si="5"/>
        <v>3017.06430249381+2866.24344274299i</v>
      </c>
      <c r="S25" s="6" t="str">
        <f t="shared" si="5"/>
        <v>3656.60993456159+2833.35844673544i</v>
      </c>
      <c r="T25" s="6" t="str">
        <f t="shared" si="5"/>
        <v>4412.81631900502+2599.07110568328i</v>
      </c>
      <c r="U25" s="6" t="str">
        <f t="shared" si="5"/>
        <v>5237.68933793223+2072.81896643112i</v>
      </c>
      <c r="V25" s="6" t="str">
        <f t="shared" si="5"/>
        <v>5981.88377455762+1171.17753857034i</v>
      </c>
      <c r="W25" s="6" t="str">
        <f t="shared" si="5"/>
        <v>6386.66900589823-99.2594041626669i</v>
      </c>
      <c r="X25" s="6" t="str">
        <f t="shared" si="5"/>
        <v>6172.82766921734-1499.63260235329i</v>
      </c>
      <c r="Y25" s="6" t="str">
        <f t="shared" si="5"/>
        <v>5347.83804997241-2619.47850430577i</v>
      </c>
      <c r="Z25" s="6" t="str">
        <f t="shared" si="5"/>
        <v>4249.8587051904-3227.10804015432i</v>
      </c>
      <c r="AA25" s="6" t="str">
        <f t="shared" si="5"/>
        <v>3204.34890722609-3388.85785744429i</v>
      </c>
      <c r="AB25" s="6" t="str">
        <f t="shared" si="5"/>
        <v>2353.72213700232-3273.40781497072i</v>
      </c>
      <c r="AC25" s="6" t="str">
        <f t="shared" si="5"/>
        <v>1716.66874168937-3020.96681975805i</v>
      </c>
      <c r="AD25" s="6" t="str">
        <f t="shared" si="5"/>
        <v>1262.65765111581-2721.32454665758i</v>
      </c>
      <c r="AE25" s="6" t="str">
        <f t="shared" si="5"/>
        <v>941.191745706023-2423.54759744044i</v>
      </c>
    </row>
    <row r="26" spans="1:31" x14ac:dyDescent="0.2">
      <c r="A26" t="s">
        <v>6</v>
      </c>
      <c r="B26" s="17">
        <f t="shared" ref="B26:AE26" si="6">IMREAL(B25)</f>
        <v>72.980317586799501</v>
      </c>
      <c r="C26" s="17">
        <f t="shared" si="6"/>
        <v>105.531704909756</v>
      </c>
      <c r="D26" s="17">
        <f t="shared" si="6"/>
        <v>146.48736264431301</v>
      </c>
      <c r="E26" s="17">
        <f t="shared" si="6"/>
        <v>197.72129083399801</v>
      </c>
      <c r="F26" s="17">
        <f t="shared" si="6"/>
        <v>261.475675731031</v>
      </c>
      <c r="G26" s="17">
        <f t="shared" si="6"/>
        <v>339.82777976788702</v>
      </c>
      <c r="H26" s="17">
        <f t="shared" si="6"/>
        <v>434.60749864971399</v>
      </c>
      <c r="I26" s="17">
        <f t="shared" si="6"/>
        <v>547.30640010547302</v>
      </c>
      <c r="J26" s="17">
        <f t="shared" si="6"/>
        <v>679.18528325574096</v>
      </c>
      <c r="K26" s="17">
        <f t="shared" si="6"/>
        <v>831.41588205809001</v>
      </c>
      <c r="L26" s="17">
        <f t="shared" si="6"/>
        <v>1005.67763499904</v>
      </c>
      <c r="M26" s="17">
        <f t="shared" si="6"/>
        <v>1205.40122316164</v>
      </c>
      <c r="N26" s="17">
        <f t="shared" si="6"/>
        <v>1440.1212787386901</v>
      </c>
      <c r="O26" s="17">
        <f t="shared" si="6"/>
        <v>1722.53061807226</v>
      </c>
      <c r="P26" s="17">
        <f t="shared" si="6"/>
        <v>2067.0486577524898</v>
      </c>
      <c r="Q26" s="17">
        <f t="shared" si="6"/>
        <v>2492.2807763072001</v>
      </c>
      <c r="R26" s="17">
        <f t="shared" si="6"/>
        <v>3017.0643024938099</v>
      </c>
      <c r="S26" s="17">
        <f t="shared" si="6"/>
        <v>3656.6099345615899</v>
      </c>
      <c r="T26" s="17">
        <f t="shared" si="6"/>
        <v>4412.81631900502</v>
      </c>
      <c r="U26" s="17">
        <f t="shared" si="6"/>
        <v>5237.68933793223</v>
      </c>
      <c r="V26" s="17">
        <f t="shared" si="6"/>
        <v>5981.8837745576202</v>
      </c>
      <c r="W26" s="17">
        <f t="shared" si="6"/>
        <v>6386.6690058982304</v>
      </c>
      <c r="X26" s="17">
        <f t="shared" si="6"/>
        <v>6172.8276692173404</v>
      </c>
      <c r="Y26" s="17">
        <f t="shared" si="6"/>
        <v>5347.8380499724099</v>
      </c>
      <c r="Z26" s="17">
        <f t="shared" si="6"/>
        <v>4249.8587051903996</v>
      </c>
      <c r="AA26" s="17">
        <f t="shared" si="6"/>
        <v>3204.34890722609</v>
      </c>
      <c r="AB26" s="17">
        <f t="shared" si="6"/>
        <v>2353.7221370023199</v>
      </c>
      <c r="AC26" s="17">
        <f t="shared" si="6"/>
        <v>1716.6687416893701</v>
      </c>
      <c r="AD26" s="17">
        <f t="shared" si="6"/>
        <v>1262.65765111581</v>
      </c>
      <c r="AE26" s="17">
        <f t="shared" si="6"/>
        <v>941.19174570602297</v>
      </c>
    </row>
    <row r="27" spans="1:31" x14ac:dyDescent="0.2">
      <c r="A27" t="s">
        <v>7</v>
      </c>
      <c r="B27" s="5">
        <f t="shared" ref="B27:AE27" si="7">IMAGINARY(B25)</f>
        <v>860.75745570084405</v>
      </c>
      <c r="C27" s="5">
        <f t="shared" si="7"/>
        <v>944.35792191275402</v>
      </c>
      <c r="D27" s="5">
        <f t="shared" si="7"/>
        <v>1025.89176579131</v>
      </c>
      <c r="E27" s="5">
        <f t="shared" si="7"/>
        <v>1107.35578335068</v>
      </c>
      <c r="F27" s="5">
        <f t="shared" si="7"/>
        <v>1197.6962654983699</v>
      </c>
      <c r="G27" s="5">
        <f t="shared" si="7"/>
        <v>1304.0457160818801</v>
      </c>
      <c r="H27" s="5">
        <f t="shared" si="7"/>
        <v>1429.1062869924201</v>
      </c>
      <c r="I27" s="5">
        <f t="shared" si="7"/>
        <v>1569.6028072223301</v>
      </c>
      <c r="J27" s="5">
        <f t="shared" si="7"/>
        <v>1713.6681554628301</v>
      </c>
      <c r="K27" s="5">
        <f t="shared" si="7"/>
        <v>1855.47733406154</v>
      </c>
      <c r="L27" s="5">
        <f t="shared" si="7"/>
        <v>1993.07709425708</v>
      </c>
      <c r="M27" s="5">
        <f t="shared" si="7"/>
        <v>2130.7650848844601</v>
      </c>
      <c r="N27" s="5">
        <f t="shared" si="7"/>
        <v>2279.98204894625</v>
      </c>
      <c r="O27" s="5">
        <f t="shared" si="7"/>
        <v>2444.7312045673898</v>
      </c>
      <c r="P27" s="5">
        <f t="shared" si="7"/>
        <v>2619.9215038557099</v>
      </c>
      <c r="Q27" s="5">
        <f t="shared" si="7"/>
        <v>2776.5671953209799</v>
      </c>
      <c r="R27" s="5">
        <f t="shared" si="7"/>
        <v>2866.2434427429898</v>
      </c>
      <c r="S27" s="5">
        <f t="shared" si="7"/>
        <v>2833.3584467354399</v>
      </c>
      <c r="T27" s="5">
        <f t="shared" si="7"/>
        <v>2599.0711056832802</v>
      </c>
      <c r="U27" s="5">
        <f t="shared" si="7"/>
        <v>2072.8189664311199</v>
      </c>
      <c r="V27" s="5">
        <f t="shared" si="7"/>
        <v>1171.1775385703399</v>
      </c>
      <c r="W27" s="5">
        <f t="shared" si="7"/>
        <v>-99.259404162666897</v>
      </c>
      <c r="X27" s="5">
        <f t="shared" si="7"/>
        <v>-1499.6326023532899</v>
      </c>
      <c r="Y27" s="5">
        <f t="shared" si="7"/>
        <v>-2619.47850430577</v>
      </c>
      <c r="Z27" s="5">
        <f t="shared" si="7"/>
        <v>-3227.10804015432</v>
      </c>
      <c r="AA27" s="5">
        <f t="shared" si="7"/>
        <v>-3388.8578574442899</v>
      </c>
      <c r="AB27" s="5">
        <f t="shared" si="7"/>
        <v>-3273.4078149707202</v>
      </c>
      <c r="AC27" s="5">
        <f t="shared" si="7"/>
        <v>-3020.96681975805</v>
      </c>
      <c r="AD27" s="5">
        <f t="shared" si="7"/>
        <v>-2721.32454665758</v>
      </c>
      <c r="AE27" s="5">
        <f t="shared" si="7"/>
        <v>-2423.5475974404399</v>
      </c>
    </row>
    <row r="28" spans="1:31" x14ac:dyDescent="0.2">
      <c r="A28" t="s">
        <v>15</v>
      </c>
      <c r="B28" s="5">
        <f t="shared" ref="B28:AE28" si="8">IMABS(B25)</f>
        <v>863.84577576073195</v>
      </c>
      <c r="C28" s="5">
        <f t="shared" si="8"/>
        <v>950.23619454351194</v>
      </c>
      <c r="D28" s="5">
        <f t="shared" si="8"/>
        <v>1036.2974778184584</v>
      </c>
      <c r="E28" s="5">
        <f t="shared" si="8"/>
        <v>1124.8691211733303</v>
      </c>
      <c r="F28" s="5">
        <f t="shared" si="8"/>
        <v>1225.906143792314</v>
      </c>
      <c r="G28" s="5">
        <f t="shared" si="8"/>
        <v>1347.5971762858051</v>
      </c>
      <c r="H28" s="5">
        <f t="shared" si="8"/>
        <v>1493.7297136375855</v>
      </c>
      <c r="I28" s="5">
        <f t="shared" si="8"/>
        <v>1662.2867586660948</v>
      </c>
      <c r="J28" s="5">
        <f t="shared" si="8"/>
        <v>1843.3532477630431</v>
      </c>
      <c r="K28" s="5">
        <f t="shared" si="8"/>
        <v>2033.2359691276738</v>
      </c>
      <c r="L28" s="5">
        <f t="shared" si="8"/>
        <v>2232.4300233578447</v>
      </c>
      <c r="M28" s="5">
        <f t="shared" si="8"/>
        <v>2448.0914925227485</v>
      </c>
      <c r="N28" s="5">
        <f t="shared" si="8"/>
        <v>2696.7141934200404</v>
      </c>
      <c r="O28" s="5">
        <f t="shared" si="8"/>
        <v>2990.6224089279349</v>
      </c>
      <c r="P28" s="5">
        <f t="shared" si="8"/>
        <v>3337.1662889166814</v>
      </c>
      <c r="Q28" s="5">
        <f t="shared" si="8"/>
        <v>3731.0573378176641</v>
      </c>
      <c r="R28" s="5">
        <f t="shared" si="8"/>
        <v>4161.4935393978021</v>
      </c>
      <c r="S28" s="5">
        <f t="shared" si="8"/>
        <v>4625.8746525626457</v>
      </c>
      <c r="T28" s="5">
        <f t="shared" si="8"/>
        <v>5121.339519859499</v>
      </c>
      <c r="U28" s="5">
        <f t="shared" si="8"/>
        <v>5632.936007828026</v>
      </c>
      <c r="V28" s="5">
        <f t="shared" si="8"/>
        <v>6095.4565308242009</v>
      </c>
      <c r="W28" s="5">
        <f t="shared" si="8"/>
        <v>6387.4402870176273</v>
      </c>
      <c r="X28" s="5">
        <f t="shared" si="8"/>
        <v>6352.3774585501515</v>
      </c>
      <c r="Y28" s="5">
        <f t="shared" si="8"/>
        <v>5954.9172490684286</v>
      </c>
      <c r="Z28" s="5">
        <f t="shared" si="8"/>
        <v>5336.2463695852048</v>
      </c>
      <c r="AA28" s="5">
        <f t="shared" si="8"/>
        <v>4663.9264034934058</v>
      </c>
      <c r="AB28" s="5">
        <f t="shared" si="8"/>
        <v>4031.774624321919</v>
      </c>
      <c r="AC28" s="5">
        <f t="shared" si="8"/>
        <v>3474.6499240603262</v>
      </c>
      <c r="AD28" s="5">
        <f t="shared" si="8"/>
        <v>2999.9852719909104</v>
      </c>
      <c r="AE28" s="5">
        <f t="shared" si="8"/>
        <v>2599.889393655907</v>
      </c>
    </row>
    <row r="30" spans="1:31" x14ac:dyDescent="0.2">
      <c r="A30" s="18" t="s">
        <v>38</v>
      </c>
      <c r="B30" t="str">
        <f>IMDIV(1,B25)</f>
        <v>0.000097798753882449-0.00115347547593841i</v>
      </c>
      <c r="C30" t="str">
        <f t="shared" ref="C30:AE30" si="9">IMDIV(1,C25)</f>
        <v>0.000116874513747339-0.00104585984867186i</v>
      </c>
      <c r="D30" t="str">
        <f t="shared" si="9"/>
        <v>0.000136405310260403-0.000955284347265765i</v>
      </c>
      <c r="E30" t="str">
        <f t="shared" si="9"/>
        <v>0.000156260585372462-0.000875151392103926i</v>
      </c>
      <c r="F30" t="str">
        <f t="shared" si="9"/>
        <v>0.000173987020466449-0.000796952160369248i</v>
      </c>
      <c r="G30" t="str">
        <f t="shared" si="9"/>
        <v>0.000187127964472815-0.000718079671404651i</v>
      </c>
      <c r="H30" t="str">
        <f t="shared" si="9"/>
        <v>0.000194783952852326-0.000640501998910177i</v>
      </c>
      <c r="I30" t="str">
        <f t="shared" si="9"/>
        <v>0.000198069970043926-0.000568038636031802i</v>
      </c>
      <c r="J30" t="str">
        <f t="shared" si="9"/>
        <v>0.000199880823493744-0.000504323945988594i</v>
      </c>
      <c r="K30" t="str">
        <f t="shared" si="9"/>
        <v>0.000201114205801002-0.000448828147831165i</v>
      </c>
      <c r="L30" t="str">
        <f t="shared" si="9"/>
        <v>0.000201791599549053-0.000399915639841288i</v>
      </c>
      <c r="M30" t="str">
        <f t="shared" si="9"/>
        <v>0.000201129761444256-0.000355533298773742i</v>
      </c>
      <c r="N30" t="str">
        <f t="shared" si="9"/>
        <v>0.000198029196591542-0.000313517354449068i</v>
      </c>
      <c r="O30" t="str">
        <f t="shared" si="9"/>
        <v>0.0001925944570928-0.000273342995556397i</v>
      </c>
      <c r="P30" t="str">
        <f t="shared" si="9"/>
        <v>0.000185607279106417-0.000235251598930322i</v>
      </c>
      <c r="Q30" t="str">
        <f t="shared" si="9"/>
        <v>0.000179033013266347-0.000199454730879621i</v>
      </c>
      <c r="R30" t="str">
        <f t="shared" si="9"/>
        <v>0.000174215229305588-0.000165506336146156i</v>
      </c>
      <c r="S30" t="str">
        <f t="shared" si="9"/>
        <v>0.000170879873497498-0.000132407870026002i</v>
      </c>
      <c r="T30" t="str">
        <f t="shared" si="9"/>
        <v>0.000168247536427792-0.0000990948362497142i</v>
      </c>
      <c r="U30" t="str">
        <f t="shared" si="9"/>
        <v>0.000165070740905263-0.0000653268532124029i</v>
      </c>
      <c r="V30" t="str">
        <f t="shared" si="9"/>
        <v>0.000160999858245555-0.0000315217454562041i</v>
      </c>
      <c r="W30" t="str">
        <f t="shared" si="9"/>
        <v>0.000156538332325639+0.000002432864703167i</v>
      </c>
      <c r="X30" t="str">
        <f t="shared" si="9"/>
        <v>0.000152971864700198+0.000037163129742172i</v>
      </c>
      <c r="Y30" t="str">
        <f t="shared" si="9"/>
        <v>0.000150808835102829+0.0000738691968828959i</v>
      </c>
      <c r="Z30" t="str">
        <f t="shared" si="9"/>
        <v>0.000149246015934479+0.000113329183719669i</v>
      </c>
      <c r="AA30" t="str">
        <f t="shared" si="9"/>
        <v>0.000147311421749507+0.000155793730190032i</v>
      </c>
      <c r="AB30" t="str">
        <f t="shared" si="9"/>
        <v>0.000144798044825486+0.000201375958560634i</v>
      </c>
      <c r="AC30" t="str">
        <f t="shared" si="9"/>
        <v>0.000142188472461452+0.000250221051404135i</v>
      </c>
      <c r="AD30" t="str">
        <f t="shared" si="9"/>
        <v>0.00014029667209215+0.00030237236296105i</v>
      </c>
      <c r="AE30" t="str">
        <f t="shared" si="9"/>
        <v>0.000139241394838321+0.000358543463076728i</v>
      </c>
    </row>
    <row r="31" spans="1:31" x14ac:dyDescent="0.2">
      <c r="A31" s="18" t="s">
        <v>39</v>
      </c>
      <c r="B31" s="19">
        <f t="shared" ref="B31:AE31" si="10">IMREAL(B30)</f>
        <v>9.7798753882448995E-5</v>
      </c>
      <c r="C31" s="19">
        <f t="shared" si="10"/>
        <v>1.16874513747339E-4</v>
      </c>
      <c r="D31" s="19">
        <f t="shared" si="10"/>
        <v>1.3640531026040299E-4</v>
      </c>
      <c r="E31" s="19">
        <f t="shared" si="10"/>
        <v>1.5626058537246201E-4</v>
      </c>
      <c r="F31" s="19">
        <f t="shared" si="10"/>
        <v>1.73987020466449E-4</v>
      </c>
      <c r="G31" s="19">
        <f t="shared" si="10"/>
        <v>1.8712796447281499E-4</v>
      </c>
      <c r="H31" s="19">
        <f t="shared" si="10"/>
        <v>1.9478395285232601E-4</v>
      </c>
      <c r="I31" s="19">
        <f t="shared" si="10"/>
        <v>1.9806997004392601E-4</v>
      </c>
      <c r="J31" s="19">
        <f t="shared" si="10"/>
        <v>1.99880823493744E-4</v>
      </c>
      <c r="K31" s="19">
        <f t="shared" si="10"/>
        <v>2.0111420580100201E-4</v>
      </c>
      <c r="L31" s="19">
        <f t="shared" si="10"/>
        <v>2.01791599549053E-4</v>
      </c>
      <c r="M31" s="19">
        <f t="shared" si="10"/>
        <v>2.0112976144425599E-4</v>
      </c>
      <c r="N31" s="19">
        <f t="shared" si="10"/>
        <v>1.9802919659154199E-4</v>
      </c>
      <c r="O31" s="19">
        <f t="shared" si="10"/>
        <v>1.925944570928E-4</v>
      </c>
      <c r="P31" s="19">
        <f t="shared" si="10"/>
        <v>1.85607279106417E-4</v>
      </c>
      <c r="Q31" s="19">
        <f t="shared" si="10"/>
        <v>1.79033013266347E-4</v>
      </c>
      <c r="R31" s="19">
        <f t="shared" si="10"/>
        <v>1.74215229305588E-4</v>
      </c>
      <c r="S31" s="19">
        <f t="shared" si="10"/>
        <v>1.7087987349749799E-4</v>
      </c>
      <c r="T31" s="19">
        <f t="shared" si="10"/>
        <v>1.68247536427792E-4</v>
      </c>
      <c r="U31" s="19">
        <f t="shared" si="10"/>
        <v>1.6507074090526299E-4</v>
      </c>
      <c r="V31" s="19">
        <f t="shared" si="10"/>
        <v>1.60999858245555E-4</v>
      </c>
      <c r="W31" s="19">
        <f t="shared" si="10"/>
        <v>1.56538332325639E-4</v>
      </c>
      <c r="X31" s="19">
        <f t="shared" si="10"/>
        <v>1.5297186470019801E-4</v>
      </c>
      <c r="Y31" s="19">
        <f t="shared" si="10"/>
        <v>1.5080883510282901E-4</v>
      </c>
      <c r="Z31" s="19">
        <f t="shared" si="10"/>
        <v>1.4924601593447901E-4</v>
      </c>
      <c r="AA31" s="19">
        <f t="shared" si="10"/>
        <v>1.4731142174950699E-4</v>
      </c>
      <c r="AB31" s="19">
        <f t="shared" si="10"/>
        <v>1.4479804482548601E-4</v>
      </c>
      <c r="AC31" s="19">
        <f t="shared" si="10"/>
        <v>1.42188472461452E-4</v>
      </c>
      <c r="AD31" s="19">
        <f t="shared" si="10"/>
        <v>1.4029667209215001E-4</v>
      </c>
      <c r="AE31" s="19">
        <f t="shared" si="10"/>
        <v>1.3924139483832099E-4</v>
      </c>
    </row>
    <row r="32" spans="1:31" x14ac:dyDescent="0.2">
      <c r="A32" s="18" t="s">
        <v>40</v>
      </c>
      <c r="B32" s="19">
        <f t="shared" ref="B32:AE32" si="11">IMAGINARY(B30)</f>
        <v>-1.1534754759384099E-3</v>
      </c>
      <c r="C32" s="19">
        <f t="shared" si="11"/>
        <v>-1.0458598486718599E-3</v>
      </c>
      <c r="D32" s="19">
        <f t="shared" si="11"/>
        <v>-9.5528434726576501E-4</v>
      </c>
      <c r="E32" s="19">
        <f t="shared" si="11"/>
        <v>-8.7515139210392605E-4</v>
      </c>
      <c r="F32" s="19">
        <f t="shared" si="11"/>
        <v>-7.9695216036924801E-4</v>
      </c>
      <c r="G32" s="19">
        <f t="shared" si="11"/>
        <v>-7.18079671404651E-4</v>
      </c>
      <c r="H32" s="19">
        <f t="shared" si="11"/>
        <v>-6.4050199891017704E-4</v>
      </c>
      <c r="I32" s="19">
        <f t="shared" si="11"/>
        <v>-5.6803863603180197E-4</v>
      </c>
      <c r="J32" s="19">
        <f t="shared" si="11"/>
        <v>-5.0432394598859398E-4</v>
      </c>
      <c r="K32" s="19">
        <f t="shared" si="11"/>
        <v>-4.4882814783116503E-4</v>
      </c>
      <c r="L32" s="19">
        <f t="shared" si="11"/>
        <v>-3.9991563984128801E-4</v>
      </c>
      <c r="M32" s="19">
        <f t="shared" si="11"/>
        <v>-3.5553329877374202E-4</v>
      </c>
      <c r="N32" s="19">
        <f t="shared" si="11"/>
        <v>-3.13517354449068E-4</v>
      </c>
      <c r="O32" s="19">
        <f t="shared" si="11"/>
        <v>-2.7334299555639702E-4</v>
      </c>
      <c r="P32" s="19">
        <f t="shared" si="11"/>
        <v>-2.3525159893032199E-4</v>
      </c>
      <c r="Q32" s="19">
        <f t="shared" si="11"/>
        <v>-1.9945473087962099E-4</v>
      </c>
      <c r="R32" s="19">
        <f t="shared" si="11"/>
        <v>-1.6550633614615599E-4</v>
      </c>
      <c r="S32" s="19">
        <f t="shared" si="11"/>
        <v>-1.32407870026002E-4</v>
      </c>
      <c r="T32" s="19">
        <f t="shared" si="11"/>
        <v>-9.9094836249714194E-5</v>
      </c>
      <c r="U32" s="19">
        <f t="shared" si="11"/>
        <v>-6.5326853212402901E-5</v>
      </c>
      <c r="V32" s="19">
        <f t="shared" si="11"/>
        <v>-3.1521745456204102E-5</v>
      </c>
      <c r="W32" s="19">
        <f t="shared" si="11"/>
        <v>2.4328647031670002E-6</v>
      </c>
      <c r="X32" s="19">
        <f t="shared" si="11"/>
        <v>3.7163129742171999E-5</v>
      </c>
      <c r="Y32" s="19">
        <f t="shared" si="11"/>
        <v>7.3869196882895899E-5</v>
      </c>
      <c r="Z32" s="19">
        <f t="shared" si="11"/>
        <v>1.1332918371966899E-4</v>
      </c>
      <c r="AA32" s="19">
        <f t="shared" si="11"/>
        <v>1.5579373019003199E-4</v>
      </c>
      <c r="AB32" s="19">
        <f t="shared" si="11"/>
        <v>2.01375958560634E-4</v>
      </c>
      <c r="AC32" s="19">
        <f t="shared" si="11"/>
        <v>2.5022105140413498E-4</v>
      </c>
      <c r="AD32" s="19">
        <f t="shared" si="11"/>
        <v>3.0237236296105002E-4</v>
      </c>
      <c r="AE32" s="19">
        <f t="shared" si="11"/>
        <v>3.5854346307672802E-4</v>
      </c>
    </row>
    <row r="37" spans="1:3" x14ac:dyDescent="0.2">
      <c r="A37" s="8" t="s">
        <v>20</v>
      </c>
      <c r="B37" s="8" t="s">
        <v>21</v>
      </c>
      <c r="C37" s="11" t="s">
        <v>22</v>
      </c>
    </row>
    <row r="38" spans="1:3" x14ac:dyDescent="0.2">
      <c r="A38" t="s">
        <v>23</v>
      </c>
      <c r="B38" t="str">
        <f ca="1">CubicSpline_version("v")</f>
        <v>1.04</v>
      </c>
      <c r="C38" s="13">
        <f ca="1">CubicSpline_version("d")</f>
        <v>41705</v>
      </c>
    </row>
    <row r="39" spans="1:3" x14ac:dyDescent="0.2">
      <c r="A39" s="12"/>
    </row>
    <row r="40" spans="1:3" x14ac:dyDescent="0.2">
      <c r="A40" t="s">
        <v>24</v>
      </c>
    </row>
    <row r="65" spans="2:31" x14ac:dyDescent="0.2">
      <c r="B65" s="15">
        <f>1/IMREAL(IMDIV(1,B25))</f>
        <v>10225.079157981587</v>
      </c>
      <c r="C65" s="15">
        <f t="shared" ref="C65:AE65" si="12">1/IMREAL(IMDIV(1,C25))</f>
        <v>8556.185330206501</v>
      </c>
      <c r="D65" s="15">
        <f t="shared" si="12"/>
        <v>7331.0928884730474</v>
      </c>
      <c r="E65" s="15">
        <f t="shared" si="12"/>
        <v>6399.5664525152306</v>
      </c>
      <c r="F65" s="15">
        <f t="shared" si="12"/>
        <v>5747.5551757772428</v>
      </c>
      <c r="G65" s="15">
        <f t="shared" si="12"/>
        <v>5343.9367163387005</v>
      </c>
      <c r="H65" s="15">
        <f t="shared" si="12"/>
        <v>5133.8931434364231</v>
      </c>
      <c r="I65" s="15">
        <f t="shared" si="12"/>
        <v>5048.7209130098308</v>
      </c>
      <c r="J65" s="15">
        <f t="shared" si="12"/>
        <v>5002.981189094904</v>
      </c>
      <c r="K65" s="15">
        <f t="shared" si="12"/>
        <v>4972.2991770629942</v>
      </c>
      <c r="L65" s="15">
        <f t="shared" si="12"/>
        <v>4955.6076775976626</v>
      </c>
      <c r="M65" s="15">
        <f t="shared" si="12"/>
        <v>4971.9146128314505</v>
      </c>
      <c r="N65" s="15">
        <f t="shared" si="12"/>
        <v>5049.760425290292</v>
      </c>
      <c r="O65" s="15">
        <f t="shared" si="12"/>
        <v>5192.2574257584083</v>
      </c>
      <c r="P65" s="15">
        <f t="shared" si="12"/>
        <v>5387.719731760385</v>
      </c>
      <c r="Q65" s="15">
        <f t="shared" si="12"/>
        <v>5585.5620243195162</v>
      </c>
      <c r="R65" s="15">
        <f t="shared" si="12"/>
        <v>5740.0263110518135</v>
      </c>
      <c r="S65" s="15">
        <f t="shared" si="12"/>
        <v>5852.0642573781042</v>
      </c>
      <c r="T65" s="15">
        <f t="shared" si="12"/>
        <v>5943.6234326627255</v>
      </c>
      <c r="U65" s="15">
        <f t="shared" si="12"/>
        <v>6058.0087937808285</v>
      </c>
      <c r="V65" s="15">
        <f t="shared" si="12"/>
        <v>6211.185592938923</v>
      </c>
      <c r="W65" s="15">
        <f t="shared" si="12"/>
        <v>6388.2116612801847</v>
      </c>
      <c r="X65" s="15">
        <f t="shared" si="12"/>
        <v>6537.1498344473375</v>
      </c>
      <c r="Y65" s="15">
        <f t="shared" si="12"/>
        <v>6630.9112414942401</v>
      </c>
      <c r="Z65" s="15">
        <f t="shared" si="12"/>
        <v>6700.3463626058419</v>
      </c>
      <c r="AA65" s="15">
        <f t="shared" si="12"/>
        <v>6788.3398865054178</v>
      </c>
      <c r="AB65" s="15">
        <f t="shared" si="12"/>
        <v>6906.1705992316638</v>
      </c>
      <c r="AC65" s="15">
        <f t="shared" si="12"/>
        <v>7032.9189327995973</v>
      </c>
      <c r="AD65" s="15">
        <f t="shared" si="12"/>
        <v>7127.7528189918685</v>
      </c>
      <c r="AE65" s="15">
        <f t="shared" si="12"/>
        <v>7181.7723541274618</v>
      </c>
    </row>
    <row r="66" spans="2:31" x14ac:dyDescent="0.2">
      <c r="B66" s="15">
        <f>-1/IMAGINARY(IMDIV(1,B25))</f>
        <v>866.94517643424535</v>
      </c>
      <c r="C66" s="15">
        <f t="shared" ref="C66:AE66" si="13">-1/IMAGINARY(IMDIV(1,C25))</f>
        <v>956.15105720895826</v>
      </c>
      <c r="D66" s="15">
        <f t="shared" si="13"/>
        <v>1046.8087359143076</v>
      </c>
      <c r="E66" s="15">
        <f t="shared" si="13"/>
        <v>1142.6594404379898</v>
      </c>
      <c r="F66" s="15">
        <f t="shared" si="13"/>
        <v>1254.7804620250665</v>
      </c>
      <c r="G66" s="15">
        <f t="shared" si="13"/>
        <v>1392.6031328026299</v>
      </c>
      <c r="H66" s="15">
        <f t="shared" si="13"/>
        <v>1561.2753772845576</v>
      </c>
      <c r="I66" s="15">
        <f t="shared" si="13"/>
        <v>1760.4436328236209</v>
      </c>
      <c r="J66" s="15">
        <f t="shared" si="13"/>
        <v>1982.8525057238041</v>
      </c>
      <c r="K66" s="15">
        <f t="shared" si="13"/>
        <v>2228.0242556805247</v>
      </c>
      <c r="L66" s="15">
        <f t="shared" si="13"/>
        <v>2500.5273622128498</v>
      </c>
      <c r="M66" s="15">
        <f t="shared" si="13"/>
        <v>2812.6760656429833</v>
      </c>
      <c r="N66" s="15">
        <f t="shared" si="13"/>
        <v>3189.6160955978389</v>
      </c>
      <c r="O66" s="15">
        <f t="shared" si="13"/>
        <v>3658.4072621450318</v>
      </c>
      <c r="P66" s="15">
        <f t="shared" si="13"/>
        <v>4250.7681331262065</v>
      </c>
      <c r="Q66" s="15">
        <f t="shared" si="13"/>
        <v>5013.6689944122736</v>
      </c>
      <c r="R66" s="15">
        <f t="shared" si="13"/>
        <v>6042.0647528377167</v>
      </c>
      <c r="S66" s="15">
        <f t="shared" si="13"/>
        <v>7552.42116502306</v>
      </c>
      <c r="T66" s="15">
        <f t="shared" si="13"/>
        <v>10091.343180385791</v>
      </c>
      <c r="U66" s="15">
        <f t="shared" si="13"/>
        <v>15307.640745354942</v>
      </c>
      <c r="V66" s="15">
        <f t="shared" si="13"/>
        <v>31724.131564649135</v>
      </c>
      <c r="W66" s="15">
        <f t="shared" si="13"/>
        <v>-411038.0650014127</v>
      </c>
      <c r="X66" s="15">
        <f t="shared" si="13"/>
        <v>-26908.390303446897</v>
      </c>
      <c r="Y66" s="15">
        <f t="shared" si="13"/>
        <v>-13537.442427935017</v>
      </c>
      <c r="Z66" s="15">
        <f t="shared" si="13"/>
        <v>-8823.8524904017613</v>
      </c>
      <c r="AA66" s="15">
        <f t="shared" si="13"/>
        <v>-6418.7435449439035</v>
      </c>
      <c r="AB66" s="15">
        <f t="shared" si="13"/>
        <v>-4965.8360766978121</v>
      </c>
      <c r="AC66" s="15">
        <f t="shared" si="13"/>
        <v>-3996.4663020494154</v>
      </c>
      <c r="AD66" s="15">
        <f t="shared" si="13"/>
        <v>-3307.1805577972568</v>
      </c>
      <c r="AE66" s="15">
        <f t="shared" si="13"/>
        <v>-2789.0621444296162</v>
      </c>
    </row>
  </sheetData>
  <hyperlinks>
    <hyperlink ref="A4" r:id="rId1" xr:uid="{00000000-0004-0000-0B00-000000000000}"/>
  </hyperlinks>
  <pageMargins left="0.75" right="0.75" top="1" bottom="1" header="0.5" footer="0.5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E35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2*2300</f>
        <v>4600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7.2256631032565255E-4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csinterpolate(CSTableU2,'2643167851x2 (2)'!B18*1000000)</f>
        <v>62.806156889999997</v>
      </c>
      <c r="C19" s="7">
        <f>csinterpolate(CSTableU2,'2643167851x2 (2)'!C18*1000000)</f>
        <v>88.590879034678693</v>
      </c>
      <c r="D19" s="7">
        <f>csinterpolate(CSTableU2,'2643167851x2 (2)'!D18*1000000)</f>
        <v>149.31944870511313</v>
      </c>
      <c r="E19" s="7">
        <f>csinterpolate(CSTableU2,'2643167851x2 (2)'!E18*1000000)</f>
        <v>164.84693443845484</v>
      </c>
      <c r="F19" s="7">
        <f>csinterpolate(CSTableU2,'2643167851x2 (2)'!F18*1000000)</f>
        <v>194.09240685957292</v>
      </c>
      <c r="G19" s="7">
        <f>csinterpolate(CSTableU2,'2643167851x2 (2)'!G18*1000000)</f>
        <v>212.25123818145755</v>
      </c>
      <c r="H19" s="7">
        <f>csinterpolate(CSTableU2,'2643167851x2 (2)'!H18*1000000)</f>
        <v>222.61469783871939</v>
      </c>
      <c r="I19" s="7">
        <f>csinterpolate(CSTableU2,'2643167851x2 (2)'!I18*1000000)</f>
        <v>227.99294072128737</v>
      </c>
      <c r="J19" s="7">
        <f>csinterpolate(CSTableU2,'2643167851x2 (2)'!J18*1000000)</f>
        <v>230.73650181843422</v>
      </c>
      <c r="K19" s="7">
        <f>csinterpolate(CSTableU2,'2643167851x2 (2)'!K18*1000000)</f>
        <v>231.76055744625637</v>
      </c>
      <c r="L19" s="7">
        <f>csinterpolate(CSTableU2,'2643167851x2 (2)'!L18*1000000)</f>
        <v>231.5816749650173</v>
      </c>
      <c r="M19" s="7">
        <f>csinterpolate(CSTableU2,'2643167851x2 (2)'!M18*1000000)</f>
        <v>230.71610985828033</v>
      </c>
      <c r="N19" s="7">
        <f>csinterpolate(CSTableU2,'2643167851x2 (2)'!N18*1000000)</f>
        <v>228.27786020805809</v>
      </c>
      <c r="O19" s="7">
        <f>csinterpolate(CSTableU2,'2643167851x2 (2)'!O18*1000000)</f>
        <v>225.61849570541494</v>
      </c>
      <c r="P19" s="7">
        <f>csinterpolate(CSTableU2,'2643167851x2 (2)'!P18*1000000)</f>
        <v>223.21661937748814</v>
      </c>
      <c r="Q19" s="7">
        <f>csinterpolate(CSTableU2,'2643167851x2 (2)'!Q18*1000000)</f>
        <v>220.6469586</v>
      </c>
      <c r="R19" s="7">
        <f>csinterpolate(CSTableU2,'2643167851x2 (2)'!R18*1000000)</f>
        <v>217.42371569860856</v>
      </c>
      <c r="S19" s="7">
        <f>csinterpolate(CSTableU2,'2643167851x2 (2)'!S18*1000000)</f>
        <v>213.62398562766845</v>
      </c>
      <c r="T19" s="7">
        <f>csinterpolate(CSTableU2,'2643167851x2 (2)'!T18*1000000)</f>
        <v>209.4656387187986</v>
      </c>
      <c r="U19" s="7">
        <f>csinterpolate(CSTableU2,'2643167851x2 (2)'!U18*1000000)</f>
        <v>205.16650282262194</v>
      </c>
      <c r="V19" s="7">
        <f>csinterpolate(CSTableU2,'2643167851x2 (2)'!V18*1000000)</f>
        <v>200.94438123173398</v>
      </c>
      <c r="W19" s="7">
        <f>csinterpolate(CSTableU2,'2643167851x2 (2)'!W18*1000000)</f>
        <v>196.96248291112678</v>
      </c>
      <c r="X19" s="7">
        <f>csinterpolate(CSTableU2,'2643167851x2 (2)'!X18*1000000)</f>
        <v>193.22040777268447</v>
      </c>
      <c r="Y19" s="7">
        <f>csinterpolate(CSTableU2,'2643167851x2 (2)'!Y18*1000000)</f>
        <v>189.68726462651435</v>
      </c>
      <c r="Z19" s="7">
        <f>csinterpolate(CSTableU2,'2643167851x2 (2)'!Z18*1000000)</f>
        <v>186.33214134317572</v>
      </c>
      <c r="AA19" s="7">
        <f>csinterpolate(CSTableU2,'2643167851x2 (2)'!AA18*1000000)</f>
        <v>177.04080458652163</v>
      </c>
      <c r="AB19" s="7">
        <f>csinterpolate(CSTableU2,'2643167851x2 (2)'!AB18*1000000)</f>
        <v>171.24984986633834</v>
      </c>
      <c r="AC19" s="7">
        <f>csinterpolate(CSTableU2,'2643167851x2 (2)'!AC18*1000000)</f>
        <v>165.57249087919985</v>
      </c>
      <c r="AD19" s="7">
        <f>csinterpolate(CSTableU2,'2643167851x2 (2)'!AD18*1000000)</f>
        <v>159.82992478445121</v>
      </c>
      <c r="AE19" s="7">
        <f>csinterpolate(CSTableU2,'2643167851x2 (2)'!AE18*1000000)</f>
        <v>153.87192534130403</v>
      </c>
    </row>
    <row r="20" spans="1:31" x14ac:dyDescent="0.2">
      <c r="A20" t="s">
        <v>3</v>
      </c>
      <c r="B20" s="7">
        <f>csinterpolate(CSTableU1,'2643167851x2 (2)'!B18*1000000)</f>
        <v>748.82965526252349</v>
      </c>
      <c r="C20" s="7">
        <f>csinterpolate(CSTableU1,'2643167851x2 (2)'!C18*1000000)</f>
        <v>711.16368591923231</v>
      </c>
      <c r="D20" s="7">
        <f>csinterpolate(CSTableU1,'2643167851x2 (2)'!D18*1000000)</f>
        <v>609.84521067104197</v>
      </c>
      <c r="E20" s="7">
        <f>csinterpolate(CSTableU1,'2643167851x2 (2)'!E18*1000000)</f>
        <v>590.43683517566922</v>
      </c>
      <c r="F20" s="7">
        <f>csinterpolate(CSTableU1,'2643167851x2 (2)'!F18*1000000)</f>
        <v>552.51543169258457</v>
      </c>
      <c r="G20" s="7">
        <f>csinterpolate(CSTableU1,'2643167851x2 (2)'!G18*1000000)</f>
        <v>514.10164955020889</v>
      </c>
      <c r="H20" s="7">
        <f>csinterpolate(CSTableU1,'2643167851x2 (2)'!H18*1000000)</f>
        <v>477.05218730162227</v>
      </c>
      <c r="I20" s="7">
        <f>csinterpolate(CSTableU1,'2643167851x2 (2)'!I18*1000000)</f>
        <v>445.17842033805402</v>
      </c>
      <c r="J20" s="7">
        <f>csinterpolate(CSTableU1,'2643167851x2 (2)'!J18*1000000)</f>
        <v>419.63998064819731</v>
      </c>
      <c r="K20" s="7">
        <f>csinterpolate(CSTableU1,'2643167851x2 (2)'!K18*1000000)</f>
        <v>398.91760860580126</v>
      </c>
      <c r="L20" s="7">
        <f>csinterpolate(CSTableU1,'2643167851x2 (2)'!L18*1000000)</f>
        <v>381.37346142845843</v>
      </c>
      <c r="M20" s="7">
        <f>csinterpolate(CSTableU1,'2643167851x2 (2)'!M18*1000000)</f>
        <v>365.37712557783078</v>
      </c>
      <c r="N20" s="7">
        <f>csinterpolate(CSTableU1,'2643167851x2 (2)'!N18*1000000)</f>
        <v>334.94222955130334</v>
      </c>
      <c r="O20" s="7">
        <f>csinterpolate(CSTableU1,'2643167851x2 (2)'!O18*1000000)</f>
        <v>307.00600947171955</v>
      </c>
      <c r="P20" s="7">
        <f>csinterpolate(CSTableU1,'2643167851x2 (2)'!P18*1000000)</f>
        <v>282.39915680429408</v>
      </c>
      <c r="Q20" s="7">
        <f>csinterpolate(CSTableU1,'2643167851x2 (2)'!Q18*1000000)</f>
        <v>261.62060355602716</v>
      </c>
      <c r="R20" s="7">
        <f>csinterpolate(CSTableU1,'2643167851x2 (2)'!R18*1000000)</f>
        <v>244.11539967135678</v>
      </c>
      <c r="S20" s="7">
        <f>csinterpolate(CSTableU1,'2643167851x2 (2)'!S18*1000000)</f>
        <v>229.11984224841194</v>
      </c>
      <c r="T20" s="7">
        <f>csinterpolate(CSTableU1,'2643167851x2 (2)'!T18*1000000)</f>
        <v>215.87024501467678</v>
      </c>
      <c r="U20" s="7">
        <f>csinterpolate(CSTableU1,'2643167851x2 (2)'!U18*1000000)</f>
        <v>203.61154173946414</v>
      </c>
      <c r="V20" s="7">
        <f>csinterpolate(CSTableU1,'2643167851x2 (2)'!V18*1000000)</f>
        <v>191.93148822449245</v>
      </c>
      <c r="W20" s="7">
        <f>csinterpolate(CSTableU1,'2643167851x2 (2)'!W18*1000000)</f>
        <v>180.86787915758393</v>
      </c>
      <c r="X20" s="7">
        <f>csinterpolate(CSTableU1,'2643167851x2 (2)'!X18*1000000)</f>
        <v>170.48900691856036</v>
      </c>
      <c r="Y20" s="7">
        <f>csinterpolate(CSTableU1,'2643167851x2 (2)'!Y18*1000000)</f>
        <v>160.86317032687728</v>
      </c>
      <c r="Z20" s="7">
        <f>csinterpolate(CSTableU1,'2643167851x2 (2)'!Z18*1000000)</f>
        <v>152.05044940691147</v>
      </c>
      <c r="AA20" s="7">
        <f>csinterpolate(CSTableU1,'2643167851x2 (2)'!AA18*1000000)</f>
        <v>130.0529425335306</v>
      </c>
      <c r="AB20" s="7">
        <f>csinterpolate(CSTableU1,'2643167851x2 (2)'!AB18*1000000)</f>
        <v>118.35127203670631</v>
      </c>
      <c r="AC20" s="7">
        <f>csinterpolate(CSTableU1,'2643167851x2 (2)'!AC18*1000000)</f>
        <v>108.33087305026413</v>
      </c>
      <c r="AD20" s="7">
        <f>csinterpolate(CSTableU1,'2643167851x2 (2)'!AD18*1000000)</f>
        <v>99.51049694962343</v>
      </c>
      <c r="AE20" s="7">
        <f>csinterpolate(CSTableU1,'2643167851x2 (2)'!AE18*1000000)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56.727016312176701</v>
      </c>
      <c r="C21" s="5">
        <f t="shared" si="1"/>
        <v>96.019176888890996</v>
      </c>
      <c r="D21" s="5">
        <f t="shared" si="1"/>
        <v>242.75970699910681</v>
      </c>
      <c r="E21" s="5">
        <f t="shared" si="1"/>
        <v>297.78210296422264</v>
      </c>
      <c r="F21" s="5">
        <f t="shared" si="1"/>
        <v>438.26448214608428</v>
      </c>
      <c r="G21" s="5">
        <f t="shared" si="1"/>
        <v>575.12097763060137</v>
      </c>
      <c r="H21" s="5">
        <f t="shared" si="1"/>
        <v>703.73572868192775</v>
      </c>
      <c r="I21" s="5">
        <f t="shared" si="1"/>
        <v>823.70008978637918</v>
      </c>
      <c r="J21" s="5">
        <f t="shared" si="1"/>
        <v>937.81362811721749</v>
      </c>
      <c r="K21" s="5">
        <f t="shared" si="1"/>
        <v>1046.6398179559869</v>
      </c>
      <c r="L21" s="5">
        <f t="shared" si="1"/>
        <v>1150.4151753772362</v>
      </c>
      <c r="M21" s="5">
        <f t="shared" si="1"/>
        <v>1250.3076617473916</v>
      </c>
      <c r="N21" s="5">
        <f t="shared" si="1"/>
        <v>1443.2765478212518</v>
      </c>
      <c r="O21" s="5">
        <f t="shared" si="1"/>
        <v>1630.2432398308576</v>
      </c>
      <c r="P21" s="5">
        <f t="shared" si="1"/>
        <v>1814.499102003268</v>
      </c>
      <c r="Q21" s="5">
        <f t="shared" si="1"/>
        <v>1992.9007345022378</v>
      </c>
      <c r="R21" s="5">
        <f t="shared" si="1"/>
        <v>2160.1669654075126</v>
      </c>
      <c r="S21" s="5">
        <f t="shared" si="1"/>
        <v>2315.3624263806691</v>
      </c>
      <c r="T21" s="5">
        <f t="shared" si="1"/>
        <v>2459.4832227720376</v>
      </c>
      <c r="U21" s="5">
        <f t="shared" si="1"/>
        <v>2594.3120515717915</v>
      </c>
      <c r="V21" s="5">
        <f t="shared" si="1"/>
        <v>2722.4182523865998</v>
      </c>
      <c r="W21" s="5">
        <f t="shared" si="1"/>
        <v>2846.3690909934453</v>
      </c>
      <c r="X21" s="5">
        <f t="shared" si="1"/>
        <v>2966.8093388834413</v>
      </c>
      <c r="Y21" s="5">
        <f t="shared" si="1"/>
        <v>3083.8866056312881</v>
      </c>
      <c r="Z21" s="5">
        <f t="shared" si="1"/>
        <v>3197.6365368036413</v>
      </c>
      <c r="AA21" s="5">
        <f t="shared" si="1"/>
        <v>3517.9023260471145</v>
      </c>
      <c r="AB21" s="5">
        <f t="shared" si="1"/>
        <v>3712.1811648522612</v>
      </c>
      <c r="AC21" s="5">
        <f t="shared" si="1"/>
        <v>3888.205874345364</v>
      </c>
      <c r="AD21" s="5">
        <f t="shared" si="1"/>
        <v>4042.0701660894615</v>
      </c>
      <c r="AE21" s="5">
        <f t="shared" si="1"/>
        <v>4169.3501008713874</v>
      </c>
    </row>
    <row r="22" spans="1:31" x14ac:dyDescent="0.2">
      <c r="A22" t="s">
        <v>11</v>
      </c>
      <c r="B22" s="5">
        <f t="shared" ref="B22:AE22" si="2">B20/$B$13*$B$16*B18*1000000</f>
        <v>676.34885133183991</v>
      </c>
      <c r="C22" s="5">
        <f t="shared" si="2"/>
        <v>770.79438085837626</v>
      </c>
      <c r="D22" s="5">
        <f t="shared" si="2"/>
        <v>991.4706084247764</v>
      </c>
      <c r="E22" s="5">
        <f t="shared" si="2"/>
        <v>1066.574413683097</v>
      </c>
      <c r="F22" s="5">
        <f t="shared" si="2"/>
        <v>1247.5907402378002</v>
      </c>
      <c r="G22" s="5">
        <f t="shared" si="2"/>
        <v>1393.0219951793479</v>
      </c>
      <c r="H22" s="5">
        <f t="shared" si="2"/>
        <v>1508.0705447995047</v>
      </c>
      <c r="I22" s="5">
        <f t="shared" si="2"/>
        <v>1608.3546431013506</v>
      </c>
      <c r="J22" s="5">
        <f t="shared" si="2"/>
        <v>1705.5996327117912</v>
      </c>
      <c r="K22" s="5">
        <f t="shared" si="2"/>
        <v>1801.5276535889163</v>
      </c>
      <c r="L22" s="5">
        <f t="shared" si="2"/>
        <v>1894.5273523033259</v>
      </c>
      <c r="M22" s="5">
        <f t="shared" si="2"/>
        <v>1980.0690112962436</v>
      </c>
      <c r="N22" s="5">
        <f t="shared" si="2"/>
        <v>2117.6572460674138</v>
      </c>
      <c r="O22" s="5">
        <f t="shared" si="2"/>
        <v>2218.3219951178276</v>
      </c>
      <c r="P22" s="5">
        <f t="shared" si="2"/>
        <v>2295.5863136754847</v>
      </c>
      <c r="Q22" s="5">
        <f t="shared" si="2"/>
        <v>2362.9779277081107</v>
      </c>
      <c r="R22" s="5">
        <f t="shared" si="2"/>
        <v>2425.356499970309</v>
      </c>
      <c r="S22" s="5">
        <f t="shared" si="2"/>
        <v>2483.3141855374588</v>
      </c>
      <c r="T22" s="5">
        <f t="shared" si="2"/>
        <v>2534.6842048019307</v>
      </c>
      <c r="U22" s="5">
        <f t="shared" si="2"/>
        <v>2574.6497079520391</v>
      </c>
      <c r="V22" s="5">
        <f t="shared" si="2"/>
        <v>2600.3105115315552</v>
      </c>
      <c r="W22" s="5">
        <f t="shared" si="2"/>
        <v>2613.7807219864285</v>
      </c>
      <c r="X22" s="5">
        <f t="shared" si="2"/>
        <v>2617.7792694548621</v>
      </c>
      <c r="Y22" s="5">
        <f t="shared" si="2"/>
        <v>2615.2719176335208</v>
      </c>
      <c r="Z22" s="5">
        <f t="shared" si="2"/>
        <v>2609.330140018596</v>
      </c>
      <c r="AA22" s="5">
        <f t="shared" si="2"/>
        <v>2584.2265579198015</v>
      </c>
      <c r="AB22" s="5">
        <f t="shared" si="2"/>
        <v>2565.4992587373135</v>
      </c>
      <c r="AC22" s="5">
        <f t="shared" si="2"/>
        <v>2543.9777751142956</v>
      </c>
      <c r="AD22" s="5">
        <f t="shared" si="2"/>
        <v>2516.6026416846526</v>
      </c>
      <c r="AE22" s="5">
        <f t="shared" si="2"/>
        <v>2485.1266309301909</v>
      </c>
    </row>
    <row r="23" spans="1:31" x14ac:dyDescent="0.2">
      <c r="A23" t="s">
        <v>12</v>
      </c>
      <c r="B23" s="5" t="str">
        <f t="shared" ref="B23:AE23" si="3">IMDIV(1,COMPLEX(B21,B22))</f>
        <v>0.000123141387497205-0.00146819877722471i</v>
      </c>
      <c r="C23" s="5" t="str">
        <f t="shared" si="3"/>
        <v>0.000159145083095556-0.00127753788113847i</v>
      </c>
      <c r="D23" s="5" t="str">
        <f t="shared" si="3"/>
        <v>0.000232986786695572-0.000951556393009001i</v>
      </c>
      <c r="E23" s="5" t="str">
        <f t="shared" si="3"/>
        <v>0.000242838613439491-0.000869781794038711i</v>
      </c>
      <c r="F23" s="5" t="str">
        <f t="shared" si="3"/>
        <v>0.000250643318106651-0.000713496747993611i</v>
      </c>
      <c r="G23" s="5" t="str">
        <f t="shared" si="3"/>
        <v>0.000253215099453323-0.00061332174754468i</v>
      </c>
      <c r="H23" s="5" t="str">
        <f t="shared" si="3"/>
        <v>0.000254100183299959-0.000544524011279836i</v>
      </c>
      <c r="I23" s="5" t="str">
        <f t="shared" si="3"/>
        <v>0.000252259668736787-0.000492561570055482i</v>
      </c>
      <c r="J23" s="5" t="str">
        <f t="shared" si="3"/>
        <v>0.00024753798598127-0.000450196803835633i</v>
      </c>
      <c r="K23" s="5" t="str">
        <f t="shared" si="3"/>
        <v>0.000241108093754576-0.000415007045357071i</v>
      </c>
      <c r="L23" s="5" t="str">
        <f t="shared" si="3"/>
        <v>0.000234172198509262-0.000385639588837415i</v>
      </c>
      <c r="M23" s="5" t="str">
        <f t="shared" si="3"/>
        <v>0.000227994303909108-0.000361066695609589i</v>
      </c>
      <c r="N23" s="5" t="str">
        <f t="shared" si="3"/>
        <v>0.00021975976906193-0.000322444002884009i</v>
      </c>
      <c r="O23" s="5" t="str">
        <f t="shared" si="3"/>
        <v>0.000215110106535302-0.000292706921912406i</v>
      </c>
      <c r="P23" s="5" t="str">
        <f t="shared" si="3"/>
        <v>0.000211921621883519-0.000268109460197925i</v>
      </c>
      <c r="Q23" s="5" t="str">
        <f t="shared" si="3"/>
        <v>0.000208564563671254-0.000247294535008709i</v>
      </c>
      <c r="R23" s="5" t="str">
        <f t="shared" si="3"/>
        <v>0.000204780872392166-0.000229920477388763i</v>
      </c>
      <c r="S23" s="5" t="str">
        <f t="shared" si="3"/>
        <v>0.000200851156758884-0.000215420497922056i</v>
      </c>
      <c r="T23" s="5" t="str">
        <f t="shared" si="3"/>
        <v>0.000197173799508968-0.000203202571413713i</v>
      </c>
      <c r="U23" s="5" t="str">
        <f t="shared" si="3"/>
        <v>0.00019419555554241-0.000192723743491046i</v>
      </c>
      <c r="V23" s="5" t="str">
        <f t="shared" si="3"/>
        <v>0.000192082443067926-0.000183467031692257i</v>
      </c>
      <c r="W23" s="5" t="str">
        <f t="shared" si="3"/>
        <v>0.000190600818598982-0.000175026052252054i</v>
      </c>
      <c r="X23" s="5" t="str">
        <f t="shared" si="3"/>
        <v>0.000189515252266731-0.000167219744163292i</v>
      </c>
      <c r="Y23" s="5" t="str">
        <f t="shared" si="3"/>
        <v>0.000188616873943192-0.000159955431796583i</v>
      </c>
      <c r="Z23" s="5" t="str">
        <f t="shared" si="3"/>
        <v>0.000187726520703356-0.000153188288573203i</v>
      </c>
      <c r="AA23" s="5" t="str">
        <f t="shared" si="3"/>
        <v>0.000184629342659773-0.000135627429772554i</v>
      </c>
      <c r="AB23" s="5" t="str">
        <f t="shared" si="3"/>
        <v>0.00018230858511777-0.000125993996308556i</v>
      </c>
      <c r="AC23" s="5" t="str">
        <f t="shared" si="3"/>
        <v>0.000180093175815622-0.000117831475886506i</v>
      </c>
      <c r="AD23" s="5" t="str">
        <f t="shared" si="3"/>
        <v>0.00017828766321782-0.000111002329449374i</v>
      </c>
      <c r="AE23" s="5" t="str">
        <f t="shared" si="3"/>
        <v>0.000176972319693932-0.000105483735826589i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0.0000376991118430775i</v>
      </c>
      <c r="C24" s="6" t="str">
        <f t="shared" si="4"/>
        <v>0.000045238934211693i</v>
      </c>
      <c r="D24" s="6" t="str">
        <f t="shared" si="4"/>
        <v>0.0000678584013175395i</v>
      </c>
      <c r="E24" s="6" t="str">
        <f t="shared" si="4"/>
        <v>0.000075398223686155i</v>
      </c>
      <c r="F24" s="6" t="str">
        <f t="shared" si="4"/>
        <v>0.0000942477796076938i</v>
      </c>
      <c r="G24" s="6" t="str">
        <f t="shared" si="4"/>
        <v>0.000113097335529233i</v>
      </c>
      <c r="H24" s="6" t="str">
        <f t="shared" si="4"/>
        <v>0.000131946891450771i</v>
      </c>
      <c r="I24" s="6" t="str">
        <f t="shared" si="4"/>
        <v>0.00015079644737231i</v>
      </c>
      <c r="J24" s="6" t="str">
        <f t="shared" si="4"/>
        <v>0.000169646003293849i</v>
      </c>
      <c r="K24" s="6" t="str">
        <f t="shared" si="4"/>
        <v>0.000188495559215388i</v>
      </c>
      <c r="L24" s="6" t="str">
        <f t="shared" si="4"/>
        <v>0.000207345115136926i</v>
      </c>
      <c r="M24" s="6" t="str">
        <f t="shared" si="4"/>
        <v>0.000226194671058465i</v>
      </c>
      <c r="N24" s="6" t="str">
        <f t="shared" si="4"/>
        <v>0.000263893782901543i</v>
      </c>
      <c r="O24" s="6" t="str">
        <f t="shared" si="4"/>
        <v>0.00030159289474462i</v>
      </c>
      <c r="P24" s="6" t="str">
        <f t="shared" si="4"/>
        <v>0.000339292006587698i</v>
      </c>
      <c r="Q24" s="6" t="str">
        <f t="shared" si="4"/>
        <v>0.000376991118430775i</v>
      </c>
      <c r="R24" s="6" t="str">
        <f t="shared" si="4"/>
        <v>0.000414690230273853i</v>
      </c>
      <c r="S24" s="6" t="str">
        <f t="shared" si="4"/>
        <v>0.00045238934211693i</v>
      </c>
      <c r="T24" s="6" t="str">
        <f t="shared" si="4"/>
        <v>0.000490088453960008i</v>
      </c>
      <c r="U24" s="6" t="str">
        <f t="shared" si="4"/>
        <v>0.000527787565803085i</v>
      </c>
      <c r="V24" s="6" t="str">
        <f t="shared" si="4"/>
        <v>0.000565486677646163i</v>
      </c>
      <c r="W24" s="6" t="str">
        <f t="shared" si="4"/>
        <v>0.00060318578948924i</v>
      </c>
      <c r="X24" s="6" t="str">
        <f t="shared" si="4"/>
        <v>0.000640884901332318i</v>
      </c>
      <c r="Y24" s="6" t="str">
        <f t="shared" si="4"/>
        <v>0.000678584013175395i</v>
      </c>
      <c r="Z24" s="6" t="str">
        <f t="shared" si="4"/>
        <v>0.000716283125018473i</v>
      </c>
      <c r="AA24" s="6" t="str">
        <f t="shared" si="4"/>
        <v>0.000829380460547705i</v>
      </c>
      <c r="AB24" s="6" t="str">
        <f t="shared" si="4"/>
        <v>0.000904778684233861i</v>
      </c>
      <c r="AC24" s="6" t="str">
        <f t="shared" si="4"/>
        <v>0.000980176907920015i</v>
      </c>
      <c r="AD24" s="6" t="str">
        <f t="shared" si="4"/>
        <v>0.00105557513160617i</v>
      </c>
      <c r="AE24" s="6" t="str">
        <f t="shared" si="4"/>
        <v>0.00113097335529233i</v>
      </c>
    </row>
    <row r="25" spans="1:31" x14ac:dyDescent="0.2">
      <c r="A25" t="s">
        <v>14</v>
      </c>
      <c r="B25" s="6" t="str">
        <f t="shared" ref="B25:AE25" si="5">IMDIV(1,IMSUM(B23,B24))</f>
        <v>59.7340771391864+693.914362150792i</v>
      </c>
      <c r="C25" s="6" t="str">
        <f t="shared" si="5"/>
        <v>103.080727581439+798.179055087632i</v>
      </c>
      <c r="D25" s="6" t="str">
        <f t="shared" si="5"/>
        <v>278.957610832991+1058.06120577244i</v>
      </c>
      <c r="E25" s="6" t="str">
        <f t="shared" si="5"/>
        <v>351.931935742095+1151.25409289801i</v>
      </c>
      <c r="F25" s="6" t="str">
        <f t="shared" si="5"/>
        <v>561.613649355633+1387.54416284476i</v>
      </c>
      <c r="G25" s="6" t="str">
        <f t="shared" si="5"/>
        <v>805.53924816417+1591.33636832177i</v>
      </c>
      <c r="H25" s="6" t="str">
        <f t="shared" si="5"/>
        <v>1082.25931671703+1757.2416753127i</v>
      </c>
      <c r="I25" s="6" t="str">
        <f t="shared" si="5"/>
        <v>1398.03807417282+1894.08261862884i</v>
      </c>
      <c r="J25" s="6" t="str">
        <f t="shared" si="5"/>
        <v>1768.33301452237+2004.16611164581i</v>
      </c>
      <c r="K25" s="6" t="str">
        <f t="shared" si="5"/>
        <v>2203.09618329364+2069.72143829759i</v>
      </c>
      <c r="L25" s="6" t="str">
        <f t="shared" si="5"/>
        <v>2703.26977664738+2058.22068190011i</v>
      </c>
      <c r="M25" s="6" t="str">
        <f t="shared" si="5"/>
        <v>3249.08425748332+1922.0242095112i</v>
      </c>
      <c r="N25" s="6" t="str">
        <f t="shared" si="5"/>
        <v>4248.82469952955+1132.00710888209i</v>
      </c>
      <c r="O25" s="6" t="str">
        <f t="shared" si="5"/>
        <v>4640.86273580714-191.709170957288i</v>
      </c>
      <c r="P25" s="6" t="str">
        <f t="shared" si="5"/>
        <v>4240.3211842372-1424.28534059825i</v>
      </c>
      <c r="Q25" s="6" t="str">
        <f t="shared" si="5"/>
        <v>3457.61350168581-2150.12871826828i</v>
      </c>
      <c r="R25" s="6" t="str">
        <f t="shared" si="5"/>
        <v>2691.82637251412-2428.78198461093i</v>
      </c>
      <c r="S25" s="6" t="str">
        <f t="shared" si="5"/>
        <v>2081.4579194987-2455.75223654796i</v>
      </c>
      <c r="T25" s="6" t="str">
        <f t="shared" si="5"/>
        <v>1627.10137848119-2367.41603661514i</v>
      </c>
      <c r="U25" s="6" t="str">
        <f t="shared" si="5"/>
        <v>1294.81245110704-2234.06147392697i</v>
      </c>
      <c r="V25" s="6" t="str">
        <f t="shared" si="5"/>
        <v>1050.57994741342-2089.42667089683i</v>
      </c>
      <c r="W25" s="6" t="str">
        <f t="shared" si="5"/>
        <v>867.750106643653-1949.28678889772i</v>
      </c>
      <c r="X25" s="6" t="str">
        <f t="shared" si="5"/>
        <v>728.135479783165-1819.86622367693i</v>
      </c>
      <c r="Y25" s="6" t="str">
        <f t="shared" si="5"/>
        <v>619.325819399425-1702.92330909447i</v>
      </c>
      <c r="Z25" s="6" t="str">
        <f t="shared" si="5"/>
        <v>532.834063188688-1598.26170825281i</v>
      </c>
      <c r="AA25" s="6" t="str">
        <f t="shared" si="5"/>
        <v>358.238368981516-1346.09672894114i</v>
      </c>
      <c r="AB25" s="6" t="str">
        <f t="shared" si="5"/>
        <v>284.972038989171-1217.34179609947i</v>
      </c>
      <c r="AC25" s="6" t="str">
        <f t="shared" si="5"/>
        <v>232.056946065111-1111.16507610355i</v>
      </c>
      <c r="AD25" s="6" t="str">
        <f t="shared" si="5"/>
        <v>192.951124920451-1022.26021394844i</v>
      </c>
      <c r="AE25" s="6" t="str">
        <f t="shared" si="5"/>
        <v>163.417166189555-946.942481511943i</v>
      </c>
    </row>
    <row r="26" spans="1:31" x14ac:dyDescent="0.2">
      <c r="A26" t="s">
        <v>6</v>
      </c>
      <c r="B26" s="5">
        <f t="shared" ref="B26:AE26" si="6">IMREAL(B25)</f>
        <v>59.734077139186397</v>
      </c>
      <c r="C26" s="5">
        <f t="shared" si="6"/>
        <v>103.08072758143901</v>
      </c>
      <c r="D26" s="5">
        <f t="shared" si="6"/>
        <v>278.95761083299101</v>
      </c>
      <c r="E26" s="5">
        <f t="shared" si="6"/>
        <v>351.93193574209499</v>
      </c>
      <c r="F26" s="5">
        <f t="shared" si="6"/>
        <v>561.61364935563302</v>
      </c>
      <c r="G26" s="5">
        <f t="shared" si="6"/>
        <v>805.53924816416998</v>
      </c>
      <c r="H26" s="5">
        <f t="shared" si="6"/>
        <v>1082.2593167170301</v>
      </c>
      <c r="I26" s="5">
        <f t="shared" si="6"/>
        <v>1398.03807417282</v>
      </c>
      <c r="J26" s="5">
        <f t="shared" si="6"/>
        <v>1768.3330145223699</v>
      </c>
      <c r="K26" s="5">
        <f t="shared" si="6"/>
        <v>2203.09618329364</v>
      </c>
      <c r="L26" s="5">
        <f t="shared" si="6"/>
        <v>2703.2697766473798</v>
      </c>
      <c r="M26" s="5">
        <f t="shared" si="6"/>
        <v>3249.08425748332</v>
      </c>
      <c r="N26" s="5">
        <f t="shared" si="6"/>
        <v>4248.8246995295503</v>
      </c>
      <c r="O26" s="5">
        <f t="shared" si="6"/>
        <v>4640.8627358071399</v>
      </c>
      <c r="P26" s="5">
        <f t="shared" si="6"/>
        <v>4240.3211842372002</v>
      </c>
      <c r="Q26" s="5">
        <f t="shared" si="6"/>
        <v>3457.6135016858102</v>
      </c>
      <c r="R26" s="5">
        <f t="shared" si="6"/>
        <v>2691.8263725141201</v>
      </c>
      <c r="S26" s="5">
        <f t="shared" si="6"/>
        <v>2081.4579194987</v>
      </c>
      <c r="T26" s="5">
        <f t="shared" si="6"/>
        <v>1627.1013784811901</v>
      </c>
      <c r="U26" s="5">
        <f t="shared" si="6"/>
        <v>1294.81245110704</v>
      </c>
      <c r="V26" s="5">
        <f t="shared" si="6"/>
        <v>1050.5799474134201</v>
      </c>
      <c r="W26" s="5">
        <f t="shared" si="6"/>
        <v>867.750106643653</v>
      </c>
      <c r="X26" s="5">
        <f t="shared" si="6"/>
        <v>728.13547978316501</v>
      </c>
      <c r="Y26" s="5">
        <f t="shared" si="6"/>
        <v>619.32581939942497</v>
      </c>
      <c r="Z26" s="5">
        <f t="shared" si="6"/>
        <v>532.83406318868799</v>
      </c>
      <c r="AA26" s="5">
        <f t="shared" si="6"/>
        <v>358.23836898151598</v>
      </c>
      <c r="AB26" s="5">
        <f t="shared" si="6"/>
        <v>284.97203898917098</v>
      </c>
      <c r="AC26" s="5">
        <f t="shared" si="6"/>
        <v>232.05694606511099</v>
      </c>
      <c r="AD26" s="5">
        <f t="shared" si="6"/>
        <v>192.95112492045101</v>
      </c>
      <c r="AE26" s="5">
        <f t="shared" si="6"/>
        <v>163.41716618955499</v>
      </c>
    </row>
    <row r="27" spans="1:31" x14ac:dyDescent="0.2">
      <c r="A27" t="s">
        <v>7</v>
      </c>
      <c r="B27" s="5">
        <f t="shared" ref="B27:AE27" si="7">IMAGINARY(B25)</f>
        <v>693.91436215079204</v>
      </c>
      <c r="C27" s="5">
        <f t="shared" si="7"/>
        <v>798.17905508763204</v>
      </c>
      <c r="D27" s="5">
        <f t="shared" si="7"/>
        <v>1058.06120577244</v>
      </c>
      <c r="E27" s="5">
        <f t="shared" si="7"/>
        <v>1151.25409289801</v>
      </c>
      <c r="F27" s="5">
        <f t="shared" si="7"/>
        <v>1387.54416284476</v>
      </c>
      <c r="G27" s="5">
        <f t="shared" si="7"/>
        <v>1591.3363683217699</v>
      </c>
      <c r="H27" s="5">
        <f t="shared" si="7"/>
        <v>1757.2416753127</v>
      </c>
      <c r="I27" s="5">
        <f t="shared" si="7"/>
        <v>1894.08261862884</v>
      </c>
      <c r="J27" s="5">
        <f t="shared" si="7"/>
        <v>2004.1661116458099</v>
      </c>
      <c r="K27" s="5">
        <f t="shared" si="7"/>
        <v>2069.7214382975899</v>
      </c>
      <c r="L27" s="5">
        <f t="shared" si="7"/>
        <v>2058.2206819001099</v>
      </c>
      <c r="M27" s="5">
        <f t="shared" si="7"/>
        <v>1922.0242095112001</v>
      </c>
      <c r="N27" s="5">
        <f t="shared" si="7"/>
        <v>1132.0071088820901</v>
      </c>
      <c r="O27" s="5">
        <f t="shared" si="7"/>
        <v>-191.70917095728799</v>
      </c>
      <c r="P27" s="5">
        <f t="shared" si="7"/>
        <v>-1424.2853405982501</v>
      </c>
      <c r="Q27" s="5">
        <f t="shared" si="7"/>
        <v>-2150.12871826828</v>
      </c>
      <c r="R27" s="5">
        <f t="shared" si="7"/>
        <v>-2428.7819846109301</v>
      </c>
      <c r="S27" s="5">
        <f t="shared" si="7"/>
        <v>-2455.7522365479599</v>
      </c>
      <c r="T27" s="5">
        <f t="shared" si="7"/>
        <v>-2367.41603661514</v>
      </c>
      <c r="U27" s="5">
        <f t="shared" si="7"/>
        <v>-2234.0614739269699</v>
      </c>
      <c r="V27" s="5">
        <f t="shared" si="7"/>
        <v>-2089.4266708968298</v>
      </c>
      <c r="W27" s="5">
        <f t="shared" si="7"/>
        <v>-1949.28678889772</v>
      </c>
      <c r="X27" s="5">
        <f t="shared" si="7"/>
        <v>-1819.8662236769301</v>
      </c>
      <c r="Y27" s="5">
        <f t="shared" si="7"/>
        <v>-1702.9233090944699</v>
      </c>
      <c r="Z27" s="5">
        <f t="shared" si="7"/>
        <v>-1598.26170825281</v>
      </c>
      <c r="AA27" s="5">
        <f t="shared" si="7"/>
        <v>-1346.0967289411401</v>
      </c>
      <c r="AB27" s="5">
        <f t="shared" si="7"/>
        <v>-1217.34179609947</v>
      </c>
      <c r="AC27" s="5">
        <f t="shared" si="7"/>
        <v>-1111.1650761035501</v>
      </c>
      <c r="AD27" s="5">
        <f t="shared" si="7"/>
        <v>-1022.26021394844</v>
      </c>
      <c r="AE27" s="5">
        <f t="shared" si="7"/>
        <v>-946.94248151194301</v>
      </c>
    </row>
    <row r="28" spans="1:31" x14ac:dyDescent="0.2">
      <c r="A28" t="s">
        <v>15</v>
      </c>
      <c r="B28" s="5">
        <f t="shared" ref="B28:AE28" si="8">IMABS(B25)</f>
        <v>696.4806544124616</v>
      </c>
      <c r="C28" s="5">
        <f t="shared" si="8"/>
        <v>804.80770397611388</v>
      </c>
      <c r="D28" s="5">
        <f t="shared" si="8"/>
        <v>1094.2170094648866</v>
      </c>
      <c r="E28" s="5">
        <f t="shared" si="8"/>
        <v>1203.8447050220382</v>
      </c>
      <c r="F28" s="5">
        <f t="shared" si="8"/>
        <v>1496.8930138747787</v>
      </c>
      <c r="G28" s="5">
        <f t="shared" si="8"/>
        <v>1783.6044733842803</v>
      </c>
      <c r="H28" s="5">
        <f t="shared" si="8"/>
        <v>2063.7789450608793</v>
      </c>
      <c r="I28" s="5">
        <f t="shared" si="8"/>
        <v>2354.1579010399305</v>
      </c>
      <c r="J28" s="5">
        <f t="shared" si="8"/>
        <v>2672.7670031858852</v>
      </c>
      <c r="K28" s="5">
        <f t="shared" si="8"/>
        <v>3022.8098889926318</v>
      </c>
      <c r="L28" s="5">
        <f t="shared" si="8"/>
        <v>3397.6373939454647</v>
      </c>
      <c r="M28" s="5">
        <f t="shared" si="8"/>
        <v>3775.0133210590252</v>
      </c>
      <c r="N28" s="5">
        <f t="shared" si="8"/>
        <v>4397.0389379549461</v>
      </c>
      <c r="O28" s="5">
        <f t="shared" si="8"/>
        <v>4644.8207003965672</v>
      </c>
      <c r="P28" s="5">
        <f t="shared" si="8"/>
        <v>4473.1322892279686</v>
      </c>
      <c r="Q28" s="5">
        <f t="shared" si="8"/>
        <v>4071.6267795761942</v>
      </c>
      <c r="R28" s="5">
        <f t="shared" si="8"/>
        <v>3625.5911447008384</v>
      </c>
      <c r="S28" s="5">
        <f t="shared" si="8"/>
        <v>3219.1902891805207</v>
      </c>
      <c r="T28" s="5">
        <f t="shared" si="8"/>
        <v>2872.6499240732292</v>
      </c>
      <c r="U28" s="5">
        <f t="shared" si="8"/>
        <v>2582.1638121595943</v>
      </c>
      <c r="V28" s="5">
        <f t="shared" si="8"/>
        <v>2338.6795502937534</v>
      </c>
      <c r="W28" s="5">
        <f t="shared" si="8"/>
        <v>2133.7078602637371</v>
      </c>
      <c r="X28" s="5">
        <f t="shared" si="8"/>
        <v>1960.1261053817916</v>
      </c>
      <c r="Y28" s="5">
        <f t="shared" si="8"/>
        <v>1812.0464307605446</v>
      </c>
      <c r="Z28" s="5">
        <f t="shared" si="8"/>
        <v>1684.741115709282</v>
      </c>
      <c r="AA28" s="5">
        <f t="shared" si="8"/>
        <v>1392.9505133624002</v>
      </c>
      <c r="AB28" s="5">
        <f t="shared" si="8"/>
        <v>1250.2520192090592</v>
      </c>
      <c r="AC28" s="5">
        <f t="shared" si="8"/>
        <v>1135.1379883385428</v>
      </c>
      <c r="AD28" s="5">
        <f t="shared" si="8"/>
        <v>1040.310569796336</v>
      </c>
      <c r="AE28" s="5">
        <f t="shared" si="8"/>
        <v>960.93976580086485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 xr:uid="{00000000-0004-0000-0C00-000000000000}"/>
  </hyperlinks>
  <pageMargins left="0.75" right="0.75" top="1" bottom="1" header="0.5" footer="0.5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4</v>
      </c>
    </row>
    <row r="9" spans="1:2" x14ac:dyDescent="0.2">
      <c r="A9" t="s">
        <v>8</v>
      </c>
      <c r="B9" s="3">
        <v>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6.9366365791262636E-4</v>
      </c>
    </row>
    <row r="18" spans="1:31" x14ac:dyDescent="0.2">
      <c r="A18" t="s">
        <v>2</v>
      </c>
      <c r="B18" s="10">
        <v>1</v>
      </c>
      <c r="C18" s="10">
        <f>B18*1.12</f>
        <v>1.1200000000000001</v>
      </c>
      <c r="D18" s="10">
        <f t="shared" ref="D18:AE18" si="0">C18*1.12</f>
        <v>1.2544000000000002</v>
      </c>
      <c r="E18" s="10">
        <f t="shared" si="0"/>
        <v>1.4049280000000004</v>
      </c>
      <c r="F18" s="10">
        <f t="shared" si="0"/>
        <v>1.5735193600000006</v>
      </c>
      <c r="G18" s="10">
        <f t="shared" si="0"/>
        <v>1.7623416832000007</v>
      </c>
      <c r="H18" s="10">
        <f t="shared" si="0"/>
        <v>1.9738226851840011</v>
      </c>
      <c r="I18" s="10">
        <f t="shared" si="0"/>
        <v>2.2106814074060814</v>
      </c>
      <c r="J18" s="10">
        <f t="shared" si="0"/>
        <v>2.4759631762948113</v>
      </c>
      <c r="K18" s="10">
        <f t="shared" si="0"/>
        <v>2.7730787574501892</v>
      </c>
      <c r="L18" s="10">
        <f t="shared" si="0"/>
        <v>3.105848208344212</v>
      </c>
      <c r="M18" s="10">
        <f t="shared" si="0"/>
        <v>3.478549993345518</v>
      </c>
      <c r="N18" s="10">
        <f t="shared" si="0"/>
        <v>3.8959759925469806</v>
      </c>
      <c r="O18" s="10">
        <f t="shared" si="0"/>
        <v>4.3634931116526188</v>
      </c>
      <c r="P18" s="10">
        <f t="shared" si="0"/>
        <v>4.8871122850509332</v>
      </c>
      <c r="Q18" s="10">
        <f t="shared" si="0"/>
        <v>5.4735657592570455</v>
      </c>
      <c r="R18" s="10">
        <f t="shared" si="0"/>
        <v>6.1303936503678917</v>
      </c>
      <c r="S18" s="10">
        <f t="shared" si="0"/>
        <v>6.866040888412039</v>
      </c>
      <c r="T18" s="10">
        <f t="shared" si="0"/>
        <v>7.6899657950214841</v>
      </c>
      <c r="U18" s="10">
        <f t="shared" si="0"/>
        <v>8.6127616904240636</v>
      </c>
      <c r="V18" s="10">
        <f t="shared" si="0"/>
        <v>9.6462930932749522</v>
      </c>
      <c r="W18" s="10">
        <f t="shared" si="0"/>
        <v>10.803848264467948</v>
      </c>
      <c r="X18" s="10">
        <f t="shared" si="0"/>
        <v>12.100310056204103</v>
      </c>
      <c r="Y18" s="10">
        <f t="shared" si="0"/>
        <v>13.552347262948597</v>
      </c>
      <c r="Z18" s="10">
        <f t="shared" si="0"/>
        <v>15.178628934502431</v>
      </c>
      <c r="AA18" s="10">
        <f t="shared" si="0"/>
        <v>17.000064406642725</v>
      </c>
      <c r="AB18" s="10">
        <f t="shared" si="0"/>
        <v>19.040072135439853</v>
      </c>
      <c r="AC18" s="10">
        <f t="shared" si="0"/>
        <v>21.324880791692639</v>
      </c>
      <c r="AD18" s="10">
        <f t="shared" si="0"/>
        <v>23.883866486695759</v>
      </c>
      <c r="AE18" s="10">
        <f t="shared" si="0"/>
        <v>26.749930465099251</v>
      </c>
    </row>
    <row r="19" spans="1:31" x14ac:dyDescent="0.2">
      <c r="A19" t="s">
        <v>4</v>
      </c>
      <c r="B19" s="7">
        <f>csinterpolate(CSTableU2,'2643167851x3 4t'!B18*1000000)</f>
        <v>62.806156889999997</v>
      </c>
      <c r="C19" s="7">
        <f>csinterpolate(CSTableU2,'2643167851x3 4t'!C18*1000000)</f>
        <v>78.69436776914371</v>
      </c>
      <c r="D19" s="7">
        <f>csinterpolate(CSTableU2,'2643167851x3 4t'!D18*1000000)</f>
        <v>95.033019425396986</v>
      </c>
      <c r="E19" s="7">
        <f>csinterpolate(CSTableU2,'2643167851x3 4t'!E18*1000000)</f>
        <v>111.78943964447579</v>
      </c>
      <c r="F19" s="7">
        <f>csinterpolate(CSTableU2,'2643167851x3 4t'!F18*1000000)</f>
        <v>128.92387426287169</v>
      </c>
      <c r="G19" s="7">
        <f>csinterpolate(CSTableU2,'2643167851x3 4t'!G18*1000000)</f>
        <v>146.13572831646928</v>
      </c>
      <c r="H19" s="7">
        <f>csinterpolate(CSTableU2,'2643167851x3 4t'!H18*1000000)</f>
        <v>162.94648447965085</v>
      </c>
      <c r="I19" s="7">
        <f>csinterpolate(CSTableU2,'2643167851x3 4t'!I18*1000000)</f>
        <v>178.73936306342048</v>
      </c>
      <c r="J19" s="7">
        <f>csinterpolate(CSTableU2,'2643167851x3 4t'!J18*1000000)</f>
        <v>192.96730127703282</v>
      </c>
      <c r="K19" s="7">
        <f>csinterpolate(CSTableU2,'2643167851x3 4t'!K18*1000000)</f>
        <v>205.16702079442354</v>
      </c>
      <c r="L19" s="7">
        <f>csinterpolate(CSTableU2,'2643167851x3 4t'!L18*1000000)</f>
        <v>214.99409389483591</v>
      </c>
      <c r="M19" s="7">
        <f>csinterpolate(CSTableU2,'2643167851x3 4t'!M18*1000000)</f>
        <v>222.29152478732289</v>
      </c>
      <c r="N19" s="7">
        <f>csinterpolate(CSTableU2,'2643167851x3 4t'!N18*1000000)</f>
        <v>227.1531420119284</v>
      </c>
      <c r="O19" s="7">
        <f>csinterpolate(CSTableU2,'2643167851x3 4t'!O18*1000000)</f>
        <v>230.17987391137538</v>
      </c>
      <c r="P19" s="7">
        <f>csinterpolate(CSTableU2,'2643167851x3 4t'!P18*1000000)</f>
        <v>231.65293252105121</v>
      </c>
      <c r="Q19" s="7">
        <f>csinterpolate(CSTableU2,'2643167851x3 4t'!Q18*1000000)</f>
        <v>231.6128551596139</v>
      </c>
      <c r="R19" s="7">
        <f>csinterpolate(CSTableU2,'2643167851x3 4t'!R18*1000000)</f>
        <v>230.43658518398212</v>
      </c>
      <c r="S19" s="7">
        <f>csinterpolate(CSTableU2,'2643167851x3 4t'!S18*1000000)</f>
        <v>228.63337263253675</v>
      </c>
      <c r="T19" s="7">
        <f>csinterpolate(CSTableU2,'2643167851x3 4t'!T18*1000000)</f>
        <v>226.42252400219343</v>
      </c>
      <c r="U19" s="7">
        <f>csinterpolate(CSTableU2,'2643167851x3 4t'!U18*1000000)</f>
        <v>224.13224666620957</v>
      </c>
      <c r="V19" s="7">
        <f>csinterpolate(CSTableU2,'2643167851x3 4t'!V18*1000000)</f>
        <v>221.61433948536421</v>
      </c>
      <c r="W19" s="7">
        <f>csinterpolate(CSTableU2,'2643167851x3 4t'!W18*1000000)</f>
        <v>218.10825470214414</v>
      </c>
      <c r="X19" s="7">
        <f>csinterpolate(CSTableU2,'2643167851x3 4t'!X18*1000000)</f>
        <v>213.21943783207936</v>
      </c>
      <c r="Y19" s="7">
        <f>csinterpolate(CSTableU2,'2643167851x3 4t'!Y18*1000000)</f>
        <v>207.09449043314567</v>
      </c>
      <c r="Z19" s="7">
        <f>csinterpolate(CSTableU2,'2643167851x3 4t'!Z18*1000000)</f>
        <v>200.21413304776598</v>
      </c>
      <c r="AA19" s="7">
        <f>csinterpolate(CSTableU2,'2643167851x3 4t'!AA18*1000000)</f>
        <v>193.22017264225997</v>
      </c>
      <c r="AB19" s="7">
        <f>csinterpolate(CSTableU2,'2643167851x3 4t'!AB18*1000000)</f>
        <v>186.2009670804058</v>
      </c>
      <c r="AC19" s="7">
        <f>csinterpolate(CSTableU2,'2643167851x3 4t'!AC18*1000000)</f>
        <v>179.05269003803434</v>
      </c>
      <c r="AD19" s="7">
        <f>csinterpolate(CSTableU2,'2643167851x3 4t'!AD18*1000000)</f>
        <v>171.58128313305946</v>
      </c>
      <c r="AE19" s="7">
        <f>csinterpolate(CSTableU2,'2643167851x3 4t'!AE18*1000000)</f>
        <v>163.43647339009141</v>
      </c>
    </row>
    <row r="20" spans="1:31" x14ac:dyDescent="0.2">
      <c r="A20" t="s">
        <v>3</v>
      </c>
      <c r="B20" s="7">
        <f>csinterpolate(CSTableU1,'2643167851x3 4t'!B18*1000000)</f>
        <v>748.82965526252349</v>
      </c>
      <c r="C20" s="7">
        <f>csinterpolate(CSTableU1,'2643167851x3 4t'!C18*1000000)</f>
        <v>727.19925794267283</v>
      </c>
      <c r="D20" s="7">
        <f>csinterpolate(CSTableU1,'2643167851x3 4t'!D18*1000000)</f>
        <v>699.91730907596366</v>
      </c>
      <c r="E20" s="7">
        <f>csinterpolate(CSTableU1,'2643167851x3 4t'!E18*1000000)</f>
        <v>669.22513191307667</v>
      </c>
      <c r="F20" s="7">
        <f>csinterpolate(CSTableU1,'2643167851x3 4t'!F18*1000000)</f>
        <v>639.60364772686307</v>
      </c>
      <c r="G20" s="7">
        <f>csinterpolate(CSTableU1,'2643167851x3 4t'!G18*1000000)</f>
        <v>614.12716243525881</v>
      </c>
      <c r="H20" s="7">
        <f>csinterpolate(CSTableU1,'2643167851x3 4t'!H18*1000000)</f>
        <v>592.71126406746293</v>
      </c>
      <c r="I20" s="7">
        <f>csinterpolate(CSTableU1,'2643167851x3 4t'!I18*1000000)</f>
        <v>573.91480409315739</v>
      </c>
      <c r="J20" s="7">
        <f>csinterpolate(CSTableU1,'2643167851x3 4t'!J18*1000000)</f>
        <v>554.32901910144312</v>
      </c>
      <c r="K20" s="7">
        <f>csinterpolate(CSTableU1,'2643167851x3 4t'!K18*1000000)</f>
        <v>531.60208421025595</v>
      </c>
      <c r="L20" s="7">
        <f>csinterpolate(CSTableU1,'2643167851x3 4t'!L18*1000000)</f>
        <v>506.01230710772387</v>
      </c>
      <c r="M20" s="7">
        <f>csinterpolate(CSTableU1,'2643167851x3 4t'!M18*1000000)</f>
        <v>478.56103957035913</v>
      </c>
      <c r="N20" s="7">
        <f>csinterpolate(CSTableU1,'2643167851x3 4t'!N18*1000000)</f>
        <v>451.24833675028242</v>
      </c>
      <c r="O20" s="7">
        <f>csinterpolate(CSTableU1,'2643167851x3 4t'!O18*1000000)</f>
        <v>426.06541313575764</v>
      </c>
      <c r="P20" s="7">
        <f>csinterpolate(CSTableU1,'2643167851x3 4t'!P18*1000000)</f>
        <v>403.25994920225838</v>
      </c>
      <c r="Q20" s="7">
        <f>csinterpolate(CSTableU1,'2643167851x3 4t'!Q18*1000000)</f>
        <v>382.24803615152689</v>
      </c>
      <c r="R20" s="7">
        <f>csinterpolate(CSTableU1,'2643167851x3 4t'!R18*1000000)</f>
        <v>361.2962966153537</v>
      </c>
      <c r="S20" s="7">
        <f>csinterpolate(CSTableU1,'2643167851x3 4t'!S18*1000000)</f>
        <v>338.89255497181898</v>
      </c>
      <c r="T20" s="7">
        <f>csinterpolate(CSTableU1,'2643167851x3 4t'!T18*1000000)</f>
        <v>315.34988498379494</v>
      </c>
      <c r="U20" s="7">
        <f>csinterpolate(CSTableU1,'2643167851x3 4t'!U18*1000000)</f>
        <v>291.47993805466007</v>
      </c>
      <c r="V20" s="7">
        <f>csinterpolate(CSTableU1,'2643167851x3 4t'!V18*1000000)</f>
        <v>268.55659879622834</v>
      </c>
      <c r="W20" s="7">
        <f>csinterpolate(CSTableU1,'2643167851x3 4t'!W18*1000000)</f>
        <v>247.32720208088526</v>
      </c>
      <c r="X20" s="7">
        <f>csinterpolate(CSTableU1,'2643167851x3 4t'!X18*1000000)</f>
        <v>227.72463016953941</v>
      </c>
      <c r="Y20" s="7">
        <f>csinterpolate(CSTableU1,'2643167851x3 4t'!Y18*1000000)</f>
        <v>209.02183904741531</v>
      </c>
      <c r="Z20" s="7">
        <f>csinterpolate(CSTableU1,'2643167851x3 4t'!Z18*1000000)</f>
        <v>189.90802449405135</v>
      </c>
      <c r="AA20" s="7">
        <f>csinterpolate(CSTableU1,'2643167851x3 4t'!AA18*1000000)</f>
        <v>170.48835891921885</v>
      </c>
      <c r="AB20" s="7">
        <f>csinterpolate(CSTableU1,'2643167851x3 4t'!AB18*1000000)</f>
        <v>151.71422478359781</v>
      </c>
      <c r="AC20" s="7">
        <f>csinterpolate(CSTableU1,'2643167851x3 4t'!AC18*1000000)</f>
        <v>134.48643812871316</v>
      </c>
      <c r="AD20" s="7">
        <f>csinterpolate(CSTableU1,'2643167851x3 4t'!AD18*1000000)</f>
        <v>118.97907457336322</v>
      </c>
      <c r="AE20" s="7">
        <f>csinterpolate(CSTableU1,'2643167851x3 4t'!AE18*1000000)</f>
        <v>104.89568845432028</v>
      </c>
    </row>
    <row r="21" spans="1:31" x14ac:dyDescent="0.2">
      <c r="A21" t="s">
        <v>10</v>
      </c>
      <c r="B21" s="5">
        <f t="shared" ref="B21:AE21" si="1">B19/$B$13*$B$16*B18*1000000</f>
        <v>54.457935659689625</v>
      </c>
      <c r="C21" s="5">
        <f t="shared" si="1"/>
        <v>76.42239220541201</v>
      </c>
      <c r="D21" s="5">
        <f t="shared" si="1"/>
        <v>103.36405254329682</v>
      </c>
      <c r="E21" s="5">
        <f t="shared" si="1"/>
        <v>136.18014804781015</v>
      </c>
      <c r="F21" s="5">
        <f t="shared" si="1"/>
        <v>175.89941429739201</v>
      </c>
      <c r="G21" s="5">
        <f t="shared" si="1"/>
        <v>223.30861421634768</v>
      </c>
      <c r="H21" s="5">
        <f t="shared" si="1"/>
        <v>278.87660702104097</v>
      </c>
      <c r="I21" s="5">
        <f t="shared" si="1"/>
        <v>342.61416896458439</v>
      </c>
      <c r="J21" s="5">
        <f t="shared" si="1"/>
        <v>414.27321930100015</v>
      </c>
      <c r="K21" s="5">
        <f t="shared" si="1"/>
        <v>493.31998650954546</v>
      </c>
      <c r="L21" s="5">
        <f t="shared" si="1"/>
        <v>578.98286508160368</v>
      </c>
      <c r="M21" s="5">
        <f t="shared" si="1"/>
        <v>670.47117137924147</v>
      </c>
      <c r="N21" s="5">
        <f t="shared" si="1"/>
        <v>767.35084414611094</v>
      </c>
      <c r="O21" s="5">
        <f t="shared" si="1"/>
        <v>870.88457269550679</v>
      </c>
      <c r="P21" s="5">
        <f t="shared" si="1"/>
        <v>981.63282971266369</v>
      </c>
      <c r="Q21" s="5">
        <f t="shared" si="1"/>
        <v>1099.2385614371628</v>
      </c>
      <c r="R21" s="5">
        <f t="shared" si="1"/>
        <v>1224.8946797561753</v>
      </c>
      <c r="S21" s="5">
        <f t="shared" si="1"/>
        <v>1361.1467888753659</v>
      </c>
      <c r="T21" s="5">
        <f t="shared" si="1"/>
        <v>1509.742879952933</v>
      </c>
      <c r="U21" s="5">
        <f t="shared" si="1"/>
        <v>1673.8083495489732</v>
      </c>
      <c r="V21" s="5">
        <f t="shared" si="1"/>
        <v>1853.6053147512728</v>
      </c>
      <c r="W21" s="5">
        <f t="shared" si="1"/>
        <v>2043.1936650460507</v>
      </c>
      <c r="X21" s="5">
        <f t="shared" si="1"/>
        <v>2237.0837723069926</v>
      </c>
      <c r="Y21" s="5">
        <f t="shared" si="1"/>
        <v>2433.5597918454419</v>
      </c>
      <c r="Z21" s="5">
        <f t="shared" si="1"/>
        <v>2635.0340391779223</v>
      </c>
      <c r="AA21" s="5">
        <f t="shared" si="1"/>
        <v>2848.1442899354574</v>
      </c>
      <c r="AB21" s="5">
        <f t="shared" si="1"/>
        <v>3074.0397319211961</v>
      </c>
      <c r="AC21" s="5">
        <f t="shared" si="1"/>
        <v>3310.7502229684942</v>
      </c>
      <c r="AD21" s="5">
        <f t="shared" si="1"/>
        <v>3553.3132946600726</v>
      </c>
      <c r="AE21" s="5">
        <f t="shared" si="1"/>
        <v>3790.7975805991141</v>
      </c>
    </row>
    <row r="22" spans="1:31" x14ac:dyDescent="0.2">
      <c r="A22" t="s">
        <v>11</v>
      </c>
      <c r="B22" s="5">
        <f t="shared" ref="B22:AE22" si="2">B20/$B$13*$B$16*B18*1000000</f>
        <v>649.29489727856628</v>
      </c>
      <c r="C22" s="5">
        <f t="shared" si="2"/>
        <v>706.20437621420672</v>
      </c>
      <c r="D22" s="5">
        <f t="shared" si="2"/>
        <v>761.2752909327927</v>
      </c>
      <c r="E22" s="5">
        <f t="shared" si="2"/>
        <v>815.23959535959295</v>
      </c>
      <c r="F22" s="5">
        <f t="shared" si="2"/>
        <v>872.65378628193173</v>
      </c>
      <c r="G22" s="5">
        <f t="shared" si="2"/>
        <v>938.44186617421474</v>
      </c>
      <c r="H22" s="5">
        <f t="shared" si="2"/>
        <v>1014.4024082147566</v>
      </c>
      <c r="I22" s="5">
        <f t="shared" si="2"/>
        <v>1100.1009530904528</v>
      </c>
      <c r="J22" s="5">
        <f t="shared" si="2"/>
        <v>1190.0651860463829</v>
      </c>
      <c r="K22" s="5">
        <f t="shared" si="2"/>
        <v>1278.2265492553163</v>
      </c>
      <c r="L22" s="5">
        <f t="shared" si="2"/>
        <v>1362.7000166762227</v>
      </c>
      <c r="M22" s="5">
        <f t="shared" si="2"/>
        <v>1443.4260644178398</v>
      </c>
      <c r="N22" s="5">
        <f t="shared" si="2"/>
        <v>1524.3715717860266</v>
      </c>
      <c r="O22" s="5">
        <f t="shared" si="2"/>
        <v>1612.0166761492501</v>
      </c>
      <c r="P22" s="5">
        <f t="shared" si="2"/>
        <v>1708.8201765338119</v>
      </c>
      <c r="Q22" s="5">
        <f t="shared" si="2"/>
        <v>1814.1556999581071</v>
      </c>
      <c r="R22" s="5">
        <f t="shared" si="2"/>
        <v>1920.4845931318632</v>
      </c>
      <c r="S22" s="5">
        <f t="shared" si="2"/>
        <v>2017.5642237279185</v>
      </c>
      <c r="T22" s="5">
        <f t="shared" si="2"/>
        <v>2102.693827154972</v>
      </c>
      <c r="U22" s="5">
        <f t="shared" si="2"/>
        <v>2176.757522840916</v>
      </c>
      <c r="V22" s="5">
        <f t="shared" si="2"/>
        <v>2246.2352390924125</v>
      </c>
      <c r="W22" s="5">
        <f t="shared" si="2"/>
        <v>2316.9108073205875</v>
      </c>
      <c r="X22" s="5">
        <f t="shared" si="2"/>
        <v>2389.271259162103</v>
      </c>
      <c r="Y22" s="5">
        <f t="shared" si="2"/>
        <v>2456.2079950050024</v>
      </c>
      <c r="Z22" s="5">
        <f t="shared" si="2"/>
        <v>2499.394529433514</v>
      </c>
      <c r="AA22" s="5">
        <f t="shared" si="2"/>
        <v>2513.068067976862</v>
      </c>
      <c r="AB22" s="5">
        <f t="shared" si="2"/>
        <v>2504.6892193691533</v>
      </c>
      <c r="AC22" s="5">
        <f t="shared" si="2"/>
        <v>2486.7038016926499</v>
      </c>
      <c r="AD22" s="5">
        <f t="shared" si="2"/>
        <v>2463.9629669864999</v>
      </c>
      <c r="AE22" s="5">
        <f t="shared" si="2"/>
        <v>2432.9839830723067</v>
      </c>
    </row>
    <row r="23" spans="1:31" x14ac:dyDescent="0.2">
      <c r="A23" t="s">
        <v>12</v>
      </c>
      <c r="B23" s="5" t="str">
        <f t="shared" ref="B23:AE23" si="3">IMDIV(1,COMPLEX(B21,B22))</f>
        <v>0.000128272278642922-0.00152937372627574i</v>
      </c>
      <c r="C23" s="5" t="str">
        <f t="shared" si="3"/>
        <v>0.000151461936021783-0.00139963012098546i</v>
      </c>
      <c r="D23" s="5" t="str">
        <f t="shared" si="3"/>
        <v>0.00017512676242992-0.00128980698549054i</v>
      </c>
      <c r="E23" s="5" t="str">
        <f t="shared" si="3"/>
        <v>0.000199338401475659-0.00119333515265082i</v>
      </c>
      <c r="F23" s="5" t="str">
        <f t="shared" si="3"/>
        <v>0.000221964834043902-0.00110118873120502i</v>
      </c>
      <c r="G23" s="5" t="str">
        <f t="shared" si="3"/>
        <v>0.000239977480392323-0.0010084918368665i</v>
      </c>
      <c r="H23" s="5" t="str">
        <f t="shared" si="3"/>
        <v>0.000251970126315417-0.000916531170049883i</v>
      </c>
      <c r="I23" s="5" t="str">
        <f t="shared" si="3"/>
        <v>0.000258069050891038-0.000828634757594413i</v>
      </c>
      <c r="J23" s="5" t="str">
        <f t="shared" si="3"/>
        <v>0.000260897476699697-0.000749469165956552i</v>
      </c>
      <c r="K23" s="5" t="str">
        <f t="shared" si="3"/>
        <v>0.000262791765310088-0.000680911823017187i</v>
      </c>
      <c r="L23" s="5" t="str">
        <f t="shared" si="3"/>
        <v>0.000264113735026039-0.000621620798870577i</v>
      </c>
      <c r="M23" s="5" t="str">
        <f t="shared" si="3"/>
        <v>0.000264693414870507-0.000569846087965123i</v>
      </c>
      <c r="N23" s="5" t="str">
        <f t="shared" si="3"/>
        <v>0.000263464843810743-0.000523382910351854i</v>
      </c>
      <c r="O23" s="5" t="str">
        <f t="shared" si="3"/>
        <v>0.00025942055160129-0.00048019022087251i</v>
      </c>
      <c r="P23" s="5" t="str">
        <f t="shared" si="3"/>
        <v>0.00025275911169618-0.000440001451454739i</v>
      </c>
      <c r="Q23" s="5" t="str">
        <f t="shared" si="3"/>
        <v>0.000244303123421694-0.000403191736008228i</v>
      </c>
      <c r="R23" s="5" t="str">
        <f t="shared" si="3"/>
        <v>0.000236072940322562-0.000370133410029231i</v>
      </c>
      <c r="S23" s="5" t="str">
        <f t="shared" si="3"/>
        <v>0.000229795892683948-0.000340615704072462i</v>
      </c>
      <c r="T23" s="5" t="str">
        <f t="shared" si="3"/>
        <v>0.00022531307116898-0.0003138046949684i</v>
      </c>
      <c r="U23" s="5" t="str">
        <f t="shared" si="3"/>
        <v>0.000221993214665255-0.000288698165576987i</v>
      </c>
      <c r="V23" s="5" t="str">
        <f t="shared" si="3"/>
        <v>0.000218548796300415-0.000264841713499885i</v>
      </c>
      <c r="W23" s="5" t="str">
        <f t="shared" si="3"/>
        <v>0.000214110286428024-0.000242793644611469i</v>
      </c>
      <c r="X23" s="5" t="str">
        <f t="shared" si="3"/>
        <v>0.000208816406462623-0.000223022063178325i</v>
      </c>
      <c r="Y23" s="5" t="str">
        <f t="shared" si="3"/>
        <v>0.000203557088132905-0.000205451515507178i</v>
      </c>
      <c r="Z23" s="5" t="str">
        <f t="shared" si="3"/>
        <v>0.000199769419705955-0.000189486202962655i</v>
      </c>
      <c r="AA23" s="5" t="str">
        <f t="shared" si="3"/>
        <v>0.000197411660009152-0.000174186729502579i</v>
      </c>
      <c r="AB23" s="5" t="str">
        <f t="shared" si="3"/>
        <v>0.00019550994758331-0.000159299065951011i</v>
      </c>
      <c r="AC23" s="5" t="str">
        <f t="shared" si="3"/>
        <v>0.00019310562966614-0.000145041598151276i</v>
      </c>
      <c r="AD23" s="5" t="str">
        <f t="shared" si="3"/>
        <v>0.000190045729370558-0.000131782817998825i</v>
      </c>
      <c r="AE23" s="5" t="str">
        <f t="shared" si="3"/>
        <v>0.000186834907905204-0.000119913112939233i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0.0000376991118430775i</v>
      </c>
      <c r="C24" s="6" t="str">
        <f t="shared" si="4"/>
        <v>0.0000422230052642468i</v>
      </c>
      <c r="D24" s="6" t="str">
        <f t="shared" si="4"/>
        <v>0.0000472897658959564i</v>
      </c>
      <c r="E24" s="6" t="str">
        <f t="shared" si="4"/>
        <v>0.0000529645378034712i</v>
      </c>
      <c r="F24" s="6" t="str">
        <f t="shared" si="4"/>
        <v>0.0000593202823398878i</v>
      </c>
      <c r="G24" s="6" t="str">
        <f t="shared" si="4"/>
        <v>0.0000664387162206743i</v>
      </c>
      <c r="H24" s="6" t="str">
        <f t="shared" si="4"/>
        <v>0.0000744113621671552i</v>
      </c>
      <c r="I24" s="6" t="str">
        <f t="shared" si="4"/>
        <v>0.0000833407256272139i</v>
      </c>
      <c r="J24" s="6" t="str">
        <f t="shared" si="4"/>
        <v>0.0000933416127024796i</v>
      </c>
      <c r="K24" s="6" t="str">
        <f t="shared" si="4"/>
        <v>0.000104542606226777i</v>
      </c>
      <c r="L24" s="6" t="str">
        <f t="shared" si="4"/>
        <v>0.00011708771897399i</v>
      </c>
      <c r="M24" s="6" t="str">
        <f t="shared" si="4"/>
        <v>0.000131138245250869i</v>
      </c>
      <c r="N24" s="6" t="str">
        <f t="shared" si="4"/>
        <v>0.000146874834680974i</v>
      </c>
      <c r="O24" s="6" t="str">
        <f t="shared" si="4"/>
        <v>0.00016449981484269i</v>
      </c>
      <c r="P24" s="6" t="str">
        <f t="shared" si="4"/>
        <v>0.000184239792623813i</v>
      </c>
      <c r="Q24" s="6" t="str">
        <f t="shared" si="4"/>
        <v>0.000206348567738671i</v>
      </c>
      <c r="R24" s="6" t="str">
        <f t="shared" si="4"/>
        <v>0.000231110395867311i</v>
      </c>
      <c r="S24" s="6" t="str">
        <f t="shared" si="4"/>
        <v>0.000258843643371389i</v>
      </c>
      <c r="T24" s="6" t="str">
        <f t="shared" si="4"/>
        <v>0.000289904880575955i</v>
      </c>
      <c r="U24" s="6" t="str">
        <f t="shared" si="4"/>
        <v>0.00032469346624507i</v>
      </c>
      <c r="V24" s="6" t="str">
        <f t="shared" si="4"/>
        <v>0.000363656682194479i</v>
      </c>
      <c r="W24" s="6" t="str">
        <f t="shared" si="4"/>
        <v>0.000407295484057816i</v>
      </c>
      <c r="X24" s="6" t="str">
        <f t="shared" si="4"/>
        <v>0.000456170942144754i</v>
      </c>
      <c r="Y24" s="6" t="str">
        <f t="shared" si="4"/>
        <v>0.000510911455202125i</v>
      </c>
      <c r="Z24" s="6" t="str">
        <f t="shared" si="4"/>
        <v>0.00057222082982638i</v>
      </c>
      <c r="AA24" s="6" t="str">
        <f t="shared" si="4"/>
        <v>0.000640887329405545i</v>
      </c>
      <c r="AB24" s="6" t="str">
        <f t="shared" si="4"/>
        <v>0.000717793808934211i</v>
      </c>
      <c r="AC24" s="6" t="str">
        <f t="shared" si="4"/>
        <v>0.000803929066006316i</v>
      </c>
      <c r="AD24" s="6" t="str">
        <f t="shared" si="4"/>
        <v>0.000900400553927074i</v>
      </c>
      <c r="AE24" s="6" t="str">
        <f t="shared" si="4"/>
        <v>0.00100844862039832i</v>
      </c>
    </row>
    <row r="25" spans="1:31" x14ac:dyDescent="0.2">
      <c r="A25" t="s">
        <v>14</v>
      </c>
      <c r="B25" s="6" t="str">
        <f t="shared" ref="B25:AE25" si="5">IMDIV(1,IMSUM(B23,B24))</f>
        <v>57.224890884644+665.46659924804i</v>
      </c>
      <c r="C25" s="6" t="str">
        <f t="shared" si="5"/>
        <v>81.1912937826334+727.639186516853i</v>
      </c>
      <c r="D25" s="6" t="str">
        <f t="shared" si="5"/>
        <v>111.225603823183+789.141111801305i</v>
      </c>
      <c r="E25" s="6" t="str">
        <f t="shared" si="5"/>
        <v>148.739917048807+850.907950508493i</v>
      </c>
      <c r="F25" s="6" t="str">
        <f t="shared" si="5"/>
        <v>195.60539312706+918.141328128739i</v>
      </c>
      <c r="G25" s="6" t="str">
        <f t="shared" si="5"/>
        <v>253.930108697677+996.825414340974i</v>
      </c>
      <c r="H25" s="6" t="str">
        <f t="shared" si="5"/>
        <v>326.109607951127+1089.90444388134i</v>
      </c>
      <c r="I25" s="6" t="str">
        <f t="shared" si="5"/>
        <v>414.860105463491+1198.10089445313i</v>
      </c>
      <c r="J25" s="6" t="str">
        <f t="shared" si="5"/>
        <v>523.290665178291+1316.0166519331i</v>
      </c>
      <c r="K25" s="6" t="str">
        <f t="shared" si="5"/>
        <v>654.914817271184+1436.39485753908i</v>
      </c>
      <c r="L25" s="6" t="str">
        <f t="shared" si="5"/>
        <v>814.38742080376+1555.71384277554i</v>
      </c>
      <c r="M25" s="6" t="str">
        <f t="shared" si="5"/>
        <v>1008.25148762062+1671.09497326889i</v>
      </c>
      <c r="N25" s="6" t="str">
        <f t="shared" si="5"/>
        <v>1247.63119745489+1782.94460280299i</v>
      </c>
      <c r="O25" s="6" t="str">
        <f t="shared" si="5"/>
        <v>1553.79371308972+1890.82077400624i</v>
      </c>
      <c r="P25" s="6" t="str">
        <f t="shared" si="5"/>
        <v>1954.80878838469+1978.0301293965i</v>
      </c>
      <c r="Q25" s="6" t="str">
        <f t="shared" si="5"/>
        <v>2481.96711800189+1999.80362185157i</v>
      </c>
      <c r="R25" s="6" t="str">
        <f t="shared" si="5"/>
        <v>3145.21396674824+1852.21196992783i</v>
      </c>
      <c r="S25" s="6" t="str">
        <f t="shared" si="5"/>
        <v>3862.58180674917+1374.48615932732i</v>
      </c>
      <c r="T25" s="6" t="str">
        <f t="shared" si="5"/>
        <v>4388.88669078735+465.545903551339i</v>
      </c>
      <c r="U25" s="6" t="str">
        <f t="shared" si="5"/>
        <v>4389.24323642148-711.698014007222i</v>
      </c>
      <c r="V25" s="6" t="str">
        <f t="shared" si="5"/>
        <v>3799.00037452069-1717.68552119132i</v>
      </c>
      <c r="W25" s="6" t="str">
        <f t="shared" si="5"/>
        <v>2936.87700312736-2256.41503405552i</v>
      </c>
      <c r="X25" s="6" t="str">
        <f t="shared" si="5"/>
        <v>2131.59115515963-2379.97625119164i</v>
      </c>
      <c r="Y25" s="6" t="str">
        <f t="shared" si="5"/>
        <v>1510.7256958303-2267.01110816949i</v>
      </c>
      <c r="Z25" s="6" t="str">
        <f t="shared" si="5"/>
        <v>1071.7610633236-2053.36768391283i</v>
      </c>
      <c r="AA25" s="6" t="str">
        <f t="shared" si="5"/>
        <v>768.794433474818-1817.50573035111i</v>
      </c>
      <c r="AB25" s="6" t="str">
        <f t="shared" si="5"/>
        <v>558.375674299955-1595.05888350433i</v>
      </c>
      <c r="AC25" s="6" t="str">
        <f t="shared" si="5"/>
        <v>409.623295581553-1397.65814423323i</v>
      </c>
      <c r="AD25" s="6" t="str">
        <f t="shared" si="5"/>
        <v>303.156130255758-1226.07952960425i</v>
      </c>
      <c r="AE25" s="6" t="str">
        <f t="shared" si="5"/>
        <v>226.630654632509-1077.79314892189i</v>
      </c>
    </row>
    <row r="26" spans="1:31" x14ac:dyDescent="0.2">
      <c r="A26" t="s">
        <v>6</v>
      </c>
      <c r="B26" s="5">
        <f t="shared" ref="B26:AE26" si="6">IMREAL(B25)</f>
        <v>57.224890884643997</v>
      </c>
      <c r="C26" s="5">
        <f t="shared" si="6"/>
        <v>81.191293782633394</v>
      </c>
      <c r="D26" s="5">
        <f t="shared" si="6"/>
        <v>111.22560382318299</v>
      </c>
      <c r="E26" s="5">
        <f t="shared" si="6"/>
        <v>148.739917048807</v>
      </c>
      <c r="F26" s="5">
        <f t="shared" si="6"/>
        <v>195.60539312706001</v>
      </c>
      <c r="G26" s="5">
        <f t="shared" si="6"/>
        <v>253.93010869767701</v>
      </c>
      <c r="H26" s="5">
        <f t="shared" si="6"/>
        <v>326.10960795112697</v>
      </c>
      <c r="I26" s="5">
        <f t="shared" si="6"/>
        <v>414.86010546349098</v>
      </c>
      <c r="J26" s="5">
        <f t="shared" si="6"/>
        <v>523.29066517829096</v>
      </c>
      <c r="K26" s="5">
        <f t="shared" si="6"/>
        <v>654.91481727118401</v>
      </c>
      <c r="L26" s="5">
        <f t="shared" si="6"/>
        <v>814.38742080376005</v>
      </c>
      <c r="M26" s="5">
        <f t="shared" si="6"/>
        <v>1008.25148762062</v>
      </c>
      <c r="N26" s="5">
        <f t="shared" si="6"/>
        <v>1247.6311974548901</v>
      </c>
      <c r="O26" s="5">
        <f t="shared" si="6"/>
        <v>1553.7937130897201</v>
      </c>
      <c r="P26" s="5">
        <f t="shared" si="6"/>
        <v>1954.8087883846899</v>
      </c>
      <c r="Q26" s="5">
        <f t="shared" si="6"/>
        <v>2481.96711800189</v>
      </c>
      <c r="R26" s="5">
        <f t="shared" si="6"/>
        <v>3145.2139667482402</v>
      </c>
      <c r="S26" s="5">
        <f t="shared" si="6"/>
        <v>3862.58180674917</v>
      </c>
      <c r="T26" s="5">
        <f t="shared" si="6"/>
        <v>4388.8866907873498</v>
      </c>
      <c r="U26" s="5">
        <f t="shared" si="6"/>
        <v>4389.2432364214801</v>
      </c>
      <c r="V26" s="5">
        <f t="shared" si="6"/>
        <v>3799.00037452069</v>
      </c>
      <c r="W26" s="5">
        <f t="shared" si="6"/>
        <v>2936.8770031273598</v>
      </c>
      <c r="X26" s="5">
        <f t="shared" si="6"/>
        <v>2131.59115515963</v>
      </c>
      <c r="Y26" s="5">
        <f t="shared" si="6"/>
        <v>1510.7256958303001</v>
      </c>
      <c r="Z26" s="5">
        <f t="shared" si="6"/>
        <v>1071.7610633236</v>
      </c>
      <c r="AA26" s="5">
        <f t="shared" si="6"/>
        <v>768.79443347481799</v>
      </c>
      <c r="AB26" s="5">
        <f t="shared" si="6"/>
        <v>558.37567429995499</v>
      </c>
      <c r="AC26" s="5">
        <f t="shared" si="6"/>
        <v>409.62329558155301</v>
      </c>
      <c r="AD26" s="5">
        <f t="shared" si="6"/>
        <v>303.156130255758</v>
      </c>
      <c r="AE26" s="5">
        <f t="shared" si="6"/>
        <v>226.63065463250899</v>
      </c>
    </row>
    <row r="27" spans="1:31" x14ac:dyDescent="0.2">
      <c r="A27" t="s">
        <v>7</v>
      </c>
      <c r="B27" s="5">
        <f t="shared" ref="B27:AE27" si="7">IMAGINARY(B25)</f>
        <v>665.46659924803998</v>
      </c>
      <c r="C27" s="5">
        <f t="shared" si="7"/>
        <v>727.63918651685299</v>
      </c>
      <c r="D27" s="5">
        <f t="shared" si="7"/>
        <v>789.14111180130499</v>
      </c>
      <c r="E27" s="5">
        <f t="shared" si="7"/>
        <v>850.90795050849295</v>
      </c>
      <c r="F27" s="5">
        <f t="shared" si="7"/>
        <v>918.14132812873902</v>
      </c>
      <c r="G27" s="5">
        <f t="shared" si="7"/>
        <v>996.82541434097402</v>
      </c>
      <c r="H27" s="5">
        <f t="shared" si="7"/>
        <v>1089.9044438813401</v>
      </c>
      <c r="I27" s="5">
        <f t="shared" si="7"/>
        <v>1198.10089445313</v>
      </c>
      <c r="J27" s="5">
        <f t="shared" si="7"/>
        <v>1316.0166519331001</v>
      </c>
      <c r="K27" s="5">
        <f t="shared" si="7"/>
        <v>1436.39485753908</v>
      </c>
      <c r="L27" s="5">
        <f t="shared" si="7"/>
        <v>1555.7138427755399</v>
      </c>
      <c r="M27" s="5">
        <f t="shared" si="7"/>
        <v>1671.09497326889</v>
      </c>
      <c r="N27" s="5">
        <f t="shared" si="7"/>
        <v>1782.9446028029899</v>
      </c>
      <c r="O27" s="5">
        <f t="shared" si="7"/>
        <v>1890.8207740062401</v>
      </c>
      <c r="P27" s="5">
        <f t="shared" si="7"/>
        <v>1978.0301293964999</v>
      </c>
      <c r="Q27" s="5">
        <f t="shared" si="7"/>
        <v>1999.8036218515699</v>
      </c>
      <c r="R27" s="5">
        <f t="shared" si="7"/>
        <v>1852.2119699278301</v>
      </c>
      <c r="S27" s="5">
        <f t="shared" si="7"/>
        <v>1374.4861593273199</v>
      </c>
      <c r="T27" s="5">
        <f t="shared" si="7"/>
        <v>465.54590355133899</v>
      </c>
      <c r="U27" s="5">
        <f t="shared" si="7"/>
        <v>-711.69801400722201</v>
      </c>
      <c r="V27" s="5">
        <f t="shared" si="7"/>
        <v>-1717.68552119132</v>
      </c>
      <c r="W27" s="5">
        <f t="shared" si="7"/>
        <v>-2256.4150340555202</v>
      </c>
      <c r="X27" s="5">
        <f t="shared" si="7"/>
        <v>-2379.9762511916401</v>
      </c>
      <c r="Y27" s="5">
        <f t="shared" si="7"/>
        <v>-2267.0111081694899</v>
      </c>
      <c r="Z27" s="5">
        <f t="shared" si="7"/>
        <v>-2053.3676839128302</v>
      </c>
      <c r="AA27" s="5">
        <f t="shared" si="7"/>
        <v>-1817.5057303511101</v>
      </c>
      <c r="AB27" s="5">
        <f t="shared" si="7"/>
        <v>-1595.05888350433</v>
      </c>
      <c r="AC27" s="5">
        <f t="shared" si="7"/>
        <v>-1397.6581442332299</v>
      </c>
      <c r="AD27" s="5">
        <f t="shared" si="7"/>
        <v>-1226.07952960425</v>
      </c>
      <c r="AE27" s="5">
        <f t="shared" si="7"/>
        <v>-1077.79314892189</v>
      </c>
    </row>
    <row r="28" spans="1:31" x14ac:dyDescent="0.2">
      <c r="A28" t="s">
        <v>15</v>
      </c>
      <c r="B28" s="5">
        <f t="shared" ref="B28:AE28" si="8">IMABS(B25)</f>
        <v>667.92251261019112</v>
      </c>
      <c r="C28" s="5">
        <f t="shared" si="8"/>
        <v>732.1549097977869</v>
      </c>
      <c r="D28" s="5">
        <f t="shared" si="8"/>
        <v>796.94091956733621</v>
      </c>
      <c r="E28" s="5">
        <f t="shared" si="8"/>
        <v>863.81010827742091</v>
      </c>
      <c r="F28" s="5">
        <f t="shared" si="8"/>
        <v>938.74648773691638</v>
      </c>
      <c r="G28" s="5">
        <f t="shared" si="8"/>
        <v>1028.6600054338987</v>
      </c>
      <c r="H28" s="5">
        <f t="shared" si="8"/>
        <v>1137.6463304517492</v>
      </c>
      <c r="I28" s="5">
        <f t="shared" si="8"/>
        <v>1267.8937890827326</v>
      </c>
      <c r="J28" s="5">
        <f t="shared" si="8"/>
        <v>1416.2390152894193</v>
      </c>
      <c r="K28" s="5">
        <f t="shared" si="8"/>
        <v>1578.6524648085349</v>
      </c>
      <c r="L28" s="5">
        <f t="shared" si="8"/>
        <v>1755.9818996125325</v>
      </c>
      <c r="M28" s="5">
        <f t="shared" si="8"/>
        <v>1951.6991243462055</v>
      </c>
      <c r="N28" s="5">
        <f t="shared" si="8"/>
        <v>2176.1146710426442</v>
      </c>
      <c r="O28" s="5">
        <f t="shared" si="8"/>
        <v>2447.3410269618525</v>
      </c>
      <c r="P28" s="5">
        <f t="shared" si="8"/>
        <v>2780.9855432825166</v>
      </c>
      <c r="Q28" s="5">
        <f t="shared" si="8"/>
        <v>3187.3774958127042</v>
      </c>
      <c r="R28" s="5">
        <f t="shared" si="8"/>
        <v>3650.0767222309364</v>
      </c>
      <c r="S28" s="5">
        <f t="shared" si="8"/>
        <v>4099.8476088767065</v>
      </c>
      <c r="T28" s="5">
        <f t="shared" si="8"/>
        <v>4413.5087371482305</v>
      </c>
      <c r="U28" s="5">
        <f t="shared" si="8"/>
        <v>4446.5683680354605</v>
      </c>
      <c r="V28" s="5">
        <f t="shared" si="8"/>
        <v>4169.2742048609171</v>
      </c>
      <c r="W28" s="5">
        <f t="shared" si="8"/>
        <v>3703.6003209593387</v>
      </c>
      <c r="X28" s="5">
        <f t="shared" si="8"/>
        <v>3194.9910499078051</v>
      </c>
      <c r="Y28" s="5">
        <f t="shared" si="8"/>
        <v>2724.2671478043048</v>
      </c>
      <c r="Z28" s="5">
        <f t="shared" si="8"/>
        <v>2316.2449400255741</v>
      </c>
      <c r="AA28" s="5">
        <f t="shared" si="8"/>
        <v>1973.4163171518037</v>
      </c>
      <c r="AB28" s="5">
        <f t="shared" si="8"/>
        <v>1689.9693001637661</v>
      </c>
      <c r="AC28" s="5">
        <f t="shared" si="8"/>
        <v>1456.4475728376112</v>
      </c>
      <c r="AD28" s="5">
        <f t="shared" si="8"/>
        <v>1263.0022376172676</v>
      </c>
      <c r="AE28" s="5">
        <f t="shared" si="8"/>
        <v>1101.362576757592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 xr:uid="{00000000-0004-0000-0D00-000000000000}"/>
  </hyperlinks>
  <pageMargins left="0.75" right="0.75" top="1" bottom="1" header="0.5" footer="0.5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AE35"/>
  <sheetViews>
    <sheetView topLeftCell="A22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29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1.0838494654884789E-3</v>
      </c>
    </row>
    <row r="18" spans="1:31" x14ac:dyDescent="0.2">
      <c r="A18" t="s">
        <v>2</v>
      </c>
      <c r="B18" s="10">
        <v>1</v>
      </c>
      <c r="C18" s="10">
        <f>B18*1.06</f>
        <v>1.06</v>
      </c>
      <c r="D18" s="10">
        <f t="shared" ref="D18:AE18" si="0">C18*1.06</f>
        <v>1.1236000000000002</v>
      </c>
      <c r="E18" s="10">
        <f t="shared" si="0"/>
        <v>1.1910160000000003</v>
      </c>
      <c r="F18" s="10">
        <f t="shared" si="0"/>
        <v>1.2624769600000003</v>
      </c>
      <c r="G18" s="10">
        <f t="shared" si="0"/>
        <v>1.3382255776000005</v>
      </c>
      <c r="H18" s="10">
        <f t="shared" si="0"/>
        <v>1.4185191122560006</v>
      </c>
      <c r="I18" s="10">
        <f t="shared" si="0"/>
        <v>1.5036302589913606</v>
      </c>
      <c r="J18" s="10">
        <f t="shared" si="0"/>
        <v>1.5938480745308423</v>
      </c>
      <c r="K18" s="10">
        <f t="shared" si="0"/>
        <v>1.6894789590026928</v>
      </c>
      <c r="L18" s="10">
        <f t="shared" si="0"/>
        <v>1.7908476965428546</v>
      </c>
      <c r="M18" s="10">
        <f t="shared" si="0"/>
        <v>1.8982985583354259</v>
      </c>
      <c r="N18" s="10">
        <f t="shared" si="0"/>
        <v>2.0121964718355514</v>
      </c>
      <c r="O18" s="10">
        <f t="shared" si="0"/>
        <v>2.1329282601456847</v>
      </c>
      <c r="P18" s="10">
        <f t="shared" si="0"/>
        <v>2.2609039557544257</v>
      </c>
      <c r="Q18" s="10">
        <f t="shared" si="0"/>
        <v>2.3965581930996915</v>
      </c>
      <c r="R18" s="10">
        <f t="shared" si="0"/>
        <v>2.5403516846856733</v>
      </c>
      <c r="S18" s="10">
        <f t="shared" si="0"/>
        <v>2.692772785766814</v>
      </c>
      <c r="T18" s="10">
        <f t="shared" si="0"/>
        <v>2.8543391529128228</v>
      </c>
      <c r="U18" s="10">
        <f t="shared" si="0"/>
        <v>3.0255995020875925</v>
      </c>
      <c r="V18" s="10">
        <f t="shared" si="0"/>
        <v>3.2071354722128484</v>
      </c>
      <c r="W18" s="10">
        <f t="shared" si="0"/>
        <v>3.3995636005456196</v>
      </c>
      <c r="X18" s="10">
        <f t="shared" si="0"/>
        <v>3.6035374165783569</v>
      </c>
      <c r="Y18" s="10">
        <f t="shared" si="0"/>
        <v>3.8197496615730584</v>
      </c>
      <c r="Z18" s="10">
        <f t="shared" si="0"/>
        <v>4.0489346412674418</v>
      </c>
      <c r="AA18" s="10">
        <f t="shared" si="0"/>
        <v>4.2918707197434882</v>
      </c>
      <c r="AB18" s="10">
        <f t="shared" si="0"/>
        <v>4.5493829629280977</v>
      </c>
      <c r="AC18" s="10">
        <f t="shared" si="0"/>
        <v>4.8223459407037836</v>
      </c>
      <c r="AD18" s="10">
        <f t="shared" si="0"/>
        <v>5.1116866971460109</v>
      </c>
      <c r="AE18" s="10">
        <f t="shared" si="0"/>
        <v>5.418387898974772</v>
      </c>
    </row>
    <row r="19" spans="1:31" x14ac:dyDescent="0.2">
      <c r="A19" t="s">
        <v>4</v>
      </c>
      <c r="B19" s="7">
        <f>csinterpolate(CSTableU2,'2643167851x3 5t'!B18*1000000)</f>
        <v>62.806156889999997</v>
      </c>
      <c r="C19" s="7">
        <f>csinterpolate(CSTableU2,'2643167851x3 5t'!C18*1000000)</f>
        <v>70.915016219551305</v>
      </c>
      <c r="D19" s="7">
        <f>csinterpolate(CSTableU2,'2643167851x3 5t'!D18*1000000)</f>
        <v>79.151116321456982</v>
      </c>
      <c r="E19" s="7">
        <f>csinterpolate(CSTableU2,'2643167851x3 5t'!E18*1000000)</f>
        <v>87.505246853820353</v>
      </c>
      <c r="F19" s="7">
        <f>csinterpolate(CSTableU2,'2643167851x3 5t'!F18*1000000)</f>
        <v>95.970840375039188</v>
      </c>
      <c r="G19" s="7">
        <f>csinterpolate(CSTableU2,'2643167851x3 5t'!G18*1000000)</f>
        <v>104.54550147973526</v>
      </c>
      <c r="H19" s="7">
        <f>csinterpolate(CSTableU2,'2643167851x3 5t'!H18*1000000)</f>
        <v>113.23274405312361</v>
      </c>
      <c r="I19" s="7">
        <f>csinterpolate(CSTableU2,'2643167851x3 5t'!I18*1000000)</f>
        <v>122.02367292257604</v>
      </c>
      <c r="J19" s="7">
        <f>csinterpolate(CSTableU2,'2643167851x3 5t'!J18*1000000)</f>
        <v>130.87713470162191</v>
      </c>
      <c r="K19" s="7">
        <f>csinterpolate(CSTableU2,'2643167851x3 5t'!K18*1000000)</f>
        <v>139.74096919351098</v>
      </c>
      <c r="L19" s="7">
        <f>csinterpolate(CSTableU2,'2643167851x3 5t'!L18*1000000)</f>
        <v>148.55329087351495</v>
      </c>
      <c r="M19" s="7">
        <f>csinterpolate(CSTableU2,'2643167851x3 5t'!M18*1000000)</f>
        <v>157.24110916393408</v>
      </c>
      <c r="N19" s="7">
        <f>csinterpolate(CSTableU2,'2643167851x3 5t'!N18*1000000)</f>
        <v>165.71885263521324</v>
      </c>
      <c r="O19" s="7">
        <f>csinterpolate(CSTableU2,'2643167851x3 5t'!O18*1000000)</f>
        <v>173.89559574148473</v>
      </c>
      <c r="P19" s="7">
        <f>csinterpolate(CSTableU2,'2643167851x3 5t'!P18*1000000)</f>
        <v>181.69948064441911</v>
      </c>
      <c r="Q19" s="7">
        <f>csinterpolate(CSTableU2,'2643167851x3 5t'!Q18*1000000)</f>
        <v>189.06367698465081</v>
      </c>
      <c r="R19" s="7">
        <f>csinterpolate(CSTableU2,'2643167851x3 5t'!R18*1000000)</f>
        <v>195.92374953023966</v>
      </c>
      <c r="S19" s="7">
        <f>csinterpolate(CSTableU2,'2643167851x3 5t'!S18*1000000)</f>
        <v>202.22083685720045</v>
      </c>
      <c r="T19" s="7">
        <f>csinterpolate(CSTableU2,'2643167851x3 5t'!T18*1000000)</f>
        <v>207.90588673827276</v>
      </c>
      <c r="U19" s="7">
        <f>csinterpolate(CSTableU2,'2643167851x3 5t'!U18*1000000)</f>
        <v>212.94511841508285</v>
      </c>
      <c r="V19" s="7">
        <f>csinterpolate(CSTableU2,'2643167851x3 5t'!V18*1000000)</f>
        <v>217.32080823360155</v>
      </c>
      <c r="W19" s="7">
        <f>csinterpolate(CSTableU2,'2643167851x3 5t'!W18*1000000)</f>
        <v>221.01897429954104</v>
      </c>
      <c r="X19" s="7">
        <f>csinterpolate(CSTableU2,'2643167851x3 5t'!X18*1000000)</f>
        <v>224.04935553717519</v>
      </c>
      <c r="Y19" s="7">
        <f>csinterpolate(CSTableU2,'2643167851x3 5t'!Y18*1000000)</f>
        <v>226.46030936917762</v>
      </c>
      <c r="Z19" s="7">
        <f>csinterpolate(CSTableU2,'2643167851x3 5t'!Z18*1000000)</f>
        <v>228.35183233344961</v>
      </c>
      <c r="AA19" s="7">
        <f>csinterpolate(CSTableU2,'2643167851x3 5t'!AA18*1000000)</f>
        <v>229.83301717401378</v>
      </c>
      <c r="AB19" s="7">
        <f>csinterpolate(CSTableU2,'2643167851x3 5t'!AB18*1000000)</f>
        <v>230.90575794838244</v>
      </c>
      <c r="AC19" s="7">
        <f>csinterpolate(CSTableU2,'2643167851x3 5t'!AC18*1000000)</f>
        <v>231.56121226764634</v>
      </c>
      <c r="AD19" s="7">
        <f>csinterpolate(CSTableU2,'2643167851x3 5t'!AD18*1000000)</f>
        <v>231.80666843925172</v>
      </c>
      <c r="AE19" s="7">
        <f>csinterpolate(CSTableU2,'2643167851x3 5t'!AE18*1000000)</f>
        <v>231.67142655602493</v>
      </c>
    </row>
    <row r="20" spans="1:31" x14ac:dyDescent="0.2">
      <c r="A20" t="s">
        <v>3</v>
      </c>
      <c r="B20" s="7">
        <f>csinterpolate(CSTableU1,'2643167851x3 5t'!B18*1000000)</f>
        <v>748.82965526252349</v>
      </c>
      <c r="C20" s="7">
        <f>csinterpolate(CSTableU1,'2643167851x3 5t'!C18*1000000)</f>
        <v>738.48518951823837</v>
      </c>
      <c r="D20" s="7">
        <f>csinterpolate(CSTableU1,'2643167851x3 5t'!D18*1000000)</f>
        <v>726.49822550840213</v>
      </c>
      <c r="E20" s="7">
        <f>csinterpolate(CSTableU1,'2643167851x3 5t'!E18*1000000)</f>
        <v>713.0029633892749</v>
      </c>
      <c r="F20" s="7">
        <f>csinterpolate(CSTableU1,'2643167851x3 5t'!F18*1000000)</f>
        <v>698.23919621743528</v>
      </c>
      <c r="G20" s="7">
        <f>csinterpolate(CSTableU1,'2643167851x3 5t'!G18*1000000)</f>
        <v>682.58357707154323</v>
      </c>
      <c r="H20" s="7">
        <f>csinterpolate(CSTableU1,'2643167851x3 5t'!H18*1000000)</f>
        <v>666.58860174642564</v>
      </c>
      <c r="I20" s="7">
        <f>csinterpolate(CSTableU1,'2643167851x3 5t'!I18*1000000)</f>
        <v>651.02334736954651</v>
      </c>
      <c r="J20" s="7">
        <f>csinterpolate(CSTableU1,'2643167851x3 5t'!J18*1000000)</f>
        <v>636.50090542350642</v>
      </c>
      <c r="K20" s="7">
        <f>csinterpolate(CSTableU1,'2643167851x3 5t'!K18*1000000)</f>
        <v>623.11484398349842</v>
      </c>
      <c r="L20" s="7">
        <f>csinterpolate(CSTableU1,'2643167851x3 5t'!L18*1000000)</f>
        <v>610.86456898049414</v>
      </c>
      <c r="M20" s="7">
        <f>csinterpolate(CSTableU1,'2643167851x3 5t'!M18*1000000)</f>
        <v>599.68028378883514</v>
      </c>
      <c r="N20" s="7">
        <f>csinterpolate(CSTableU1,'2643167851x3 5t'!N18*1000000)</f>
        <v>589.39900382215819</v>
      </c>
      <c r="O20" s="7">
        <f>csinterpolate(CSTableU1,'2643167851x3 5t'!O18*1000000)</f>
        <v>579.73390476157306</v>
      </c>
      <c r="P20" s="7">
        <f>csinterpolate(CSTableU1,'2643167851x3 5t'!P18*1000000)</f>
        <v>570.23659496039284</v>
      </c>
      <c r="Q20" s="7">
        <f>csinterpolate(CSTableU1,'2643167851x3 5t'!Q18*1000000)</f>
        <v>560.27252697024608</v>
      </c>
      <c r="R20" s="7">
        <f>csinterpolate(CSTableU1,'2643167851x3 5t'!R18*1000000)</f>
        <v>549.45783985838466</v>
      </c>
      <c r="S20" s="7">
        <f>csinterpolate(CSTableU1,'2643167851x3 5t'!S18*1000000)</f>
        <v>537.79372831364503</v>
      </c>
      <c r="T20" s="7">
        <f>csinterpolate(CSTableU1,'2643167851x3 5t'!T18*1000000)</f>
        <v>525.32597018923673</v>
      </c>
      <c r="U20" s="7">
        <f>csinterpolate(CSTableU1,'2643167851x3 5t'!U18*1000000)</f>
        <v>512.1382263845353</v>
      </c>
      <c r="V20" s="7">
        <f>csinterpolate(CSTableU1,'2643167851x3 5t'!V18*1000000)</f>
        <v>498.36314350416728</v>
      </c>
      <c r="W20" s="7">
        <f>csinterpolate(CSTableU1,'2643167851x3 5t'!W18*1000000)</f>
        <v>484.19601287000597</v>
      </c>
      <c r="X20" s="7">
        <f>csinterpolate(CSTableU1,'2643167851x3 5t'!X18*1000000)</f>
        <v>469.9115267138128</v>
      </c>
      <c r="Y20" s="7">
        <f>csinterpolate(CSTableU1,'2643167851x3 5t'!Y18*1000000)</f>
        <v>455.88213437553276</v>
      </c>
      <c r="Z20" s="7">
        <f>csinterpolate(CSTableU1,'2643167851x3 5t'!Z18*1000000)</f>
        <v>442.4205189346157</v>
      </c>
      <c r="AA20" s="7">
        <f>csinterpolate(CSTableU1,'2643167851x3 5t'!AA18*1000000)</f>
        <v>429.59150845734803</v>
      </c>
      <c r="AB20" s="7">
        <f>csinterpolate(CSTableU1,'2643167851x3 5t'!AB18*1000000)</f>
        <v>417.40565703773854</v>
      </c>
      <c r="AC20" s="7">
        <f>csinterpolate(CSTableU1,'2643167851x3 5t'!AC18*1000000)</f>
        <v>405.83168083082626</v>
      </c>
      <c r="AD20" s="7">
        <f>csinterpolate(CSTableU1,'2643167851x3 5t'!AD18*1000000)</f>
        <v>394.78097627455514</v>
      </c>
      <c r="AE20" s="7">
        <f>csinterpolate(CSTableU1,'2643167851x3 5t'!AE18*1000000)</f>
        <v>384.08852898077271</v>
      </c>
    </row>
    <row r="21" spans="1:31" x14ac:dyDescent="0.2">
      <c r="A21" t="s">
        <v>10</v>
      </c>
      <c r="B21" s="5">
        <f t="shared" ref="B21:AE21" si="1">B19/$B$13*$B$16*B18*1000000</f>
        <v>85.090524468265059</v>
      </c>
      <c r="C21" s="5">
        <f t="shared" si="1"/>
        <v>101.84109321268444</v>
      </c>
      <c r="D21" s="5">
        <f t="shared" si="1"/>
        <v>120.48909869298885</v>
      </c>
      <c r="E21" s="5">
        <f t="shared" si="1"/>
        <v>141.19869110113956</v>
      </c>
      <c r="F21" s="5">
        <f t="shared" si="1"/>
        <v>164.15032222601789</v>
      </c>
      <c r="G21" s="5">
        <f t="shared" si="1"/>
        <v>189.54557810896424</v>
      </c>
      <c r="H21" s="5">
        <f t="shared" si="1"/>
        <v>217.61368558520329</v>
      </c>
      <c r="I21" s="5">
        <f t="shared" si="1"/>
        <v>248.57882497062204</v>
      </c>
      <c r="J21" s="5">
        <f t="shared" si="1"/>
        <v>282.61140314233086</v>
      </c>
      <c r="K21" s="5">
        <f t="shared" si="1"/>
        <v>319.85674929773216</v>
      </c>
      <c r="L21" s="5">
        <f t="shared" si="1"/>
        <v>360.42915238059459</v>
      </c>
      <c r="M21" s="5">
        <f t="shared" si="1"/>
        <v>404.39855706873669</v>
      </c>
      <c r="N21" s="5">
        <f t="shared" si="1"/>
        <v>451.77405040937293</v>
      </c>
      <c r="O21" s="5">
        <f t="shared" si="1"/>
        <v>502.50896244121941</v>
      </c>
      <c r="P21" s="5">
        <f t="shared" si="1"/>
        <v>556.56357558531727</v>
      </c>
      <c r="Q21" s="5">
        <f t="shared" si="1"/>
        <v>613.868091668999</v>
      </c>
      <c r="R21" s="5">
        <f t="shared" si="1"/>
        <v>674.310478692949</v>
      </c>
      <c r="S21" s="5">
        <f t="shared" si="1"/>
        <v>737.74214411270543</v>
      </c>
      <c r="T21" s="5">
        <f t="shared" si="1"/>
        <v>803.99128626944128</v>
      </c>
      <c r="U21" s="5">
        <f t="shared" si="1"/>
        <v>872.88716873784222</v>
      </c>
      <c r="V21" s="5">
        <f t="shared" si="1"/>
        <v>944.27305591155834</v>
      </c>
      <c r="W21" s="5">
        <f t="shared" si="1"/>
        <v>1017.9623378496005</v>
      </c>
      <c r="X21" s="5">
        <f t="shared" si="1"/>
        <v>1093.8347482060519</v>
      </c>
      <c r="Y21" s="5">
        <f t="shared" si="1"/>
        <v>1171.9416205264729</v>
      </c>
      <c r="Z21" s="5">
        <f t="shared" si="1"/>
        <v>1252.6341512618487</v>
      </c>
      <c r="AA21" s="5">
        <f t="shared" si="1"/>
        <v>1336.4048121062599</v>
      </c>
      <c r="AB21" s="5">
        <f t="shared" si="1"/>
        <v>1423.2010006705032</v>
      </c>
      <c r="AC21" s="5">
        <f t="shared" si="1"/>
        <v>1512.8753871734427</v>
      </c>
      <c r="AD21" s="5">
        <f t="shared" si="1"/>
        <v>1605.3477860990747</v>
      </c>
      <c r="AE21" s="5">
        <f t="shared" si="1"/>
        <v>1700.6758566606547</v>
      </c>
    </row>
    <row r="22" spans="1:31" x14ac:dyDescent="0.2">
      <c r="A22" t="s">
        <v>11</v>
      </c>
      <c r="B22" s="5">
        <f t="shared" ref="B22:AE22" si="2">B20/$B$13*$B$16*B18*1000000</f>
        <v>1014.52327699776</v>
      </c>
      <c r="C22" s="5">
        <f t="shared" si="2"/>
        <v>1060.5389807579136</v>
      </c>
      <c r="D22" s="5">
        <f t="shared" si="2"/>
        <v>1105.9239649641347</v>
      </c>
      <c r="E22" s="5">
        <f t="shared" si="2"/>
        <v>1150.5034132408032</v>
      </c>
      <c r="F22" s="5">
        <f t="shared" si="2"/>
        <v>1194.2813942445998</v>
      </c>
      <c r="G22" s="5">
        <f t="shared" si="2"/>
        <v>1237.5539539478807</v>
      </c>
      <c r="H22" s="5">
        <f t="shared" si="2"/>
        <v>1281.0676241059039</v>
      </c>
      <c r="I22" s="5">
        <f t="shared" si="2"/>
        <v>1326.2231404904885</v>
      </c>
      <c r="J22" s="5">
        <f t="shared" si="2"/>
        <v>1374.437287255739</v>
      </c>
      <c r="K22" s="5">
        <f t="shared" si="2"/>
        <v>1426.2638193079058</v>
      </c>
      <c r="L22" s="5">
        <f t="shared" si="2"/>
        <v>1482.1172760450149</v>
      </c>
      <c r="M22" s="5">
        <f t="shared" si="2"/>
        <v>1542.2801502496604</v>
      </c>
      <c r="N22" s="5">
        <f t="shared" si="2"/>
        <v>1606.7886726812012</v>
      </c>
      <c r="O22" s="5">
        <f t="shared" si="2"/>
        <v>1675.2665973600438</v>
      </c>
      <c r="P22" s="5">
        <f t="shared" si="2"/>
        <v>1746.6913889635305</v>
      </c>
      <c r="Q22" s="5">
        <f t="shared" si="2"/>
        <v>1819.1406854618358</v>
      </c>
      <c r="R22" s="5">
        <f t="shared" si="2"/>
        <v>1891.0682339678062</v>
      </c>
      <c r="S22" s="5">
        <f t="shared" si="2"/>
        <v>1961.9793112449834</v>
      </c>
      <c r="T22" s="5">
        <f t="shared" si="2"/>
        <v>2031.4840965272008</v>
      </c>
      <c r="U22" s="5">
        <f t="shared" si="2"/>
        <v>2099.3150242581637</v>
      </c>
      <c r="V22" s="5">
        <f t="shared" si="2"/>
        <v>2165.4202940591172</v>
      </c>
      <c r="W22" s="5">
        <f t="shared" si="2"/>
        <v>2230.0949807621564</v>
      </c>
      <c r="X22" s="5">
        <f t="shared" si="2"/>
        <v>2294.162173641419</v>
      </c>
      <c r="Y22" s="5">
        <f t="shared" si="2"/>
        <v>2359.2092089663352</v>
      </c>
      <c r="Z22" s="5">
        <f t="shared" si="2"/>
        <v>2426.9174701748589</v>
      </c>
      <c r="AA22" s="5">
        <f t="shared" si="2"/>
        <v>2497.9359632550604</v>
      </c>
      <c r="AB22" s="5">
        <f t="shared" si="2"/>
        <v>2572.7039206810732</v>
      </c>
      <c r="AC22" s="5">
        <f t="shared" si="2"/>
        <v>2651.4490715074276</v>
      </c>
      <c r="AD22" s="5">
        <f t="shared" si="2"/>
        <v>2734.0057580029224</v>
      </c>
      <c r="AE22" s="5">
        <f t="shared" si="2"/>
        <v>2819.5539595382133</v>
      </c>
    </row>
    <row r="23" spans="1:31" x14ac:dyDescent="0.2">
      <c r="A23" t="s">
        <v>12</v>
      </c>
      <c r="B23" s="5" t="str">
        <f t="shared" ref="B23:AE23" si="3">IMDIV(1,COMPLEX(B21,B22))</f>
        <v>0.0000820942583314702-0.000978799184816471i</v>
      </c>
      <c r="C23" s="5" t="str">
        <f t="shared" si="3"/>
        <v>0.0000897187815024146-0.000934301293199018i</v>
      </c>
      <c r="D23" s="5" t="str">
        <f t="shared" si="3"/>
        <v>0.0000973582064542187-0.000893614234578974i</v>
      </c>
      <c r="E23" s="5" t="str">
        <f t="shared" si="3"/>
        <v>0.000105090204108712-0.0008562872472992i</v>
      </c>
      <c r="F23" s="5" t="str">
        <f t="shared" si="3"/>
        <v>0.000112953683667516-0.000821798464883687i</v>
      </c>
      <c r="G23" s="5" t="str">
        <f t="shared" si="3"/>
        <v>0.00012092474036394-0.000789524567444589i</v>
      </c>
      <c r="H23" s="5" t="str">
        <f t="shared" si="3"/>
        <v>0.000128880650152816-0.000758706088913915i</v>
      </c>
      <c r="I23" s="5" t="str">
        <f t="shared" si="3"/>
        <v>0.000136532316461313-0.000728430177176853i</v>
      </c>
      <c r="J23" s="5" t="str">
        <f t="shared" si="3"/>
        <v>0.000143534282169132-0.000698057004137893i</v>
      </c>
      <c r="K23" s="5" t="str">
        <f t="shared" si="3"/>
        <v>0.000149708044323664-0.000667558735424504i</v>
      </c>
      <c r="L23" s="5" t="str">
        <f t="shared" si="3"/>
        <v>0.000154917960870035-0.000637036667701868i</v>
      </c>
      <c r="M23" s="5" t="str">
        <f t="shared" si="3"/>
        <v>0.000159076361077109-0.000606679499159221i</v>
      </c>
      <c r="N23" s="5" t="str">
        <f t="shared" si="3"/>
        <v>0.0001621662569335-0.000576763770508169i</v>
      </c>
      <c r="O23" s="5" t="str">
        <f t="shared" si="3"/>
        <v>0.000164270503743019-0.000547645730566205i</v>
      </c>
      <c r="P23" s="5" t="str">
        <f t="shared" si="3"/>
        <v>0.000165609723786967-0.000519741303880891i</v>
      </c>
      <c r="Q23" s="5" t="str">
        <f t="shared" si="3"/>
        <v>0.000166535619758093-0.000493512736029133i</v>
      </c>
      <c r="R23" s="5" t="str">
        <f t="shared" si="3"/>
        <v>0.000167288092494289-0.000469150647414263i</v>
      </c>
      <c r="S23" s="5" t="str">
        <f t="shared" si="3"/>
        <v>0.000167911901375766-0.000446551249972689i</v>
      </c>
      <c r="T23" s="5" t="str">
        <f t="shared" si="3"/>
        <v>0.000168434059617921-0.000425590574513576i</v>
      </c>
      <c r="U23" s="5" t="str">
        <f t="shared" si="3"/>
        <v>0.000168867824142525-0.000406131253881059i</v>
      </c>
      <c r="V23" s="5" t="str">
        <f t="shared" si="3"/>
        <v>0.000169203437213768-0.000388019709419273i</v>
      </c>
      <c r="W23" s="5" t="str">
        <f t="shared" si="3"/>
        <v>0.000169390185630658-0.000371090548952228i</v>
      </c>
      <c r="X23" s="5" t="str">
        <f t="shared" si="3"/>
        <v>0.000169333319950796-0.000355152456077448i</v>
      </c>
      <c r="Y23" s="5" t="str">
        <f t="shared" si="3"/>
        <v>0.0001688843319115-0.000339977234460494i</v>
      </c>
      <c r="Z23" s="5" t="str">
        <f t="shared" si="3"/>
        <v>0.00016793547003298-0.000325366768640709i</v>
      </c>
      <c r="AA23" s="5" t="str">
        <f t="shared" si="3"/>
        <v>0.000166516460453194-0.000311243607679331i</v>
      </c>
      <c r="AB23" s="5" t="str">
        <f t="shared" si="3"/>
        <v>0.000164640274166885-0.000297618311574822i</v>
      </c>
      <c r="AC23" s="5" t="str">
        <f t="shared" si="3"/>
        <v>0.000162343555026095-0.000284521561979649i</v>
      </c>
      <c r="AD23" s="5" t="str">
        <f t="shared" si="3"/>
        <v>0.000159705444222557-0.000271988168464038i</v>
      </c>
      <c r="AE23" s="5" t="str">
        <f t="shared" si="3"/>
        <v>0.000156857329591169-0.000260054085556187i</v>
      </c>
    </row>
    <row r="24" spans="1:31" x14ac:dyDescent="0.2">
      <c r="A24" t="s">
        <v>13</v>
      </c>
      <c r="B24" s="6" t="str">
        <f t="shared" ref="B24:AE24" si="4">COMPLEX(0,2*PI()*B18*1000000*$B$9*0.000000000001)</f>
        <v>0.000182212373908208i</v>
      </c>
      <c r="C24" s="6" t="str">
        <f t="shared" si="4"/>
        <v>0.0001931451163427i</v>
      </c>
      <c r="D24" s="6" t="str">
        <f t="shared" si="4"/>
        <v>0.000204733823323263i</v>
      </c>
      <c r="E24" s="6" t="str">
        <f t="shared" si="4"/>
        <v>0.000217017852722658i</v>
      </c>
      <c r="F24" s="6" t="str">
        <f t="shared" si="4"/>
        <v>0.000230038923886018i</v>
      </c>
      <c r="G24" s="6" t="str">
        <f t="shared" si="4"/>
        <v>0.000243841259319179i</v>
      </c>
      <c r="H24" s="6" t="str">
        <f t="shared" si="4"/>
        <v>0.00025847173487833i</v>
      </c>
      <c r="I24" s="6" t="str">
        <f t="shared" si="4"/>
        <v>0.000273980038971029i</v>
      </c>
      <c r="J24" s="6" t="str">
        <f t="shared" si="4"/>
        <v>0.000290418841309291i</v>
      </c>
      <c r="K24" s="6" t="str">
        <f t="shared" si="4"/>
        <v>0.000307843971787849i</v>
      </c>
      <c r="L24" s="6" t="str">
        <f t="shared" si="4"/>
        <v>0.00032631461009512i</v>
      </c>
      <c r="M24" s="6" t="str">
        <f t="shared" si="4"/>
        <v>0.000345893486700827i</v>
      </c>
      <c r="N24" s="6" t="str">
        <f t="shared" si="4"/>
        <v>0.000366647095902876i</v>
      </c>
      <c r="O24" s="6" t="str">
        <f t="shared" si="4"/>
        <v>0.000388645921657049i</v>
      </c>
      <c r="P24" s="6" t="str">
        <f t="shared" si="4"/>
        <v>0.000411964676956472i</v>
      </c>
      <c r="Q24" s="6" t="str">
        <f t="shared" si="4"/>
        <v>0.00043668255757386i</v>
      </c>
      <c r="R24" s="6" t="str">
        <f t="shared" si="4"/>
        <v>0.000462883511028292i</v>
      </c>
      <c r="S24" s="6" t="str">
        <f t="shared" si="4"/>
        <v>0.00049065652168999i</v>
      </c>
      <c r="T24" s="6" t="str">
        <f t="shared" si="4"/>
        <v>0.000520095912991389i</v>
      </c>
      <c r="U24" s="6" t="str">
        <f t="shared" si="4"/>
        <v>0.000551301667770872i</v>
      </c>
      <c r="V24" s="6" t="str">
        <f t="shared" si="4"/>
        <v>0.000584379767837125i</v>
      </c>
      <c r="W24" s="6" t="str">
        <f t="shared" si="4"/>
        <v>0.000619442553907352i</v>
      </c>
      <c r="X24" s="6" t="str">
        <f t="shared" si="4"/>
        <v>0.000656609107141793i</v>
      </c>
      <c r="Y24" s="6" t="str">
        <f t="shared" si="4"/>
        <v>0.000696005653570301i</v>
      </c>
      <c r="Z24" s="6" t="str">
        <f t="shared" si="4"/>
        <v>0.000737765992784519i</v>
      </c>
      <c r="AA24" s="6" t="str">
        <f t="shared" si="4"/>
        <v>0.00078203195235159i</v>
      </c>
      <c r="AB24" s="6" t="str">
        <f t="shared" si="4"/>
        <v>0.000828953869492686i</v>
      </c>
      <c r="AC24" s="6" t="str">
        <f t="shared" si="4"/>
        <v>0.000878691101662247i</v>
      </c>
      <c r="AD24" s="6" t="str">
        <f t="shared" si="4"/>
        <v>0.000931412567761982i</v>
      </c>
      <c r="AE24" s="6" t="str">
        <f t="shared" si="4"/>
        <v>0.000987297321827701i</v>
      </c>
    </row>
    <row r="25" spans="1:31" x14ac:dyDescent="0.2">
      <c r="A25" t="s">
        <v>14</v>
      </c>
      <c r="B25" s="6" t="str">
        <f t="shared" ref="B25:AE25" si="5">IMDIV(1,IMSUM(B23,B24))</f>
        <v>128.014247013164+1242.16312872088i</v>
      </c>
      <c r="C25" s="6" t="str">
        <f t="shared" si="5"/>
        <v>160.97041320164+1329.75742690285i</v>
      </c>
      <c r="D25" s="6" t="str">
        <f t="shared" si="5"/>
        <v>201.138839876667+1423.20418360306i</v>
      </c>
      <c r="E25" s="6" t="str">
        <f t="shared" si="5"/>
        <v>250.388070134318+1523.12417091104i</v>
      </c>
      <c r="F25" s="6" t="str">
        <f t="shared" si="5"/>
        <v>311.220423896245+1630.47055407283i</v>
      </c>
      <c r="G25" s="6" t="str">
        <f t="shared" si="5"/>
        <v>387.091628081303+1746.78431827376i</v>
      </c>
      <c r="H25" s="6" t="str">
        <f t="shared" si="5"/>
        <v>482.98011355233+1874.62776474521i</v>
      </c>
      <c r="I25" s="6" t="str">
        <f t="shared" si="5"/>
        <v>606.362930101689+2018.28932907384i</v>
      </c>
      <c r="J25" s="6" t="str">
        <f t="shared" si="5"/>
        <v>768.504272125312+2182.5564240183i</v>
      </c>
      <c r="K25" s="6" t="str">
        <f t="shared" si="5"/>
        <v>986.172162747146+2369.54993320666i</v>
      </c>
      <c r="L25" s="6" t="str">
        <f t="shared" si="5"/>
        <v>1285.11675252508+2577.5844154345i</v>
      </c>
      <c r="M25" s="6" t="str">
        <f t="shared" si="5"/>
        <v>1704.73114507811+2794.69579658701i</v>
      </c>
      <c r="N25" s="6" t="str">
        <f t="shared" si="5"/>
        <v>2301.96402807982+2982.62434977137i</v>
      </c>
      <c r="O25" s="6" t="str">
        <f t="shared" si="5"/>
        <v>3142.98642250256+3042.14225436206i</v>
      </c>
      <c r="P25" s="6" t="str">
        <f t="shared" si="5"/>
        <v>4241.79354910619+2760.50337129058i</v>
      </c>
      <c r="Q25" s="6" t="str">
        <f t="shared" si="5"/>
        <v>5378.40050238415+1835.37588414065i</v>
      </c>
      <c r="R25" s="6" t="str">
        <f t="shared" si="5"/>
        <v>5969.33389366514+223.629961267422i</v>
      </c>
      <c r="S25" s="6" t="str">
        <f t="shared" si="5"/>
        <v>5571.12392593141-1463.36223049539i</v>
      </c>
      <c r="T25" s="6" t="str">
        <f t="shared" si="5"/>
        <v>4515.50209429186-2533.56746721149i</v>
      </c>
      <c r="U25" s="6" t="str">
        <f t="shared" si="5"/>
        <v>3405.22545412646-2927.36636522563i</v>
      </c>
      <c r="V25" s="6" t="str">
        <f t="shared" si="5"/>
        <v>2518.39264372989-2922.5867676502i</v>
      </c>
      <c r="W25" s="6" t="str">
        <f t="shared" si="5"/>
        <v>1874.37091066049-2748.1153761003i</v>
      </c>
      <c r="X25" s="6" t="str">
        <f t="shared" si="5"/>
        <v>1416.42393830779-2521.59714965555i</v>
      </c>
      <c r="Y25" s="6" t="str">
        <f t="shared" si="5"/>
        <v>1087.62455560533-2292.84295786591i</v>
      </c>
      <c r="Z25" s="6" t="str">
        <f t="shared" si="5"/>
        <v>846.980686036347-2079.93092654926i</v>
      </c>
      <c r="AA25" s="6" t="str">
        <f t="shared" si="5"/>
        <v>667.750182669911-1887.9154787351i</v>
      </c>
      <c r="AB25" s="6" t="str">
        <f t="shared" si="5"/>
        <v>532.086489876706-1717.1768778314i</v>
      </c>
      <c r="AC25" s="6" t="str">
        <f t="shared" si="5"/>
        <v>427.903545681665-1566.10622901142i</v>
      </c>
      <c r="AD25" s="6" t="str">
        <f t="shared" si="5"/>
        <v>346.92452371883-1432.45270547078i</v>
      </c>
      <c r="AE25" s="6" t="str">
        <f t="shared" si="5"/>
        <v>283.398426230533-1313.93023955796i</v>
      </c>
    </row>
    <row r="26" spans="1:31" x14ac:dyDescent="0.2">
      <c r="A26" t="s">
        <v>6</v>
      </c>
      <c r="B26" s="5">
        <f t="shared" ref="B26:AE26" si="6">IMREAL(B25)</f>
        <v>128.01424701316401</v>
      </c>
      <c r="C26" s="5">
        <f t="shared" si="6"/>
        <v>160.97041320164001</v>
      </c>
      <c r="D26" s="5">
        <f t="shared" si="6"/>
        <v>201.13883987666699</v>
      </c>
      <c r="E26" s="5">
        <f t="shared" si="6"/>
        <v>250.38807013431801</v>
      </c>
      <c r="F26" s="5">
        <f t="shared" si="6"/>
        <v>311.22042389624499</v>
      </c>
      <c r="G26" s="5">
        <f t="shared" si="6"/>
        <v>387.09162808130299</v>
      </c>
      <c r="H26" s="5">
        <f t="shared" si="6"/>
        <v>482.98011355233001</v>
      </c>
      <c r="I26" s="5">
        <f t="shared" si="6"/>
        <v>606.36293010168902</v>
      </c>
      <c r="J26" s="5">
        <f t="shared" si="6"/>
        <v>768.50427212531201</v>
      </c>
      <c r="K26" s="5">
        <f t="shared" si="6"/>
        <v>986.17216274714599</v>
      </c>
      <c r="L26" s="5">
        <f t="shared" si="6"/>
        <v>1285.1167525250801</v>
      </c>
      <c r="M26" s="5">
        <f t="shared" si="6"/>
        <v>1704.7311450781101</v>
      </c>
      <c r="N26" s="5">
        <f t="shared" si="6"/>
        <v>2301.9640280798199</v>
      </c>
      <c r="O26" s="5">
        <f t="shared" si="6"/>
        <v>3142.9864225025599</v>
      </c>
      <c r="P26" s="5">
        <f t="shared" si="6"/>
        <v>4241.7935491061899</v>
      </c>
      <c r="Q26" s="5">
        <f t="shared" si="6"/>
        <v>5378.4005023841501</v>
      </c>
      <c r="R26" s="5">
        <f t="shared" si="6"/>
        <v>5969.3338936651398</v>
      </c>
      <c r="S26" s="5">
        <f t="shared" si="6"/>
        <v>5571.1239259314098</v>
      </c>
      <c r="T26" s="5">
        <f t="shared" si="6"/>
        <v>4515.50209429186</v>
      </c>
      <c r="U26" s="5">
        <f t="shared" si="6"/>
        <v>3405.2254541264601</v>
      </c>
      <c r="V26" s="5">
        <f t="shared" si="6"/>
        <v>2518.3926437298901</v>
      </c>
      <c r="W26" s="5">
        <f t="shared" si="6"/>
        <v>1874.3709106604899</v>
      </c>
      <c r="X26" s="5">
        <f t="shared" si="6"/>
        <v>1416.42393830779</v>
      </c>
      <c r="Y26" s="5">
        <f t="shared" si="6"/>
        <v>1087.62455560533</v>
      </c>
      <c r="Z26" s="5">
        <f t="shared" si="6"/>
        <v>846.98068603634704</v>
      </c>
      <c r="AA26" s="5">
        <f t="shared" si="6"/>
        <v>667.75018266991106</v>
      </c>
      <c r="AB26" s="5">
        <f t="shared" si="6"/>
        <v>532.08648987670597</v>
      </c>
      <c r="AC26" s="5">
        <f t="shared" si="6"/>
        <v>427.90354568166498</v>
      </c>
      <c r="AD26" s="5">
        <f t="shared" si="6"/>
        <v>346.92452371883002</v>
      </c>
      <c r="AE26" s="5">
        <f t="shared" si="6"/>
        <v>283.398426230533</v>
      </c>
    </row>
    <row r="27" spans="1:31" x14ac:dyDescent="0.2">
      <c r="A27" t="s">
        <v>7</v>
      </c>
      <c r="B27" s="5">
        <f t="shared" ref="B27:AE27" si="7">IMAGINARY(B25)</f>
        <v>1242.16312872088</v>
      </c>
      <c r="C27" s="5">
        <f t="shared" si="7"/>
        <v>1329.7574269028501</v>
      </c>
      <c r="D27" s="5">
        <f t="shared" si="7"/>
        <v>1423.2041836030601</v>
      </c>
      <c r="E27" s="5">
        <f t="shared" si="7"/>
        <v>1523.12417091104</v>
      </c>
      <c r="F27" s="5">
        <f t="shared" si="7"/>
        <v>1630.4705540728301</v>
      </c>
      <c r="G27" s="5">
        <f t="shared" si="7"/>
        <v>1746.7843182737599</v>
      </c>
      <c r="H27" s="5">
        <f t="shared" si="7"/>
        <v>1874.62776474521</v>
      </c>
      <c r="I27" s="5">
        <f t="shared" si="7"/>
        <v>2018.28932907384</v>
      </c>
      <c r="J27" s="5">
        <f t="shared" si="7"/>
        <v>2182.5564240182998</v>
      </c>
      <c r="K27" s="5">
        <f t="shared" si="7"/>
        <v>2369.5499332066602</v>
      </c>
      <c r="L27" s="5">
        <f t="shared" si="7"/>
        <v>2577.5844154345</v>
      </c>
      <c r="M27" s="5">
        <f t="shared" si="7"/>
        <v>2794.6957965870101</v>
      </c>
      <c r="N27" s="5">
        <f t="shared" si="7"/>
        <v>2982.6243497713699</v>
      </c>
      <c r="O27" s="5">
        <f t="shared" si="7"/>
        <v>3042.1422543620602</v>
      </c>
      <c r="P27" s="5">
        <f t="shared" si="7"/>
        <v>2760.5033712905802</v>
      </c>
      <c r="Q27" s="5">
        <f t="shared" si="7"/>
        <v>1835.37588414065</v>
      </c>
      <c r="R27" s="5">
        <f t="shared" si="7"/>
        <v>223.629961267422</v>
      </c>
      <c r="S27" s="5">
        <f t="shared" si="7"/>
        <v>-1463.3622304953899</v>
      </c>
      <c r="T27" s="5">
        <f t="shared" si="7"/>
        <v>-2533.5674672114901</v>
      </c>
      <c r="U27" s="5">
        <f t="shared" si="7"/>
        <v>-2927.36636522563</v>
      </c>
      <c r="V27" s="5">
        <f t="shared" si="7"/>
        <v>-2922.5867676501998</v>
      </c>
      <c r="W27" s="5">
        <f t="shared" si="7"/>
        <v>-2748.1153761003002</v>
      </c>
      <c r="X27" s="5">
        <f t="shared" si="7"/>
        <v>-2521.5971496555499</v>
      </c>
      <c r="Y27" s="5">
        <f t="shared" si="7"/>
        <v>-2292.8429578659102</v>
      </c>
      <c r="Z27" s="5">
        <f t="shared" si="7"/>
        <v>-2079.9309265492602</v>
      </c>
      <c r="AA27" s="5">
        <f t="shared" si="7"/>
        <v>-1887.9154787350999</v>
      </c>
      <c r="AB27" s="5">
        <f t="shared" si="7"/>
        <v>-1717.1768778313999</v>
      </c>
      <c r="AC27" s="5">
        <f t="shared" si="7"/>
        <v>-1566.1062290114201</v>
      </c>
      <c r="AD27" s="5">
        <f t="shared" si="7"/>
        <v>-1432.4527054707801</v>
      </c>
      <c r="AE27" s="5">
        <f t="shared" si="7"/>
        <v>-1313.93023955796</v>
      </c>
    </row>
    <row r="28" spans="1:31" x14ac:dyDescent="0.2">
      <c r="A28" t="s">
        <v>15</v>
      </c>
      <c r="B28" s="5">
        <f t="shared" ref="B28:AE28" si="8">IMABS(B25)</f>
        <v>1248.7421214133817</v>
      </c>
      <c r="C28" s="5">
        <f t="shared" si="8"/>
        <v>1339.4649261289355</v>
      </c>
      <c r="D28" s="5">
        <f t="shared" si="8"/>
        <v>1437.3472027078858</v>
      </c>
      <c r="E28" s="5">
        <f t="shared" si="8"/>
        <v>1543.5677586938095</v>
      </c>
      <c r="F28" s="5">
        <f t="shared" si="8"/>
        <v>1659.9073407719843</v>
      </c>
      <c r="G28" s="5">
        <f t="shared" si="8"/>
        <v>1789.1605246868592</v>
      </c>
      <c r="H28" s="5">
        <f t="shared" si="8"/>
        <v>1935.845821970501</v>
      </c>
      <c r="I28" s="5">
        <f t="shared" si="8"/>
        <v>2107.4078435022579</v>
      </c>
      <c r="J28" s="5">
        <f t="shared" si="8"/>
        <v>2313.9039220111117</v>
      </c>
      <c r="K28" s="5">
        <f t="shared" si="8"/>
        <v>2566.5740629362463</v>
      </c>
      <c r="L28" s="5">
        <f t="shared" si="8"/>
        <v>2880.1851479221646</v>
      </c>
      <c r="M28" s="5">
        <f t="shared" si="8"/>
        <v>3273.5963209382471</v>
      </c>
      <c r="N28" s="5">
        <f t="shared" si="8"/>
        <v>3767.6367126386481</v>
      </c>
      <c r="O28" s="5">
        <f t="shared" si="8"/>
        <v>4374.1277013606405</v>
      </c>
      <c r="P28" s="5">
        <f t="shared" si="8"/>
        <v>5060.9476756972645</v>
      </c>
      <c r="Q28" s="5">
        <f t="shared" si="8"/>
        <v>5682.9390811560825</v>
      </c>
      <c r="R28" s="5">
        <f t="shared" si="8"/>
        <v>5973.5213646253824</v>
      </c>
      <c r="S28" s="5">
        <f t="shared" si="8"/>
        <v>5760.1085767306377</v>
      </c>
      <c r="T28" s="5">
        <f t="shared" si="8"/>
        <v>5177.7140974050135</v>
      </c>
      <c r="U28" s="5">
        <f t="shared" si="8"/>
        <v>4490.5494351677135</v>
      </c>
      <c r="V28" s="5">
        <f t="shared" si="8"/>
        <v>3857.9547589930171</v>
      </c>
      <c r="W28" s="5">
        <f t="shared" si="8"/>
        <v>3326.47026607621</v>
      </c>
      <c r="X28" s="5">
        <f t="shared" si="8"/>
        <v>2892.1806579400159</v>
      </c>
      <c r="Y28" s="5">
        <f t="shared" si="8"/>
        <v>2537.7265422797204</v>
      </c>
      <c r="Z28" s="5">
        <f t="shared" si="8"/>
        <v>2245.771346716906</v>
      </c>
      <c r="AA28" s="5">
        <f t="shared" si="8"/>
        <v>2002.5271936488857</v>
      </c>
      <c r="AB28" s="5">
        <f t="shared" si="8"/>
        <v>1797.7242453914082</v>
      </c>
      <c r="AC28" s="5">
        <f t="shared" si="8"/>
        <v>1623.5116768767975</v>
      </c>
      <c r="AD28" s="5">
        <f t="shared" si="8"/>
        <v>1473.8647762152721</v>
      </c>
      <c r="AE28" s="5">
        <f t="shared" si="8"/>
        <v>1344.1455808113872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 xr:uid="{00000000-0004-0000-0E00-000000000000}"/>
  </hyperlinks>
  <pageMargins left="0.75" right="0.75" top="1" bottom="1" header="0.5" footer="0.5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Q67"/>
  <sheetViews>
    <sheetView workbookViewId="0">
      <selection activeCell="A2" sqref="A2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t="s">
        <v>31</v>
      </c>
    </row>
    <row r="2" spans="1:16" x14ac:dyDescent="0.2">
      <c r="A2" t="s">
        <v>32</v>
      </c>
      <c r="B2">
        <v>800</v>
      </c>
    </row>
    <row r="5" spans="1:16" x14ac:dyDescent="0.2">
      <c r="A5" t="s">
        <v>30</v>
      </c>
      <c r="E5" s="21" t="s">
        <v>0</v>
      </c>
      <c r="F5" s="21"/>
      <c r="G5" s="21"/>
      <c r="J5" t="s">
        <v>29</v>
      </c>
      <c r="N5" s="21" t="s">
        <v>0</v>
      </c>
      <c r="O5" s="21"/>
      <c r="P5" s="21"/>
    </row>
    <row r="6" spans="1:16" x14ac:dyDescent="0.2">
      <c r="A6">
        <v>100000</v>
      </c>
      <c r="B6">
        <v>785.55158429999994</v>
      </c>
      <c r="E6">
        <f t="array" ref="E6:G23">cstable(A6:A23,B6:B23)</f>
        <v>100000</v>
      </c>
      <c r="F6">
        <v>785.55158429999994</v>
      </c>
      <c r="G6">
        <v>0</v>
      </c>
      <c r="J6">
        <v>100000</v>
      </c>
      <c r="K6">
        <v>5.4172270490000001</v>
      </c>
      <c r="N6">
        <f t="array" ref="N6:P30">cstable(Mix!J6:J30,Mix!K6:K30)</f>
        <v>100000</v>
      </c>
      <c r="O6">
        <v>5.4172270490000001</v>
      </c>
      <c r="P6">
        <v>0</v>
      </c>
    </row>
    <row r="7" spans="1:16" x14ac:dyDescent="0.2">
      <c r="A7">
        <v>200438.06340000001</v>
      </c>
      <c r="B7">
        <v>786.42931880000003</v>
      </c>
      <c r="E7">
        <v>200438.06340000001</v>
      </c>
      <c r="F7">
        <v>786.42931880000003</v>
      </c>
      <c r="G7">
        <v>7.0963205790671961E-10</v>
      </c>
      <c r="J7">
        <v>200438.06340000001</v>
      </c>
      <c r="K7">
        <v>8.2913085280000001</v>
      </c>
      <c r="N7">
        <v>200438.06340000001</v>
      </c>
      <c r="O7">
        <v>8.2913085280000001</v>
      </c>
      <c r="P7">
        <v>-1.495849808930348E-11</v>
      </c>
    </row>
    <row r="8" spans="1:16" x14ac:dyDescent="0.2">
      <c r="A8">
        <v>397200.60470000003</v>
      </c>
      <c r="B8">
        <v>796.39812810000001</v>
      </c>
      <c r="E8">
        <v>397200.60470000003</v>
      </c>
      <c r="F8">
        <v>796.39812810000001</v>
      </c>
      <c r="G8">
        <v>-8.6528438565771408E-10</v>
      </c>
      <c r="J8">
        <v>302132.90039999998</v>
      </c>
      <c r="K8">
        <v>11.054501419999999</v>
      </c>
      <c r="N8">
        <v>302132.90039999998</v>
      </c>
      <c r="O8">
        <v>11.054501419999999</v>
      </c>
      <c r="P8">
        <v>-2.5734347617877289E-11</v>
      </c>
    </row>
    <row r="9" spans="1:16" x14ac:dyDescent="0.2">
      <c r="A9">
        <v>605589.33440000005</v>
      </c>
      <c r="B9">
        <v>787.8276879</v>
      </c>
      <c r="E9">
        <v>605589.33440000005</v>
      </c>
      <c r="F9">
        <v>787.8276879</v>
      </c>
      <c r="G9">
        <v>5.1658716659611399E-11</v>
      </c>
      <c r="J9">
        <v>401754.17259999999</v>
      </c>
      <c r="K9">
        <v>13.59850522</v>
      </c>
      <c r="N9">
        <v>401754.17259999999</v>
      </c>
      <c r="O9">
        <v>13.59850522</v>
      </c>
      <c r="P9">
        <v>2.0825774086030132E-11</v>
      </c>
    </row>
    <row r="10" spans="1:16" x14ac:dyDescent="0.2">
      <c r="A10">
        <v>912842.89489999996</v>
      </c>
      <c r="B10">
        <v>761.61356060000003</v>
      </c>
      <c r="E10">
        <v>912842.89489999996</v>
      </c>
      <c r="F10">
        <v>761.61356060000003</v>
      </c>
      <c r="G10">
        <v>-4.4947138689279874E-10</v>
      </c>
      <c r="J10">
        <v>498907.23499999999</v>
      </c>
      <c r="K10">
        <v>16.16049035</v>
      </c>
      <c r="N10">
        <v>498907.23499999999</v>
      </c>
      <c r="O10">
        <v>16.16049035</v>
      </c>
      <c r="P10">
        <v>-6.4758425439082597E-12</v>
      </c>
    </row>
    <row r="11" spans="1:16" x14ac:dyDescent="0.2">
      <c r="A11">
        <v>1473386.993</v>
      </c>
      <c r="B11">
        <v>656.34666100000004</v>
      </c>
      <c r="E11">
        <v>1473386.993</v>
      </c>
      <c r="F11">
        <v>656.34666100000004</v>
      </c>
      <c r="G11">
        <v>2.6647085110208657E-10</v>
      </c>
      <c r="J11">
        <v>598725.45510000002</v>
      </c>
      <c r="K11">
        <v>19.42714483</v>
      </c>
      <c r="N11">
        <v>598725.45510000002</v>
      </c>
      <c r="O11">
        <v>19.42714483</v>
      </c>
      <c r="P11">
        <v>3.8730796023247166E-10</v>
      </c>
    </row>
    <row r="12" spans="1:16" x14ac:dyDescent="0.2">
      <c r="A12">
        <v>2324537.912</v>
      </c>
      <c r="B12">
        <v>565.59017259999996</v>
      </c>
      <c r="E12">
        <v>2324537.912</v>
      </c>
      <c r="F12">
        <v>565.59017259999996</v>
      </c>
      <c r="G12">
        <v>-1.5749872574052961E-11</v>
      </c>
      <c r="J12">
        <v>752034.25619999995</v>
      </c>
      <c r="K12">
        <v>29.734575700000001</v>
      </c>
      <c r="N12">
        <v>752034.25619999995</v>
      </c>
      <c r="O12">
        <v>29.734575700000001</v>
      </c>
      <c r="P12">
        <v>7.5747601614175945E-11</v>
      </c>
    </row>
    <row r="13" spans="1:16" x14ac:dyDescent="0.2">
      <c r="A13">
        <v>3751953.3139999998</v>
      </c>
      <c r="B13">
        <v>460.14083849999997</v>
      </c>
      <c r="E13">
        <v>3751953.3139999998</v>
      </c>
      <c r="F13">
        <v>460.14083849999997</v>
      </c>
      <c r="G13">
        <v>2.9065987668531148E-11</v>
      </c>
      <c r="J13">
        <v>852497.41209999996</v>
      </c>
      <c r="K13">
        <v>40.101164730000001</v>
      </c>
      <c r="N13">
        <v>852497.41209999996</v>
      </c>
      <c r="O13">
        <v>40.101164730000001</v>
      </c>
      <c r="P13">
        <v>1.1736249787721093E-9</v>
      </c>
    </row>
    <row r="14" spans="1:16" x14ac:dyDescent="0.2">
      <c r="A14">
        <v>5852302.0470000003</v>
      </c>
      <c r="B14">
        <v>370.03365120000001</v>
      </c>
      <c r="E14">
        <v>5852302.0470000003</v>
      </c>
      <c r="F14">
        <v>370.03365120000001</v>
      </c>
      <c r="G14">
        <v>1.5450949512251268E-12</v>
      </c>
      <c r="J14">
        <v>912842.89489999996</v>
      </c>
      <c r="K14">
        <v>49.897166900000002</v>
      </c>
      <c r="N14">
        <v>912842.89489999996</v>
      </c>
      <c r="O14">
        <v>49.897166900000002</v>
      </c>
      <c r="P14">
        <v>-5.005147167641383E-10</v>
      </c>
    </row>
    <row r="15" spans="1:16" x14ac:dyDescent="0.2">
      <c r="A15">
        <v>8922674.4859999996</v>
      </c>
      <c r="B15">
        <v>284.16424110000003</v>
      </c>
      <c r="E15">
        <v>8922674.4859999996</v>
      </c>
      <c r="F15">
        <v>284.16424110000003</v>
      </c>
      <c r="G15">
        <v>4.0960978118132145E-12</v>
      </c>
      <c r="J15">
        <v>1000000</v>
      </c>
      <c r="K15">
        <v>62.806156889999997</v>
      </c>
      <c r="N15">
        <v>1000000</v>
      </c>
      <c r="O15">
        <v>62.806156889999997</v>
      </c>
      <c r="P15">
        <v>-9.7410926962597078E-11</v>
      </c>
    </row>
    <row r="16" spans="1:16" x14ac:dyDescent="0.2">
      <c r="A16">
        <v>13603897.98</v>
      </c>
      <c r="B16">
        <v>208.39338330000001</v>
      </c>
      <c r="E16">
        <v>13603897.98</v>
      </c>
      <c r="F16">
        <v>208.39338330000001</v>
      </c>
      <c r="G16">
        <v>5.2107123381593387E-13</v>
      </c>
      <c r="J16">
        <v>1391760.0190000001</v>
      </c>
      <c r="K16">
        <v>110.3806776</v>
      </c>
      <c r="N16">
        <v>1391760.0190000001</v>
      </c>
      <c r="O16">
        <v>110.3806776</v>
      </c>
      <c r="P16">
        <v>-5.9005427090279786E-11</v>
      </c>
    </row>
    <row r="17" spans="1:16" x14ac:dyDescent="0.2">
      <c r="A17">
        <v>18296846.210000001</v>
      </c>
      <c r="B17">
        <v>158.1607913</v>
      </c>
      <c r="E17">
        <v>18296846.210000001</v>
      </c>
      <c r="F17">
        <v>158.1607913</v>
      </c>
      <c r="G17">
        <v>8.4162283091044844E-13</v>
      </c>
      <c r="J17">
        <v>2004380.6340000001</v>
      </c>
      <c r="K17">
        <v>165.1610934</v>
      </c>
      <c r="N17">
        <v>2004380.6340000001</v>
      </c>
      <c r="O17">
        <v>165.1610934</v>
      </c>
      <c r="P17">
        <v>-5.7815799670314952E-11</v>
      </c>
    </row>
    <row r="18" spans="1:16" x14ac:dyDescent="0.2">
      <c r="A18">
        <v>25756751.57</v>
      </c>
      <c r="B18">
        <v>109.47943859999999</v>
      </c>
      <c r="E18">
        <v>25756751.57</v>
      </c>
      <c r="F18">
        <v>109.47943859999999</v>
      </c>
      <c r="G18">
        <v>2.9049616195915336E-13</v>
      </c>
      <c r="J18">
        <v>3021329.0040000002</v>
      </c>
      <c r="K18">
        <v>212.83074260000001</v>
      </c>
      <c r="N18">
        <v>3021329.0040000002</v>
      </c>
      <c r="O18">
        <v>212.83074260000001</v>
      </c>
      <c r="P18">
        <v>-3.0178595003668762E-11</v>
      </c>
    </row>
    <row r="19" spans="1:16" x14ac:dyDescent="0.2">
      <c r="A19">
        <v>36673844.200000003</v>
      </c>
      <c r="B19">
        <v>71.540365350000002</v>
      </c>
      <c r="E19">
        <v>36673844.200000003</v>
      </c>
      <c r="F19">
        <v>71.540365350000002</v>
      </c>
      <c r="G19">
        <v>1.2346530250744368E-13</v>
      </c>
      <c r="J19">
        <v>4017541.7259999998</v>
      </c>
      <c r="K19">
        <v>228.12404069999999</v>
      </c>
      <c r="N19">
        <v>4017541.7259999998</v>
      </c>
      <c r="O19">
        <v>228.12404069999999</v>
      </c>
      <c r="P19">
        <v>-8.8716868806641608E-12</v>
      </c>
    </row>
    <row r="20" spans="1:16" x14ac:dyDescent="0.2">
      <c r="A20">
        <v>49325251.340000004</v>
      </c>
      <c r="B20">
        <v>47.831453699999997</v>
      </c>
      <c r="E20">
        <v>49325251.340000004</v>
      </c>
      <c r="F20">
        <v>47.831453699999997</v>
      </c>
      <c r="G20">
        <v>4.868674764315421E-14</v>
      </c>
      <c r="J20">
        <v>5919393.7240000004</v>
      </c>
      <c r="K20">
        <v>230.88090080000001</v>
      </c>
      <c r="N20">
        <v>5919393.7240000004</v>
      </c>
      <c r="O20">
        <v>230.88090080000001</v>
      </c>
      <c r="P20">
        <v>-1.0124276051618859E-12</v>
      </c>
    </row>
    <row r="21" spans="1:16" x14ac:dyDescent="0.2">
      <c r="A21">
        <v>65589101.740000002</v>
      </c>
      <c r="B21">
        <v>30.53858439</v>
      </c>
      <c r="E21">
        <v>65589101.740000002</v>
      </c>
      <c r="F21">
        <v>30.53858439</v>
      </c>
      <c r="G21">
        <v>2.9935805046966526E-14</v>
      </c>
      <c r="J21">
        <v>7961411.9989999998</v>
      </c>
      <c r="K21">
        <v>225.7163434</v>
      </c>
      <c r="N21">
        <v>7961411.9989999998</v>
      </c>
      <c r="O21">
        <v>225.7163434</v>
      </c>
      <c r="P21">
        <v>4.8292609181577265E-13</v>
      </c>
    </row>
    <row r="22" spans="1:16" x14ac:dyDescent="0.2">
      <c r="A22">
        <v>81450000.090000004</v>
      </c>
      <c r="B22">
        <v>21.37638003</v>
      </c>
      <c r="E22">
        <v>81450000.090000004</v>
      </c>
      <c r="F22">
        <v>21.37638003</v>
      </c>
      <c r="G22">
        <v>1.2513054977016478E-14</v>
      </c>
      <c r="J22">
        <v>10000000</v>
      </c>
      <c r="K22">
        <v>220.6469586</v>
      </c>
      <c r="N22">
        <v>10000000</v>
      </c>
      <c r="O22">
        <v>220.6469586</v>
      </c>
      <c r="P22">
        <v>-7.9431833357272401E-13</v>
      </c>
    </row>
    <row r="23" spans="1:16" x14ac:dyDescent="0.2">
      <c r="A23">
        <v>100000000</v>
      </c>
      <c r="B23">
        <v>14.79119347</v>
      </c>
      <c r="E23">
        <v>100000000</v>
      </c>
      <c r="F23">
        <v>14.79119347</v>
      </c>
      <c r="G23">
        <v>0</v>
      </c>
      <c r="J23">
        <v>14902781.25</v>
      </c>
      <c r="K23">
        <v>201.34544489999999</v>
      </c>
      <c r="N23">
        <v>14902781.25</v>
      </c>
      <c r="O23">
        <v>201.34544489999999</v>
      </c>
      <c r="P23">
        <v>2.7372415433993843E-13</v>
      </c>
    </row>
    <row r="24" spans="1:16" x14ac:dyDescent="0.2">
      <c r="J24">
        <v>19816625.539999999</v>
      </c>
      <c r="K24">
        <v>183.7027994</v>
      </c>
      <c r="N24">
        <v>19816625.539999999</v>
      </c>
      <c r="O24">
        <v>183.7027994</v>
      </c>
      <c r="P24">
        <v>1.2190025258462347E-13</v>
      </c>
    </row>
    <row r="25" spans="1:16" x14ac:dyDescent="0.2">
      <c r="J25">
        <v>28539446.399999999</v>
      </c>
      <c r="K25">
        <v>158.24669</v>
      </c>
      <c r="N25">
        <v>28539446.399999999</v>
      </c>
      <c r="O25">
        <v>158.24669</v>
      </c>
      <c r="P25">
        <v>-7.3060843887477606E-14</v>
      </c>
    </row>
    <row r="26" spans="1:16" x14ac:dyDescent="0.2">
      <c r="J26">
        <v>36673844.200000003</v>
      </c>
      <c r="K26">
        <v>134.73629879999999</v>
      </c>
      <c r="N26">
        <v>36673844.200000003</v>
      </c>
      <c r="O26">
        <v>134.73629879999999</v>
      </c>
      <c r="P26">
        <v>1.9281535512814081E-13</v>
      </c>
    </row>
    <row r="27" spans="1:16" x14ac:dyDescent="0.2">
      <c r="J27">
        <v>46592587.740000002</v>
      </c>
      <c r="K27">
        <v>116.0431624</v>
      </c>
      <c r="N27">
        <v>46592587.740000002</v>
      </c>
      <c r="O27">
        <v>116.0431624</v>
      </c>
      <c r="P27">
        <v>-3.365777808994447E-14</v>
      </c>
    </row>
    <row r="28" spans="1:16" x14ac:dyDescent="0.2">
      <c r="J28">
        <v>59193937.240000002</v>
      </c>
      <c r="K28">
        <v>95.444198799999995</v>
      </c>
      <c r="N28">
        <v>59193937.240000002</v>
      </c>
      <c r="O28">
        <v>95.444198799999995</v>
      </c>
      <c r="P28">
        <v>8.755026145851485E-14</v>
      </c>
    </row>
    <row r="29" spans="1:16" x14ac:dyDescent="0.2">
      <c r="J29">
        <v>75203425.620000005</v>
      </c>
      <c r="K29">
        <v>81.258477970000001</v>
      </c>
      <c r="N29">
        <v>75203425.620000005</v>
      </c>
      <c r="O29">
        <v>81.258477970000001</v>
      </c>
      <c r="P29">
        <v>-5.8810082828067663E-15</v>
      </c>
    </row>
    <row r="30" spans="1:16" x14ac:dyDescent="0.2">
      <c r="J30">
        <v>100000000</v>
      </c>
      <c r="K30">
        <v>63.095734450000002</v>
      </c>
      <c r="N30">
        <v>100000000</v>
      </c>
      <c r="O30">
        <v>63.095734450000002</v>
      </c>
      <c r="P30">
        <v>0</v>
      </c>
    </row>
    <row r="31" spans="1:16" x14ac:dyDescent="0.2">
      <c r="J31" s="1"/>
    </row>
    <row r="32" spans="1:16" x14ac:dyDescent="0.2">
      <c r="J32" s="1"/>
    </row>
    <row r="33" spans="10:10" x14ac:dyDescent="0.2">
      <c r="J33" s="1"/>
    </row>
    <row r="34" spans="10:10" x14ac:dyDescent="0.2">
      <c r="J34" s="1"/>
    </row>
    <row r="35" spans="10:10" x14ac:dyDescent="0.2">
      <c r="J35" s="1"/>
    </row>
    <row r="36" spans="10:10" x14ac:dyDescent="0.2">
      <c r="J36" s="1"/>
    </row>
    <row r="37" spans="10:10" x14ac:dyDescent="0.2">
      <c r="J37" s="1"/>
    </row>
    <row r="38" spans="10:10" x14ac:dyDescent="0.2">
      <c r="J38" s="1"/>
    </row>
    <row r="39" spans="10:10" x14ac:dyDescent="0.2">
      <c r="J39" s="1"/>
    </row>
    <row r="40" spans="10:10" x14ac:dyDescent="0.2">
      <c r="J40" s="1"/>
    </row>
    <row r="41" spans="10:10" x14ac:dyDescent="0.2">
      <c r="J41" s="1"/>
    </row>
    <row r="42" spans="10:10" x14ac:dyDescent="0.2">
      <c r="J42" s="1"/>
    </row>
    <row r="43" spans="10:10" x14ac:dyDescent="0.2">
      <c r="J43" s="1"/>
    </row>
    <row r="44" spans="10:10" x14ac:dyDescent="0.2">
      <c r="J44" s="1"/>
    </row>
    <row r="45" spans="10:10" x14ac:dyDescent="0.2">
      <c r="J45" s="1"/>
    </row>
    <row r="46" spans="10:10" x14ac:dyDescent="0.2">
      <c r="J46" s="1"/>
    </row>
    <row r="47" spans="10:10" x14ac:dyDescent="0.2">
      <c r="J47" s="1"/>
    </row>
    <row r="48" spans="10:10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7" x14ac:dyDescent="0.2">
      <c r="J65" s="1"/>
    </row>
    <row r="66" spans="10:17" x14ac:dyDescent="0.2">
      <c r="J66" s="1"/>
    </row>
    <row r="67" spans="10:17" x14ac:dyDescent="0.2">
      <c r="J67" s="1"/>
      <c r="Q67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8"/>
  <dimension ref="A1:CD41"/>
  <sheetViews>
    <sheetView workbookViewId="0">
      <selection activeCell="B34" sqref="B34:CD34"/>
    </sheetView>
  </sheetViews>
  <sheetFormatPr defaultRowHeight="12.75" x14ac:dyDescent="0.2"/>
  <cols>
    <col min="1" max="1" width="22" customWidth="1"/>
    <col min="2" max="2" width="12.7109375" bestFit="1" customWidth="1"/>
    <col min="3" max="3" width="13.42578125" bestFit="1" customWidth="1"/>
    <col min="4" max="35" width="10.5703125" bestFit="1" customWidth="1"/>
    <col min="36" max="82" width="11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29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1.0838494654884789E-3</v>
      </c>
    </row>
    <row r="18" spans="1:82" x14ac:dyDescent="0.2">
      <c r="A18" t="s">
        <v>2</v>
      </c>
      <c r="B18" s="10">
        <v>1</v>
      </c>
      <c r="C18" s="10">
        <f t="shared" ref="C18:AE18" si="0">B18*1.06</f>
        <v>1.06</v>
      </c>
      <c r="D18" s="10">
        <f t="shared" si="0"/>
        <v>1.1236000000000002</v>
      </c>
      <c r="E18" s="10">
        <f t="shared" si="0"/>
        <v>1.1910160000000003</v>
      </c>
      <c r="F18" s="10">
        <f t="shared" si="0"/>
        <v>1.2624769600000003</v>
      </c>
      <c r="G18" s="10">
        <f t="shared" si="0"/>
        <v>1.3382255776000005</v>
      </c>
      <c r="H18" s="10">
        <f t="shared" si="0"/>
        <v>1.4185191122560006</v>
      </c>
      <c r="I18" s="10">
        <f t="shared" si="0"/>
        <v>1.5036302589913606</v>
      </c>
      <c r="J18" s="10">
        <f t="shared" si="0"/>
        <v>1.5938480745308423</v>
      </c>
      <c r="K18" s="10">
        <f t="shared" si="0"/>
        <v>1.6894789590026928</v>
      </c>
      <c r="L18" s="10">
        <f t="shared" si="0"/>
        <v>1.7908476965428546</v>
      </c>
      <c r="M18" s="10">
        <f t="shared" si="0"/>
        <v>1.8982985583354259</v>
      </c>
      <c r="N18" s="10">
        <f t="shared" si="0"/>
        <v>2.0121964718355514</v>
      </c>
      <c r="O18" s="10">
        <f t="shared" si="0"/>
        <v>2.1329282601456847</v>
      </c>
      <c r="P18" s="10">
        <f t="shared" si="0"/>
        <v>2.2609039557544257</v>
      </c>
      <c r="Q18" s="10">
        <f t="shared" si="0"/>
        <v>2.3965581930996915</v>
      </c>
      <c r="R18" s="10">
        <f t="shared" si="0"/>
        <v>2.5403516846856733</v>
      </c>
      <c r="S18" s="10">
        <f t="shared" si="0"/>
        <v>2.692772785766814</v>
      </c>
      <c r="T18" s="10">
        <f t="shared" si="0"/>
        <v>2.8543391529128228</v>
      </c>
      <c r="U18" s="10">
        <f t="shared" si="0"/>
        <v>3.0255995020875925</v>
      </c>
      <c r="V18" s="10">
        <f t="shared" si="0"/>
        <v>3.2071354722128484</v>
      </c>
      <c r="W18" s="10">
        <f t="shared" si="0"/>
        <v>3.3995636005456196</v>
      </c>
      <c r="X18" s="10">
        <f t="shared" si="0"/>
        <v>3.6035374165783569</v>
      </c>
      <c r="Y18" s="10">
        <f t="shared" si="0"/>
        <v>3.8197496615730584</v>
      </c>
      <c r="Z18" s="10">
        <f t="shared" si="0"/>
        <v>4.0489346412674418</v>
      </c>
      <c r="AA18" s="10">
        <f t="shared" si="0"/>
        <v>4.2918707197434882</v>
      </c>
      <c r="AB18" s="10">
        <f t="shared" si="0"/>
        <v>4.5493829629280977</v>
      </c>
      <c r="AC18" s="10">
        <f t="shared" si="0"/>
        <v>4.8223459407037836</v>
      </c>
      <c r="AD18" s="10">
        <f t="shared" si="0"/>
        <v>5.1116866971460109</v>
      </c>
      <c r="AE18" s="10">
        <f t="shared" si="0"/>
        <v>5.418387898974772</v>
      </c>
    </row>
    <row r="19" spans="1:82" x14ac:dyDescent="0.2">
      <c r="A19" t="s">
        <v>4</v>
      </c>
      <c r="B19" s="7">
        <f>csinterpolate(CSTableU2,'2643167851x3 5t (2)'!B18*1000000)</f>
        <v>62.806156889999997</v>
      </c>
      <c r="C19" s="7">
        <f>csinterpolate(CSTableU2,'2643167851x3 5t (2)'!C18*1000000)</f>
        <v>70.915016219551305</v>
      </c>
      <c r="D19" s="7">
        <f>csinterpolate(CSTableU2,'2643167851x3 5t (2)'!D18*1000000)</f>
        <v>79.151116321456982</v>
      </c>
      <c r="E19" s="7">
        <f>csinterpolate(CSTableU2,'2643167851x3 5t (2)'!E18*1000000)</f>
        <v>87.505246853820353</v>
      </c>
      <c r="F19" s="7">
        <f>csinterpolate(CSTableU2,'2643167851x3 5t (2)'!F18*1000000)</f>
        <v>95.970840375039188</v>
      </c>
      <c r="G19" s="7">
        <f>csinterpolate(CSTableU2,'2643167851x3 5t (2)'!G18*1000000)</f>
        <v>104.54550147973526</v>
      </c>
      <c r="H19" s="7">
        <f>csinterpolate(CSTableU2,'2643167851x3 5t (2)'!H18*1000000)</f>
        <v>113.23274405312361</v>
      </c>
      <c r="I19" s="7">
        <f>csinterpolate(CSTableU2,'2643167851x3 5t (2)'!I18*1000000)</f>
        <v>122.02367292257604</v>
      </c>
      <c r="J19" s="7">
        <f>csinterpolate(CSTableU2,'2643167851x3 5t (2)'!J18*1000000)</f>
        <v>130.87713470162191</v>
      </c>
      <c r="K19" s="7">
        <f>csinterpolate(CSTableU2,'2643167851x3 5t (2)'!K18*1000000)</f>
        <v>139.74096919351098</v>
      </c>
      <c r="L19" s="7">
        <f>csinterpolate(CSTableU2,'2643167851x3 5t (2)'!L18*1000000)</f>
        <v>148.55329087351495</v>
      </c>
      <c r="M19" s="7">
        <f>csinterpolate(CSTableU2,'2643167851x3 5t (2)'!M18*1000000)</f>
        <v>157.24110916393408</v>
      </c>
      <c r="N19" s="7">
        <f>csinterpolate(CSTableU2,'2643167851x3 5t (2)'!N18*1000000)</f>
        <v>165.71885263521324</v>
      </c>
      <c r="O19" s="7">
        <f>csinterpolate(CSTableU2,'2643167851x3 5t (2)'!O18*1000000)</f>
        <v>173.89559574148473</v>
      </c>
      <c r="P19" s="7">
        <f>csinterpolate(CSTableU2,'2643167851x3 5t (2)'!P18*1000000)</f>
        <v>181.69948064441911</v>
      </c>
      <c r="Q19" s="7">
        <f>csinterpolate(CSTableU2,'2643167851x3 5t (2)'!Q18*1000000)</f>
        <v>189.06367698465081</v>
      </c>
      <c r="R19" s="7">
        <f>csinterpolate(CSTableU2,'2643167851x3 5t (2)'!R18*1000000)</f>
        <v>195.92374953023966</v>
      </c>
      <c r="S19" s="7">
        <f>csinterpolate(CSTableU2,'2643167851x3 5t (2)'!S18*1000000)</f>
        <v>202.22083685720045</v>
      </c>
      <c r="T19" s="7">
        <f>csinterpolate(CSTableU2,'2643167851x3 5t (2)'!T18*1000000)</f>
        <v>207.90588673827276</v>
      </c>
      <c r="U19" s="7">
        <f>csinterpolate(CSTableU2,'2643167851x3 5t (2)'!U18*1000000)</f>
        <v>212.94511841508285</v>
      </c>
      <c r="V19" s="7">
        <f>csinterpolate(CSTableU2,'2643167851x3 5t (2)'!V18*1000000)</f>
        <v>217.32080823360155</v>
      </c>
      <c r="W19" s="7">
        <f>csinterpolate(CSTableU2,'2643167851x3 5t (2)'!W18*1000000)</f>
        <v>221.01897429954104</v>
      </c>
      <c r="X19" s="7">
        <f>csinterpolate(CSTableU2,'2643167851x3 5t (2)'!X18*1000000)</f>
        <v>224.04935553717519</v>
      </c>
      <c r="Y19" s="7">
        <f>csinterpolate(CSTableU2,'2643167851x3 5t (2)'!Y18*1000000)</f>
        <v>226.46030936917762</v>
      </c>
      <c r="Z19" s="7">
        <f>csinterpolate(CSTableU2,'2643167851x3 5t (2)'!Z18*1000000)</f>
        <v>228.35183233344961</v>
      </c>
      <c r="AA19" s="7">
        <f>csinterpolate(CSTableU2,'2643167851x3 5t (2)'!AA18*1000000)</f>
        <v>229.83301717401378</v>
      </c>
      <c r="AB19" s="7">
        <f>csinterpolate(CSTableU2,'2643167851x3 5t (2)'!AB18*1000000)</f>
        <v>230.90575794838244</v>
      </c>
      <c r="AC19" s="7">
        <f>csinterpolate(CSTableU2,'2643167851x3 5t (2)'!AC18*1000000)</f>
        <v>231.56121226764634</v>
      </c>
      <c r="AD19" s="7">
        <f>csinterpolate(CSTableU2,'2643167851x3 5t (2)'!AD18*1000000)</f>
        <v>231.80666843925172</v>
      </c>
      <c r="AE19" s="7">
        <f>csinterpolate(CSTableU2,'2643167851x3 5t (2)'!AE18*1000000)</f>
        <v>231.67142655602493</v>
      </c>
    </row>
    <row r="20" spans="1:82" x14ac:dyDescent="0.2">
      <c r="A20" t="s">
        <v>3</v>
      </c>
      <c r="B20" s="7">
        <f>csinterpolate(CSTableU1,'2643167851x3 5t (2)'!B18*1000000)</f>
        <v>748.82965526252349</v>
      </c>
      <c r="C20" s="7">
        <f>csinterpolate(CSTableU1,'2643167851x3 5t (2)'!C18*1000000)</f>
        <v>738.48518951823837</v>
      </c>
      <c r="D20" s="7">
        <f>csinterpolate(CSTableU1,'2643167851x3 5t (2)'!D18*1000000)</f>
        <v>726.49822550840213</v>
      </c>
      <c r="E20" s="7">
        <f>csinterpolate(CSTableU1,'2643167851x3 5t (2)'!E18*1000000)</f>
        <v>713.0029633892749</v>
      </c>
      <c r="F20" s="7">
        <f>csinterpolate(CSTableU1,'2643167851x3 5t (2)'!F18*1000000)</f>
        <v>698.23919621743528</v>
      </c>
      <c r="G20" s="7">
        <f>csinterpolate(CSTableU1,'2643167851x3 5t (2)'!G18*1000000)</f>
        <v>682.58357707154323</v>
      </c>
      <c r="H20" s="7">
        <f>csinterpolate(CSTableU1,'2643167851x3 5t (2)'!H18*1000000)</f>
        <v>666.58860174642564</v>
      </c>
      <c r="I20" s="7">
        <f>csinterpolate(CSTableU1,'2643167851x3 5t (2)'!I18*1000000)</f>
        <v>651.02334736954651</v>
      </c>
      <c r="J20" s="7">
        <f>csinterpolate(CSTableU1,'2643167851x3 5t (2)'!J18*1000000)</f>
        <v>636.50090542350642</v>
      </c>
      <c r="K20" s="7">
        <f>csinterpolate(CSTableU1,'2643167851x3 5t (2)'!K18*1000000)</f>
        <v>623.11484398349842</v>
      </c>
      <c r="L20" s="7">
        <f>csinterpolate(CSTableU1,'2643167851x3 5t (2)'!L18*1000000)</f>
        <v>610.86456898049414</v>
      </c>
      <c r="M20" s="7">
        <f>csinterpolate(CSTableU1,'2643167851x3 5t (2)'!M18*1000000)</f>
        <v>599.68028378883514</v>
      </c>
      <c r="N20" s="7">
        <f>csinterpolate(CSTableU1,'2643167851x3 5t (2)'!N18*1000000)</f>
        <v>589.39900382215819</v>
      </c>
      <c r="O20" s="7">
        <f>csinterpolate(CSTableU1,'2643167851x3 5t (2)'!O18*1000000)</f>
        <v>579.73390476157306</v>
      </c>
      <c r="P20" s="7">
        <f>csinterpolate(CSTableU1,'2643167851x3 5t (2)'!P18*1000000)</f>
        <v>570.23659496039284</v>
      </c>
      <c r="Q20" s="7">
        <f>csinterpolate(CSTableU1,'2643167851x3 5t (2)'!Q18*1000000)</f>
        <v>560.27252697024608</v>
      </c>
      <c r="R20" s="7">
        <f>csinterpolate(CSTableU1,'2643167851x3 5t (2)'!R18*1000000)</f>
        <v>549.45783985838466</v>
      </c>
      <c r="S20" s="7">
        <f>csinterpolate(CSTableU1,'2643167851x3 5t (2)'!S18*1000000)</f>
        <v>537.79372831364503</v>
      </c>
      <c r="T20" s="7">
        <f>csinterpolate(CSTableU1,'2643167851x3 5t (2)'!T18*1000000)</f>
        <v>525.32597018923673</v>
      </c>
      <c r="U20" s="7">
        <f>csinterpolate(CSTableU1,'2643167851x3 5t (2)'!U18*1000000)</f>
        <v>512.1382263845353</v>
      </c>
      <c r="V20" s="7">
        <f>csinterpolate(CSTableU1,'2643167851x3 5t (2)'!V18*1000000)</f>
        <v>498.36314350416728</v>
      </c>
      <c r="W20" s="7">
        <f>csinterpolate(CSTableU1,'2643167851x3 5t (2)'!W18*1000000)</f>
        <v>484.19601287000597</v>
      </c>
      <c r="X20" s="7">
        <f>csinterpolate(CSTableU1,'2643167851x3 5t (2)'!X18*1000000)</f>
        <v>469.9115267138128</v>
      </c>
      <c r="Y20" s="7">
        <f>csinterpolate(CSTableU1,'2643167851x3 5t (2)'!Y18*1000000)</f>
        <v>455.88213437553276</v>
      </c>
      <c r="Z20" s="7">
        <f>csinterpolate(CSTableU1,'2643167851x3 5t (2)'!Z18*1000000)</f>
        <v>442.4205189346157</v>
      </c>
      <c r="AA20" s="7">
        <f>csinterpolate(CSTableU1,'2643167851x3 5t (2)'!AA18*1000000)</f>
        <v>429.59150845734803</v>
      </c>
      <c r="AB20" s="7">
        <f>csinterpolate(CSTableU1,'2643167851x3 5t (2)'!AB18*1000000)</f>
        <v>417.40565703773854</v>
      </c>
      <c r="AC20" s="7">
        <f>csinterpolate(CSTableU1,'2643167851x3 5t (2)'!AC18*1000000)</f>
        <v>405.83168083082626</v>
      </c>
      <c r="AD20" s="7">
        <f>csinterpolate(CSTableU1,'2643167851x3 5t (2)'!AD18*1000000)</f>
        <v>394.78097627455514</v>
      </c>
      <c r="AE20" s="7">
        <f>csinterpolate(CSTableU1,'2643167851x3 5t (2)'!AE18*1000000)</f>
        <v>384.08852898077271</v>
      </c>
    </row>
    <row r="21" spans="1:82" x14ac:dyDescent="0.2">
      <c r="A21" t="s">
        <v>10</v>
      </c>
      <c r="B21" s="5">
        <f t="shared" ref="B21:AE21" si="1">B19/$B$13*$B$16*B18*1000000</f>
        <v>85.090524468265059</v>
      </c>
      <c r="C21" s="5">
        <f t="shared" si="1"/>
        <v>101.84109321268444</v>
      </c>
      <c r="D21" s="5">
        <f t="shared" si="1"/>
        <v>120.48909869298885</v>
      </c>
      <c r="E21" s="5">
        <f t="shared" si="1"/>
        <v>141.19869110113956</v>
      </c>
      <c r="F21" s="5">
        <f t="shared" si="1"/>
        <v>164.15032222601789</v>
      </c>
      <c r="G21" s="5">
        <f t="shared" si="1"/>
        <v>189.54557810896424</v>
      </c>
      <c r="H21" s="5">
        <f t="shared" si="1"/>
        <v>217.61368558520329</v>
      </c>
      <c r="I21" s="5">
        <f t="shared" si="1"/>
        <v>248.57882497062204</v>
      </c>
      <c r="J21" s="5">
        <f t="shared" si="1"/>
        <v>282.61140314233086</v>
      </c>
      <c r="K21" s="5">
        <f t="shared" si="1"/>
        <v>319.85674929773216</v>
      </c>
      <c r="L21" s="5">
        <f t="shared" si="1"/>
        <v>360.42915238059459</v>
      </c>
      <c r="M21" s="5">
        <f t="shared" si="1"/>
        <v>404.39855706873669</v>
      </c>
      <c r="N21" s="5">
        <f t="shared" si="1"/>
        <v>451.77405040937293</v>
      </c>
      <c r="O21" s="5">
        <f t="shared" si="1"/>
        <v>502.50896244121941</v>
      </c>
      <c r="P21" s="5">
        <f t="shared" si="1"/>
        <v>556.56357558531727</v>
      </c>
      <c r="Q21" s="5">
        <f t="shared" si="1"/>
        <v>613.868091668999</v>
      </c>
      <c r="R21" s="5">
        <f t="shared" si="1"/>
        <v>674.310478692949</v>
      </c>
      <c r="S21" s="5">
        <f t="shared" si="1"/>
        <v>737.74214411270543</v>
      </c>
      <c r="T21" s="5">
        <f t="shared" si="1"/>
        <v>803.99128626944128</v>
      </c>
      <c r="U21" s="5">
        <f t="shared" si="1"/>
        <v>872.88716873784222</v>
      </c>
      <c r="V21" s="5">
        <f t="shared" si="1"/>
        <v>944.27305591155834</v>
      </c>
      <c r="W21" s="5">
        <f t="shared" si="1"/>
        <v>1017.9623378496005</v>
      </c>
      <c r="X21" s="5">
        <f t="shared" si="1"/>
        <v>1093.8347482060519</v>
      </c>
      <c r="Y21" s="5">
        <f t="shared" si="1"/>
        <v>1171.9416205264729</v>
      </c>
      <c r="Z21" s="5">
        <f t="shared" si="1"/>
        <v>1252.6341512618487</v>
      </c>
      <c r="AA21" s="5">
        <f t="shared" si="1"/>
        <v>1336.4048121062599</v>
      </c>
      <c r="AB21" s="5">
        <f t="shared" si="1"/>
        <v>1423.2010006705032</v>
      </c>
      <c r="AC21" s="5">
        <f t="shared" si="1"/>
        <v>1512.8753871734427</v>
      </c>
      <c r="AD21" s="5">
        <f t="shared" si="1"/>
        <v>1605.3477860990747</v>
      </c>
      <c r="AE21" s="5">
        <f t="shared" si="1"/>
        <v>1700.6758566606547</v>
      </c>
    </row>
    <row r="22" spans="1:82" x14ac:dyDescent="0.2">
      <c r="A22" t="s">
        <v>11</v>
      </c>
      <c r="B22" s="5">
        <f t="shared" ref="B22:AE22" si="2">B20/$B$13*$B$16*B18*1000000</f>
        <v>1014.52327699776</v>
      </c>
      <c r="C22" s="5">
        <f t="shared" si="2"/>
        <v>1060.5389807579136</v>
      </c>
      <c r="D22" s="5">
        <f t="shared" si="2"/>
        <v>1105.9239649641347</v>
      </c>
      <c r="E22" s="5">
        <f t="shared" si="2"/>
        <v>1150.5034132408032</v>
      </c>
      <c r="F22" s="5">
        <f t="shared" si="2"/>
        <v>1194.2813942445998</v>
      </c>
      <c r="G22" s="5">
        <f t="shared" si="2"/>
        <v>1237.5539539478807</v>
      </c>
      <c r="H22" s="5">
        <f t="shared" si="2"/>
        <v>1281.0676241059039</v>
      </c>
      <c r="I22" s="5">
        <f t="shared" si="2"/>
        <v>1326.2231404904885</v>
      </c>
      <c r="J22" s="5">
        <f t="shared" si="2"/>
        <v>1374.437287255739</v>
      </c>
      <c r="K22" s="5">
        <f t="shared" si="2"/>
        <v>1426.2638193079058</v>
      </c>
      <c r="L22" s="5">
        <f t="shared" si="2"/>
        <v>1482.1172760450149</v>
      </c>
      <c r="M22" s="5">
        <f t="shared" si="2"/>
        <v>1542.2801502496604</v>
      </c>
      <c r="N22" s="5">
        <f t="shared" si="2"/>
        <v>1606.7886726812012</v>
      </c>
      <c r="O22" s="5">
        <f t="shared" si="2"/>
        <v>1675.2665973600438</v>
      </c>
      <c r="P22" s="5">
        <f t="shared" si="2"/>
        <v>1746.6913889635305</v>
      </c>
      <c r="Q22" s="5">
        <f t="shared" si="2"/>
        <v>1819.1406854618358</v>
      </c>
      <c r="R22" s="5">
        <f t="shared" si="2"/>
        <v>1891.0682339678062</v>
      </c>
      <c r="S22" s="5">
        <f t="shared" si="2"/>
        <v>1961.9793112449834</v>
      </c>
      <c r="T22" s="5">
        <f t="shared" si="2"/>
        <v>2031.4840965272008</v>
      </c>
      <c r="U22" s="5">
        <f t="shared" si="2"/>
        <v>2099.3150242581637</v>
      </c>
      <c r="V22" s="5">
        <f t="shared" si="2"/>
        <v>2165.4202940591172</v>
      </c>
      <c r="W22" s="5">
        <f t="shared" si="2"/>
        <v>2230.0949807621564</v>
      </c>
      <c r="X22" s="5">
        <f t="shared" si="2"/>
        <v>2294.162173641419</v>
      </c>
      <c r="Y22" s="5">
        <f t="shared" si="2"/>
        <v>2359.2092089663352</v>
      </c>
      <c r="Z22" s="5">
        <f t="shared" si="2"/>
        <v>2426.9174701748589</v>
      </c>
      <c r="AA22" s="5">
        <f t="shared" si="2"/>
        <v>2497.9359632550604</v>
      </c>
      <c r="AB22" s="5">
        <f t="shared" si="2"/>
        <v>2572.7039206810732</v>
      </c>
      <c r="AC22" s="5">
        <f t="shared" si="2"/>
        <v>2651.4490715074276</v>
      </c>
      <c r="AD22" s="5">
        <f t="shared" si="2"/>
        <v>2734.0057580029224</v>
      </c>
      <c r="AE22" s="5">
        <f t="shared" si="2"/>
        <v>2819.5539595382133</v>
      </c>
    </row>
    <row r="23" spans="1:82" x14ac:dyDescent="0.2">
      <c r="A23" t="s">
        <v>12</v>
      </c>
      <c r="B23" s="5" t="str">
        <f t="shared" ref="B23:AE23" si="3">IMDIV(1,COMPLEX(B21,B22))</f>
        <v>0.0000820942583314702-0.000978799184816471i</v>
      </c>
      <c r="C23" s="5" t="str">
        <f t="shared" si="3"/>
        <v>0.0000897187815024146-0.000934301293199018i</v>
      </c>
      <c r="D23" s="5" t="str">
        <f t="shared" si="3"/>
        <v>0.0000973582064542187-0.000893614234578974i</v>
      </c>
      <c r="E23" s="5" t="str">
        <f t="shared" si="3"/>
        <v>0.000105090204108712-0.0008562872472992i</v>
      </c>
      <c r="F23" s="5" t="str">
        <f t="shared" si="3"/>
        <v>0.000112953683667516-0.000821798464883687i</v>
      </c>
      <c r="G23" s="5" t="str">
        <f t="shared" si="3"/>
        <v>0.00012092474036394-0.000789524567444589i</v>
      </c>
      <c r="H23" s="5" t="str">
        <f t="shared" si="3"/>
        <v>0.000128880650152816-0.000758706088913915i</v>
      </c>
      <c r="I23" s="5" t="str">
        <f t="shared" si="3"/>
        <v>0.000136532316461313-0.000728430177176853i</v>
      </c>
      <c r="J23" s="5" t="str">
        <f t="shared" si="3"/>
        <v>0.000143534282169132-0.000698057004137893i</v>
      </c>
      <c r="K23" s="5" t="str">
        <f t="shared" si="3"/>
        <v>0.000149708044323664-0.000667558735424504i</v>
      </c>
      <c r="L23" s="5" t="str">
        <f t="shared" si="3"/>
        <v>0.000154917960870035-0.000637036667701868i</v>
      </c>
      <c r="M23" s="5" t="str">
        <f t="shared" si="3"/>
        <v>0.000159076361077109-0.000606679499159221i</v>
      </c>
      <c r="N23" s="5" t="str">
        <f t="shared" si="3"/>
        <v>0.0001621662569335-0.000576763770508169i</v>
      </c>
      <c r="O23" s="5" t="str">
        <f t="shared" si="3"/>
        <v>0.000164270503743019-0.000547645730566205i</v>
      </c>
      <c r="P23" s="5" t="str">
        <f t="shared" si="3"/>
        <v>0.000165609723786967-0.000519741303880891i</v>
      </c>
      <c r="Q23" s="5" t="str">
        <f t="shared" si="3"/>
        <v>0.000166535619758093-0.000493512736029133i</v>
      </c>
      <c r="R23" s="5" t="str">
        <f t="shared" si="3"/>
        <v>0.000167288092494289-0.000469150647414263i</v>
      </c>
      <c r="S23" s="5" t="str">
        <f t="shared" si="3"/>
        <v>0.000167911901375766-0.000446551249972689i</v>
      </c>
      <c r="T23" s="5" t="str">
        <f t="shared" si="3"/>
        <v>0.000168434059617921-0.000425590574513576i</v>
      </c>
      <c r="U23" s="5" t="str">
        <f t="shared" si="3"/>
        <v>0.000168867824142525-0.000406131253881059i</v>
      </c>
      <c r="V23" s="5" t="str">
        <f t="shared" si="3"/>
        <v>0.000169203437213768-0.000388019709419273i</v>
      </c>
      <c r="W23" s="5" t="str">
        <f t="shared" si="3"/>
        <v>0.000169390185630658-0.000371090548952228i</v>
      </c>
      <c r="X23" s="5" t="str">
        <f t="shared" si="3"/>
        <v>0.000169333319950796-0.000355152456077448i</v>
      </c>
      <c r="Y23" s="5" t="str">
        <f t="shared" si="3"/>
        <v>0.0001688843319115-0.000339977234460494i</v>
      </c>
      <c r="Z23" s="5" t="str">
        <f t="shared" si="3"/>
        <v>0.00016793547003298-0.000325366768640709i</v>
      </c>
      <c r="AA23" s="5" t="str">
        <f t="shared" si="3"/>
        <v>0.000166516460453194-0.000311243607679331i</v>
      </c>
      <c r="AB23" s="5" t="str">
        <f t="shared" si="3"/>
        <v>0.000164640274166885-0.000297618311574822i</v>
      </c>
      <c r="AC23" s="5" t="str">
        <f t="shared" si="3"/>
        <v>0.000162343555026095-0.000284521561979649i</v>
      </c>
      <c r="AD23" s="5" t="str">
        <f t="shared" si="3"/>
        <v>0.000159705444222557-0.000271988168464038i</v>
      </c>
      <c r="AE23" s="5" t="str">
        <f t="shared" si="3"/>
        <v>0.000156857329591169-0.000260054085556187i</v>
      </c>
    </row>
    <row r="24" spans="1:82" x14ac:dyDescent="0.2">
      <c r="A24" t="s">
        <v>13</v>
      </c>
      <c r="B24" s="6" t="str">
        <f t="shared" ref="B24:AE24" si="4">COMPLEX(0,2*PI()*B18*1000000*$B$9*0.000000000001)</f>
        <v>0.000182212373908208i</v>
      </c>
      <c r="C24" s="6" t="str">
        <f t="shared" si="4"/>
        <v>0.0001931451163427i</v>
      </c>
      <c r="D24" s="6" t="str">
        <f t="shared" si="4"/>
        <v>0.000204733823323263i</v>
      </c>
      <c r="E24" s="6" t="str">
        <f t="shared" si="4"/>
        <v>0.000217017852722658i</v>
      </c>
      <c r="F24" s="6" t="str">
        <f t="shared" si="4"/>
        <v>0.000230038923886018i</v>
      </c>
      <c r="G24" s="6" t="str">
        <f t="shared" si="4"/>
        <v>0.000243841259319179i</v>
      </c>
      <c r="H24" s="6" t="str">
        <f t="shared" si="4"/>
        <v>0.00025847173487833i</v>
      </c>
      <c r="I24" s="6" t="str">
        <f t="shared" si="4"/>
        <v>0.000273980038971029i</v>
      </c>
      <c r="J24" s="6" t="str">
        <f t="shared" si="4"/>
        <v>0.000290418841309291i</v>
      </c>
      <c r="K24" s="6" t="str">
        <f t="shared" si="4"/>
        <v>0.000307843971787849i</v>
      </c>
      <c r="L24" s="6" t="str">
        <f t="shared" si="4"/>
        <v>0.00032631461009512i</v>
      </c>
      <c r="M24" s="6" t="str">
        <f t="shared" si="4"/>
        <v>0.000345893486700827i</v>
      </c>
      <c r="N24" s="6" t="str">
        <f t="shared" si="4"/>
        <v>0.000366647095902876i</v>
      </c>
      <c r="O24" s="6" t="str">
        <f t="shared" si="4"/>
        <v>0.000388645921657049i</v>
      </c>
      <c r="P24" s="6" t="str">
        <f t="shared" si="4"/>
        <v>0.000411964676956472i</v>
      </c>
      <c r="Q24" s="6" t="str">
        <f t="shared" si="4"/>
        <v>0.00043668255757386i</v>
      </c>
      <c r="R24" s="6" t="str">
        <f t="shared" si="4"/>
        <v>0.000462883511028292i</v>
      </c>
      <c r="S24" s="6" t="str">
        <f t="shared" si="4"/>
        <v>0.00049065652168999i</v>
      </c>
      <c r="T24" s="6" t="str">
        <f t="shared" si="4"/>
        <v>0.000520095912991389i</v>
      </c>
      <c r="U24" s="6" t="str">
        <f t="shared" si="4"/>
        <v>0.000551301667770872i</v>
      </c>
      <c r="V24" s="6" t="str">
        <f t="shared" si="4"/>
        <v>0.000584379767837125i</v>
      </c>
      <c r="W24" s="6" t="str">
        <f t="shared" si="4"/>
        <v>0.000619442553907352i</v>
      </c>
      <c r="X24" s="6" t="str">
        <f t="shared" si="4"/>
        <v>0.000656609107141793i</v>
      </c>
      <c r="Y24" s="6" t="str">
        <f t="shared" si="4"/>
        <v>0.000696005653570301i</v>
      </c>
      <c r="Z24" s="6" t="str">
        <f t="shared" si="4"/>
        <v>0.000737765992784519i</v>
      </c>
      <c r="AA24" s="6" t="str">
        <f t="shared" si="4"/>
        <v>0.00078203195235159i</v>
      </c>
      <c r="AB24" s="6" t="str">
        <f t="shared" si="4"/>
        <v>0.000828953869492686i</v>
      </c>
      <c r="AC24" s="6" t="str">
        <f t="shared" si="4"/>
        <v>0.000878691101662247i</v>
      </c>
      <c r="AD24" s="6" t="str">
        <f t="shared" si="4"/>
        <v>0.000931412567761982i</v>
      </c>
      <c r="AE24" s="6" t="str">
        <f t="shared" si="4"/>
        <v>0.000987297321827701i</v>
      </c>
    </row>
    <row r="25" spans="1:82" x14ac:dyDescent="0.2">
      <c r="A25" t="s">
        <v>14</v>
      </c>
      <c r="B25" s="6" t="str">
        <f t="shared" ref="B25:AE25" si="5">IMDIV(1,IMSUM(B23,B24))</f>
        <v>128.014247013164+1242.16312872088i</v>
      </c>
      <c r="C25" s="6" t="str">
        <f t="shared" si="5"/>
        <v>160.97041320164+1329.75742690285i</v>
      </c>
      <c r="D25" s="6" t="str">
        <f t="shared" si="5"/>
        <v>201.138839876667+1423.20418360306i</v>
      </c>
      <c r="E25" s="6" t="str">
        <f t="shared" si="5"/>
        <v>250.388070134318+1523.12417091104i</v>
      </c>
      <c r="F25" s="6" t="str">
        <f t="shared" si="5"/>
        <v>311.220423896245+1630.47055407283i</v>
      </c>
      <c r="G25" s="6" t="str">
        <f t="shared" si="5"/>
        <v>387.091628081303+1746.78431827376i</v>
      </c>
      <c r="H25" s="6" t="str">
        <f t="shared" si="5"/>
        <v>482.98011355233+1874.62776474521i</v>
      </c>
      <c r="I25" s="6" t="str">
        <f t="shared" si="5"/>
        <v>606.362930101689+2018.28932907384i</v>
      </c>
      <c r="J25" s="6" t="str">
        <f t="shared" si="5"/>
        <v>768.504272125312+2182.5564240183i</v>
      </c>
      <c r="K25" s="6" t="str">
        <f t="shared" si="5"/>
        <v>986.172162747146+2369.54993320666i</v>
      </c>
      <c r="L25" s="6" t="str">
        <f t="shared" si="5"/>
        <v>1285.11675252508+2577.5844154345i</v>
      </c>
      <c r="M25" s="6" t="str">
        <f t="shared" si="5"/>
        <v>1704.73114507811+2794.69579658701i</v>
      </c>
      <c r="N25" s="6" t="str">
        <f t="shared" si="5"/>
        <v>2301.96402807982+2982.62434977137i</v>
      </c>
      <c r="O25" s="6" t="str">
        <f t="shared" si="5"/>
        <v>3142.98642250256+3042.14225436206i</v>
      </c>
      <c r="P25" s="6" t="str">
        <f t="shared" si="5"/>
        <v>4241.79354910619+2760.50337129058i</v>
      </c>
      <c r="Q25" s="6" t="str">
        <f t="shared" si="5"/>
        <v>5378.40050238415+1835.37588414065i</v>
      </c>
      <c r="R25" s="6" t="str">
        <f t="shared" si="5"/>
        <v>5969.33389366514+223.629961267422i</v>
      </c>
      <c r="S25" s="6" t="str">
        <f t="shared" si="5"/>
        <v>5571.12392593141-1463.36223049539i</v>
      </c>
      <c r="T25" s="6" t="str">
        <f t="shared" si="5"/>
        <v>4515.50209429186-2533.56746721149i</v>
      </c>
      <c r="U25" s="6" t="str">
        <f t="shared" si="5"/>
        <v>3405.22545412646-2927.36636522563i</v>
      </c>
      <c r="V25" s="6" t="str">
        <f t="shared" si="5"/>
        <v>2518.39264372989-2922.5867676502i</v>
      </c>
      <c r="W25" s="6" t="str">
        <f t="shared" si="5"/>
        <v>1874.37091066049-2748.1153761003i</v>
      </c>
      <c r="X25" s="6" t="str">
        <f t="shared" si="5"/>
        <v>1416.42393830779-2521.59714965555i</v>
      </c>
      <c r="Y25" s="6" t="str">
        <f t="shared" si="5"/>
        <v>1087.62455560533-2292.84295786591i</v>
      </c>
      <c r="Z25" s="6" t="str">
        <f t="shared" si="5"/>
        <v>846.980686036347-2079.93092654926i</v>
      </c>
      <c r="AA25" s="6" t="str">
        <f t="shared" si="5"/>
        <v>667.750182669911-1887.9154787351i</v>
      </c>
      <c r="AB25" s="6" t="str">
        <f t="shared" si="5"/>
        <v>532.086489876706-1717.1768778314i</v>
      </c>
      <c r="AC25" s="6" t="str">
        <f t="shared" si="5"/>
        <v>427.903545681665-1566.10622901142i</v>
      </c>
      <c r="AD25" s="6" t="str">
        <f t="shared" si="5"/>
        <v>346.92452371883-1432.45270547078i</v>
      </c>
      <c r="AE25" s="6" t="str">
        <f t="shared" si="5"/>
        <v>283.398426230533-1313.93023955796i</v>
      </c>
    </row>
    <row r="26" spans="1:82" x14ac:dyDescent="0.2">
      <c r="A26" t="s">
        <v>6</v>
      </c>
      <c r="B26" s="5">
        <f t="shared" ref="B26:AE26" si="6">IMREAL(B25)</f>
        <v>128.01424701316401</v>
      </c>
      <c r="C26" s="5">
        <f t="shared" si="6"/>
        <v>160.97041320164001</v>
      </c>
      <c r="D26" s="5">
        <f t="shared" si="6"/>
        <v>201.13883987666699</v>
      </c>
      <c r="E26" s="5">
        <f t="shared" si="6"/>
        <v>250.38807013431801</v>
      </c>
      <c r="F26" s="5">
        <f t="shared" si="6"/>
        <v>311.22042389624499</v>
      </c>
      <c r="G26" s="5">
        <f t="shared" si="6"/>
        <v>387.09162808130299</v>
      </c>
      <c r="H26" s="5">
        <f t="shared" si="6"/>
        <v>482.98011355233001</v>
      </c>
      <c r="I26" s="5">
        <f t="shared" si="6"/>
        <v>606.36293010168902</v>
      </c>
      <c r="J26" s="5">
        <f t="shared" si="6"/>
        <v>768.50427212531201</v>
      </c>
      <c r="K26" s="5">
        <f t="shared" si="6"/>
        <v>986.17216274714599</v>
      </c>
      <c r="L26" s="5">
        <f t="shared" si="6"/>
        <v>1285.1167525250801</v>
      </c>
      <c r="M26" s="5">
        <f t="shared" si="6"/>
        <v>1704.7311450781101</v>
      </c>
      <c r="N26" s="5">
        <f t="shared" si="6"/>
        <v>2301.9640280798199</v>
      </c>
      <c r="O26" s="5">
        <f t="shared" si="6"/>
        <v>3142.9864225025599</v>
      </c>
      <c r="P26" s="5">
        <f t="shared" si="6"/>
        <v>4241.7935491061899</v>
      </c>
      <c r="Q26" s="5">
        <f t="shared" si="6"/>
        <v>5378.4005023841501</v>
      </c>
      <c r="R26" s="5">
        <f t="shared" si="6"/>
        <v>5969.3338936651398</v>
      </c>
      <c r="S26" s="5">
        <f t="shared" si="6"/>
        <v>5571.1239259314098</v>
      </c>
      <c r="T26" s="5">
        <f t="shared" si="6"/>
        <v>4515.50209429186</v>
      </c>
      <c r="U26" s="5">
        <f t="shared" si="6"/>
        <v>3405.2254541264601</v>
      </c>
      <c r="V26" s="5">
        <f t="shared" si="6"/>
        <v>2518.3926437298901</v>
      </c>
      <c r="W26" s="5">
        <f t="shared" si="6"/>
        <v>1874.3709106604899</v>
      </c>
      <c r="X26" s="5">
        <f t="shared" si="6"/>
        <v>1416.42393830779</v>
      </c>
      <c r="Y26" s="5">
        <f t="shared" si="6"/>
        <v>1087.62455560533</v>
      </c>
      <c r="Z26" s="5">
        <f t="shared" si="6"/>
        <v>846.98068603634704</v>
      </c>
      <c r="AA26" s="5">
        <f t="shared" si="6"/>
        <v>667.75018266991106</v>
      </c>
      <c r="AB26" s="5">
        <f t="shared" si="6"/>
        <v>532.08648987670597</v>
      </c>
      <c r="AC26" s="5">
        <f t="shared" si="6"/>
        <v>427.90354568166498</v>
      </c>
      <c r="AD26" s="5">
        <f t="shared" si="6"/>
        <v>346.92452371883002</v>
      </c>
      <c r="AE26" s="5">
        <f t="shared" si="6"/>
        <v>283.398426230533</v>
      </c>
    </row>
    <row r="27" spans="1:82" x14ac:dyDescent="0.2">
      <c r="A27" t="s">
        <v>7</v>
      </c>
      <c r="B27" s="5">
        <f t="shared" ref="B27:AE27" si="7">IMAGINARY(B25)</f>
        <v>1242.16312872088</v>
      </c>
      <c r="C27" s="5">
        <f t="shared" si="7"/>
        <v>1329.7574269028501</v>
      </c>
      <c r="D27" s="5">
        <f t="shared" si="7"/>
        <v>1423.2041836030601</v>
      </c>
      <c r="E27" s="5">
        <f t="shared" si="7"/>
        <v>1523.12417091104</v>
      </c>
      <c r="F27" s="5">
        <f t="shared" si="7"/>
        <v>1630.4705540728301</v>
      </c>
      <c r="G27" s="5">
        <f t="shared" si="7"/>
        <v>1746.7843182737599</v>
      </c>
      <c r="H27" s="5">
        <f t="shared" si="7"/>
        <v>1874.62776474521</v>
      </c>
      <c r="I27" s="5">
        <f t="shared" si="7"/>
        <v>2018.28932907384</v>
      </c>
      <c r="J27" s="5">
        <f t="shared" si="7"/>
        <v>2182.5564240182998</v>
      </c>
      <c r="K27" s="5">
        <f t="shared" si="7"/>
        <v>2369.5499332066602</v>
      </c>
      <c r="L27" s="5">
        <f t="shared" si="7"/>
        <v>2577.5844154345</v>
      </c>
      <c r="M27" s="5">
        <f t="shared" si="7"/>
        <v>2794.6957965870101</v>
      </c>
      <c r="N27" s="5">
        <f t="shared" si="7"/>
        <v>2982.6243497713699</v>
      </c>
      <c r="O27" s="5">
        <f t="shared" si="7"/>
        <v>3042.1422543620602</v>
      </c>
      <c r="P27" s="5">
        <f t="shared" si="7"/>
        <v>2760.5033712905802</v>
      </c>
      <c r="Q27" s="5">
        <f t="shared" si="7"/>
        <v>1835.37588414065</v>
      </c>
      <c r="R27" s="5">
        <f t="shared" si="7"/>
        <v>223.629961267422</v>
      </c>
      <c r="S27" s="5">
        <f t="shared" si="7"/>
        <v>-1463.3622304953899</v>
      </c>
      <c r="T27" s="5">
        <f t="shared" si="7"/>
        <v>-2533.5674672114901</v>
      </c>
      <c r="U27" s="5">
        <f t="shared" si="7"/>
        <v>-2927.36636522563</v>
      </c>
      <c r="V27" s="5">
        <f t="shared" si="7"/>
        <v>-2922.5867676501998</v>
      </c>
      <c r="W27" s="5">
        <f t="shared" si="7"/>
        <v>-2748.1153761003002</v>
      </c>
      <c r="X27" s="5">
        <f t="shared" si="7"/>
        <v>-2521.5971496555499</v>
      </c>
      <c r="Y27" s="5">
        <f t="shared" si="7"/>
        <v>-2292.8429578659102</v>
      </c>
      <c r="Z27" s="5">
        <f t="shared" si="7"/>
        <v>-2079.9309265492602</v>
      </c>
      <c r="AA27" s="5">
        <f t="shared" si="7"/>
        <v>-1887.9154787350999</v>
      </c>
      <c r="AB27" s="5">
        <f t="shared" si="7"/>
        <v>-1717.1768778313999</v>
      </c>
      <c r="AC27" s="5">
        <f t="shared" si="7"/>
        <v>-1566.1062290114201</v>
      </c>
      <c r="AD27" s="5">
        <f t="shared" si="7"/>
        <v>-1432.4527054707801</v>
      </c>
      <c r="AE27" s="5">
        <f t="shared" si="7"/>
        <v>-1313.93023955796</v>
      </c>
    </row>
    <row r="28" spans="1:82" x14ac:dyDescent="0.2">
      <c r="A28" t="s">
        <v>15</v>
      </c>
      <c r="B28" s="5">
        <f t="shared" ref="B28:AE28" si="8">IMABS(B25)</f>
        <v>1248.7421214133817</v>
      </c>
      <c r="C28" s="5">
        <f t="shared" si="8"/>
        <v>1339.4649261289355</v>
      </c>
      <c r="D28" s="5">
        <f t="shared" si="8"/>
        <v>1437.3472027078858</v>
      </c>
      <c r="E28" s="5">
        <f t="shared" si="8"/>
        <v>1543.5677586938095</v>
      </c>
      <c r="F28" s="5">
        <f t="shared" si="8"/>
        <v>1659.9073407719843</v>
      </c>
      <c r="G28" s="5">
        <f t="shared" si="8"/>
        <v>1789.1605246868592</v>
      </c>
      <c r="H28" s="5">
        <f t="shared" si="8"/>
        <v>1935.845821970501</v>
      </c>
      <c r="I28" s="5">
        <f t="shared" si="8"/>
        <v>2107.4078435022579</v>
      </c>
      <c r="J28" s="5">
        <f t="shared" si="8"/>
        <v>2313.9039220111117</v>
      </c>
      <c r="K28" s="5">
        <f t="shared" si="8"/>
        <v>2566.5740629362463</v>
      </c>
      <c r="L28" s="5">
        <f t="shared" si="8"/>
        <v>2880.1851479221646</v>
      </c>
      <c r="M28" s="5">
        <f t="shared" si="8"/>
        <v>3273.5963209382471</v>
      </c>
      <c r="N28" s="5">
        <f t="shared" si="8"/>
        <v>3767.6367126386481</v>
      </c>
      <c r="O28" s="5">
        <f t="shared" si="8"/>
        <v>4374.1277013606405</v>
      </c>
      <c r="P28" s="5">
        <f t="shared" si="8"/>
        <v>5060.9476756972645</v>
      </c>
      <c r="Q28" s="5">
        <f t="shared" si="8"/>
        <v>5682.9390811560825</v>
      </c>
      <c r="R28" s="5">
        <f t="shared" si="8"/>
        <v>5973.5213646253824</v>
      </c>
      <c r="S28" s="5">
        <f t="shared" si="8"/>
        <v>5760.1085767306377</v>
      </c>
      <c r="T28" s="5">
        <f t="shared" si="8"/>
        <v>5177.7140974050135</v>
      </c>
      <c r="U28" s="5">
        <f t="shared" si="8"/>
        <v>4490.5494351677135</v>
      </c>
      <c r="V28" s="5">
        <f t="shared" si="8"/>
        <v>3857.9547589930171</v>
      </c>
      <c r="W28" s="5">
        <f t="shared" si="8"/>
        <v>3326.47026607621</v>
      </c>
      <c r="X28" s="5">
        <f t="shared" si="8"/>
        <v>2892.1806579400159</v>
      </c>
      <c r="Y28" s="5">
        <f t="shared" si="8"/>
        <v>2537.7265422797204</v>
      </c>
      <c r="Z28" s="5">
        <f t="shared" si="8"/>
        <v>2245.771346716906</v>
      </c>
      <c r="AA28" s="5">
        <f t="shared" si="8"/>
        <v>2002.5271936488857</v>
      </c>
      <c r="AB28" s="5">
        <f t="shared" si="8"/>
        <v>1797.7242453914082</v>
      </c>
      <c r="AC28" s="5">
        <f t="shared" si="8"/>
        <v>1623.5116768767975</v>
      </c>
      <c r="AD28" s="5">
        <f t="shared" si="8"/>
        <v>1473.8647762152721</v>
      </c>
      <c r="AE28" s="5">
        <f t="shared" si="8"/>
        <v>1344.1455808113872</v>
      </c>
    </row>
    <row r="31" spans="1:82" x14ac:dyDescent="0.2">
      <c r="B31" s="14">
        <v>1.04</v>
      </c>
      <c r="C31" s="14">
        <v>1.0894999999999999</v>
      </c>
      <c r="D31" s="14">
        <v>1.139</v>
      </c>
      <c r="E31" s="14">
        <v>1.1884999999999999</v>
      </c>
      <c r="F31" s="14">
        <v>1.238</v>
      </c>
      <c r="G31" s="14">
        <v>1.2875000000000001</v>
      </c>
      <c r="H31" s="14">
        <v>1.337</v>
      </c>
      <c r="I31" s="14">
        <v>1.3865000000000001</v>
      </c>
      <c r="J31" s="14">
        <v>1.4359999999999999</v>
      </c>
      <c r="K31" s="14">
        <v>1.4855</v>
      </c>
      <c r="L31" s="14">
        <v>1.5349999999999999</v>
      </c>
      <c r="M31" s="14">
        <v>1.5845</v>
      </c>
      <c r="N31" s="14">
        <v>1.6339999999999999</v>
      </c>
      <c r="O31" s="14">
        <v>1.6835</v>
      </c>
      <c r="P31" s="14">
        <v>1.7330000000000001</v>
      </c>
      <c r="Q31" s="14">
        <v>1.7825</v>
      </c>
      <c r="R31" s="14">
        <v>1.8320000000000001</v>
      </c>
      <c r="S31" s="14">
        <v>1.8815</v>
      </c>
      <c r="T31" s="14">
        <v>1.931</v>
      </c>
      <c r="U31" s="14">
        <v>1.9804999999999999</v>
      </c>
      <c r="V31" s="14">
        <v>2.0299999999999998</v>
      </c>
      <c r="W31" s="14">
        <v>2.0794999999999999</v>
      </c>
      <c r="X31" s="14">
        <v>2.129</v>
      </c>
      <c r="Y31" s="14">
        <v>2.1785000000000001</v>
      </c>
      <c r="Z31" s="14">
        <v>2.2280000000000002</v>
      </c>
      <c r="AA31" s="14">
        <v>2.2774999999999999</v>
      </c>
      <c r="AB31" s="14">
        <v>2.327</v>
      </c>
      <c r="AC31" s="14">
        <v>2.3765000000000001</v>
      </c>
      <c r="AD31" s="14">
        <v>2.4260000000000002</v>
      </c>
      <c r="AE31" s="14">
        <v>2.4754999999999998</v>
      </c>
      <c r="AF31" s="14">
        <v>2.5249999999999999</v>
      </c>
      <c r="AG31" s="14">
        <v>2.5745</v>
      </c>
      <c r="AH31" s="14">
        <v>2.6240000000000001</v>
      </c>
      <c r="AI31" s="14">
        <v>2.6735000000000002</v>
      </c>
      <c r="AJ31" s="14">
        <v>2.7229999999999999</v>
      </c>
      <c r="AK31" s="14">
        <v>2.7725</v>
      </c>
      <c r="AL31" s="14">
        <v>2.8220000000000001</v>
      </c>
      <c r="AM31" s="14">
        <v>2.8715000000000002</v>
      </c>
      <c r="AN31" s="14">
        <v>2.9209999999999998</v>
      </c>
      <c r="AO31" s="14">
        <v>2.9704999999999999</v>
      </c>
      <c r="AP31" s="14">
        <v>3.02</v>
      </c>
      <c r="AQ31" s="14">
        <v>3.0695000000000001</v>
      </c>
      <c r="AR31" s="14">
        <v>3.1190000000000002</v>
      </c>
      <c r="AS31" s="14">
        <v>3.1684999999999999</v>
      </c>
      <c r="AT31" s="14">
        <v>3.218</v>
      </c>
      <c r="AU31" s="14">
        <v>3.2675000000000001</v>
      </c>
      <c r="AV31" s="14">
        <v>3.3170000000000002</v>
      </c>
      <c r="AW31" s="14">
        <v>3.3664999999999998</v>
      </c>
      <c r="AX31" s="14">
        <v>3.4159999999999999</v>
      </c>
      <c r="AY31" s="14">
        <v>3.4655</v>
      </c>
      <c r="AZ31" s="14">
        <v>3.5150000000000001</v>
      </c>
      <c r="BA31" s="14">
        <v>3.5644999999999998</v>
      </c>
      <c r="BB31" s="14">
        <v>3.6139999999999999</v>
      </c>
      <c r="BC31" s="14">
        <v>3.6635</v>
      </c>
      <c r="BD31" s="14">
        <v>3.7130000000000001</v>
      </c>
      <c r="BE31" s="14">
        <v>3.7625000000000002</v>
      </c>
      <c r="BF31" s="14">
        <v>3.8119999999999998</v>
      </c>
      <c r="BG31" s="14">
        <v>3.8614999999999999</v>
      </c>
      <c r="BH31" s="14">
        <v>3.911</v>
      </c>
      <c r="BI31" s="14">
        <v>3.9605000000000001</v>
      </c>
      <c r="BJ31" s="14">
        <v>4.01</v>
      </c>
      <c r="BK31" s="14">
        <v>4.0594999999999999</v>
      </c>
      <c r="BL31" s="14">
        <v>4.109</v>
      </c>
      <c r="BM31" s="14">
        <v>4.1585000000000001</v>
      </c>
      <c r="BN31" s="14">
        <v>4.2080000000000002</v>
      </c>
      <c r="BO31" s="14">
        <v>4.2575000000000003</v>
      </c>
      <c r="BP31" s="14">
        <v>4.3070000000000004</v>
      </c>
      <c r="BQ31" s="14">
        <v>4.3564999999999996</v>
      </c>
      <c r="BR31" s="14">
        <v>4.4059999999999997</v>
      </c>
      <c r="BS31" s="14">
        <v>4.4554999999999998</v>
      </c>
      <c r="BT31" s="14">
        <v>4.5049999999999999</v>
      </c>
      <c r="BU31" s="14">
        <v>4.5545</v>
      </c>
      <c r="BV31" s="14">
        <v>4.6040000000000001</v>
      </c>
      <c r="BW31" s="14">
        <v>4.6535000000000002</v>
      </c>
      <c r="BX31" s="14">
        <v>4.7030000000000003</v>
      </c>
      <c r="BY31" s="14">
        <v>4.7525000000000004</v>
      </c>
      <c r="BZ31" s="14">
        <v>4.8019999999999996</v>
      </c>
      <c r="CA31" s="14">
        <v>4.8514999999999997</v>
      </c>
      <c r="CB31" s="14">
        <v>4.9009999999999998</v>
      </c>
      <c r="CC31" s="14">
        <v>4.9504999999999999</v>
      </c>
      <c r="CD31" s="14">
        <v>5</v>
      </c>
    </row>
    <row r="32" spans="1:82" x14ac:dyDescent="0.2">
      <c r="B32" s="15">
        <v>287.90093615404732</v>
      </c>
      <c r="C32" s="15">
        <v>358.04420068925265</v>
      </c>
      <c r="D32" s="15">
        <v>441.77513660139221</v>
      </c>
      <c r="E32" s="15">
        <v>539.98056479059017</v>
      </c>
      <c r="F32" s="15">
        <v>653.53780627537219</v>
      </c>
      <c r="G32" s="15">
        <v>781.79520633785069</v>
      </c>
      <c r="H32" s="15">
        <v>926.33269990709653</v>
      </c>
      <c r="I32" s="15">
        <v>1087.1399039297282</v>
      </c>
      <c r="J32" s="15">
        <v>1265.5318629335623</v>
      </c>
      <c r="K32" s="15">
        <v>1461.2955333050918</v>
      </c>
      <c r="L32" s="15">
        <v>1674.7160206128008</v>
      </c>
      <c r="M32" s="15">
        <v>1905.1755604703378</v>
      </c>
      <c r="N32" s="15">
        <v>2154.7167939636461</v>
      </c>
      <c r="O32" s="15">
        <v>2418.7476719948445</v>
      </c>
      <c r="P32" s="15">
        <v>2699.1858571271155</v>
      </c>
      <c r="Q32" s="15">
        <v>2992.4629166641885</v>
      </c>
      <c r="R32" s="15">
        <v>3296.0206478544264</v>
      </c>
      <c r="S32" s="15">
        <v>3606.8941402065111</v>
      </c>
      <c r="T32" s="15">
        <v>3920.7676324072891</v>
      </c>
      <c r="U32" s="15">
        <v>4233.1624604658646</v>
      </c>
      <c r="V32" s="15">
        <v>4537.8273138357745</v>
      </c>
      <c r="W32" s="15">
        <v>4833.336314438865</v>
      </c>
      <c r="X32" s="15">
        <v>5108.2863327173318</v>
      </c>
      <c r="Y32" s="15">
        <v>5361.694676423198</v>
      </c>
      <c r="Z32" s="15">
        <v>5584.5735786866517</v>
      </c>
      <c r="AA32" s="15">
        <v>5775.7085402245866</v>
      </c>
      <c r="AB32" s="15">
        <v>5934.8800795726584</v>
      </c>
      <c r="AC32" s="15">
        <v>6053.1363315729996</v>
      </c>
      <c r="AD32" s="15">
        <v>6132.2865248052294</v>
      </c>
      <c r="AE32" s="15">
        <v>6174.3825448147436</v>
      </c>
      <c r="AF32" s="15">
        <v>6181.1759164167561</v>
      </c>
      <c r="AG32" s="15">
        <v>6153.3282301397885</v>
      </c>
      <c r="AH32" s="15">
        <v>6096.74106071609</v>
      </c>
      <c r="AI32" s="15">
        <v>6012.5694531409445</v>
      </c>
      <c r="AJ32" s="15">
        <v>5906.8232882672401</v>
      </c>
      <c r="AK32" s="15">
        <v>5778.9956600422174</v>
      </c>
      <c r="AL32" s="15">
        <v>5640.1463118233087</v>
      </c>
      <c r="AM32" s="15">
        <v>5488.6502304731503</v>
      </c>
      <c r="AN32" s="15">
        <v>5327.8805062086813</v>
      </c>
      <c r="AO32" s="15">
        <v>5162.5206790327102</v>
      </c>
      <c r="AP32" s="15">
        <v>4994.4957594728421</v>
      </c>
      <c r="AQ32" s="15">
        <v>4824.4865975408484</v>
      </c>
      <c r="AR32" s="15">
        <v>4655.7483626077246</v>
      </c>
      <c r="AS32" s="15">
        <v>4488.6606744207065</v>
      </c>
      <c r="AT32" s="15">
        <v>4324.5117037624714</v>
      </c>
      <c r="AU32" s="15">
        <v>4165.2481626639501</v>
      </c>
      <c r="AV32" s="15">
        <v>4009.3118466381716</v>
      </c>
      <c r="AW32" s="15">
        <v>3859.1440781872202</v>
      </c>
      <c r="AX32" s="15">
        <v>3713.2165082679435</v>
      </c>
      <c r="AY32" s="15">
        <v>3573.3346655234109</v>
      </c>
      <c r="AZ32" s="15">
        <v>3438.1869467354559</v>
      </c>
      <c r="BA32" s="15">
        <v>3309.4401425072806</v>
      </c>
      <c r="BB32" s="15">
        <v>3185.6887740617221</v>
      </c>
      <c r="BC32" s="15">
        <v>3067.3661634448158</v>
      </c>
      <c r="BD32" s="15">
        <v>2954.1908837319488</v>
      </c>
      <c r="BE32" s="15">
        <v>2846.1617356282723</v>
      </c>
      <c r="BF32" s="15">
        <v>2743.1180874185393</v>
      </c>
      <c r="BG32" s="15">
        <v>2644.1451991355766</v>
      </c>
      <c r="BH32" s="15">
        <v>2551.2281860514008</v>
      </c>
      <c r="BI32" s="15">
        <v>2462.4180406877822</v>
      </c>
      <c r="BJ32" s="15">
        <v>2377.3278329588516</v>
      </c>
      <c r="BK32" s="15">
        <v>2295.2750195578137</v>
      </c>
      <c r="BL32" s="15">
        <v>2217.9476780270788</v>
      </c>
      <c r="BM32" s="15">
        <v>2143.1289624218243</v>
      </c>
      <c r="BN32" s="15">
        <v>2072.110866751806</v>
      </c>
      <c r="BO32" s="15">
        <v>2004.9115290439149</v>
      </c>
      <c r="BP32" s="15">
        <v>1939.7018748203341</v>
      </c>
      <c r="BQ32" s="15">
        <v>1877.8834817689119</v>
      </c>
      <c r="BR32" s="15">
        <v>1818.5593501994113</v>
      </c>
      <c r="BS32" s="15">
        <v>1762.4096248568667</v>
      </c>
      <c r="BT32" s="15">
        <v>1708.5080093459412</v>
      </c>
      <c r="BU32" s="15">
        <v>1656.9123501805134</v>
      </c>
      <c r="BV32" s="15">
        <v>1606.9599952428694</v>
      </c>
      <c r="BW32" s="15">
        <v>1560.0005543921861</v>
      </c>
      <c r="BX32" s="15">
        <v>1514.5928316844445</v>
      </c>
      <c r="BY32" s="15">
        <v>1471.1045689980679</v>
      </c>
      <c r="BZ32" s="15">
        <v>1428.7429715982973</v>
      </c>
      <c r="CA32" s="15">
        <v>1389.1123514033516</v>
      </c>
      <c r="CB32" s="15">
        <v>1350.6410932957638</v>
      </c>
      <c r="CC32" s="15">
        <v>1313.8150513009887</v>
      </c>
      <c r="CD32" s="15">
        <v>1278.0427788912518</v>
      </c>
    </row>
    <row r="33" spans="1:82" x14ac:dyDescent="0.2">
      <c r="B33" s="15">
        <v>1916.7087967325392</v>
      </c>
      <c r="C33" s="15">
        <v>2055.2869844644551</v>
      </c>
      <c r="D33" s="15">
        <v>2197.0971674035995</v>
      </c>
      <c r="E33" s="15">
        <v>2340.123265469671</v>
      </c>
      <c r="F33" s="15">
        <v>2483.0612147237721</v>
      </c>
      <c r="G33" s="15">
        <v>2623.2443280904854</v>
      </c>
      <c r="H33" s="15">
        <v>2761.3223919595625</v>
      </c>
      <c r="I33" s="15">
        <v>2893.3254866341867</v>
      </c>
      <c r="J33" s="15">
        <v>3018.7750339648155</v>
      </c>
      <c r="K33" s="15">
        <v>3135.0222892530692</v>
      </c>
      <c r="L33" s="15">
        <v>3241.2992494272744</v>
      </c>
      <c r="M33" s="15">
        <v>3333.6517996050779</v>
      </c>
      <c r="N33" s="15">
        <v>3409.7364733111917</v>
      </c>
      <c r="O33" s="15">
        <v>3467.5512772351885</v>
      </c>
      <c r="P33" s="15">
        <v>3502.8805529918604</v>
      </c>
      <c r="Q33" s="15">
        <v>3512.7914740136557</v>
      </c>
      <c r="R33" s="15">
        <v>3495.080702647585</v>
      </c>
      <c r="S33" s="15">
        <v>3447.0618378098716</v>
      </c>
      <c r="T33" s="15">
        <v>3365.6671472825847</v>
      </c>
      <c r="U33" s="15">
        <v>3248.7629645259967</v>
      </c>
      <c r="V33" s="15">
        <v>3096.8951616555414</v>
      </c>
      <c r="W33" s="15">
        <v>2909.5024014193391</v>
      </c>
      <c r="X33" s="15">
        <v>2686.6183307492238</v>
      </c>
      <c r="Y33" s="15">
        <v>2431.9438337935903</v>
      </c>
      <c r="Z33" s="15">
        <v>2150.1366397553847</v>
      </c>
      <c r="AA33" s="15">
        <v>1844.6102328260736</v>
      </c>
      <c r="AB33" s="15">
        <v>1522.9136963043593</v>
      </c>
      <c r="AC33" s="15">
        <v>1186.3042025455929</v>
      </c>
      <c r="AD33" s="15">
        <v>844.77143765325286</v>
      </c>
      <c r="AE33" s="15">
        <v>503.75171483246555</v>
      </c>
      <c r="AF33" s="15">
        <v>168.66431636187912</v>
      </c>
      <c r="AG33" s="15">
        <v>-158.01366278462336</v>
      </c>
      <c r="AH33" s="15">
        <v>-469.45888685454281</v>
      </c>
      <c r="AI33" s="15">
        <v>-760.97266239034082</v>
      </c>
      <c r="AJ33" s="15">
        <v>-1035.8686035366989</v>
      </c>
      <c r="AK33" s="15">
        <v>-1288.3888590158281</v>
      </c>
      <c r="AL33" s="15">
        <v>-1521.0490275045352</v>
      </c>
      <c r="AM33" s="15">
        <v>-1728.6833436340646</v>
      </c>
      <c r="AN33" s="15">
        <v>-1916.4583258804337</v>
      </c>
      <c r="AO33" s="15">
        <v>-2082.6685953395199</v>
      </c>
      <c r="AP33" s="15">
        <v>-2231.481756754049</v>
      </c>
      <c r="AQ33" s="15">
        <v>-2360.357465898885</v>
      </c>
      <c r="AR33" s="15">
        <v>-2472.0901164232318</v>
      </c>
      <c r="AS33" s="15">
        <v>-2569.2379529803939</v>
      </c>
      <c r="AT33" s="15">
        <v>-2650.0182684165457</v>
      </c>
      <c r="AU33" s="15">
        <v>-2719.6794252174441</v>
      </c>
      <c r="AV33" s="15">
        <v>-2777.2932765586811</v>
      </c>
      <c r="AW33" s="15">
        <v>-2825.0577800328142</v>
      </c>
      <c r="AX33" s="15">
        <v>-2863.0165375884603</v>
      </c>
      <c r="AY33" s="15">
        <v>-2892.1944669485724</v>
      </c>
      <c r="AZ33" s="15">
        <v>-2915.0227842544655</v>
      </c>
      <c r="BA33" s="15">
        <v>-2931.2236407619957</v>
      </c>
      <c r="BB33" s="15">
        <v>-2941.012928989835</v>
      </c>
      <c r="BC33" s="15">
        <v>-2946.34633504565</v>
      </c>
      <c r="BD33" s="15">
        <v>-2947.1448377522142</v>
      </c>
      <c r="BE33" s="15">
        <v>-2943.9493028093193</v>
      </c>
      <c r="BF33" s="15">
        <v>-2937.1365362769343</v>
      </c>
      <c r="BG33" s="15">
        <v>-2926.3579774158047</v>
      </c>
      <c r="BH33" s="15">
        <v>-2914.6446110805832</v>
      </c>
      <c r="BI33" s="15">
        <v>-2900.858903370221</v>
      </c>
      <c r="BJ33" s="15">
        <v>-2885.370351343985</v>
      </c>
      <c r="BK33" s="15">
        <v>-2867.0229234281237</v>
      </c>
      <c r="BL33" s="15">
        <v>-2849.4669767146975</v>
      </c>
      <c r="BM33" s="15">
        <v>-2828.8290276718562</v>
      </c>
      <c r="BN33" s="15">
        <v>-2807.5627935753337</v>
      </c>
      <c r="BO33" s="15">
        <v>-2785.9123877774496</v>
      </c>
      <c r="BP33" s="15">
        <v>-2762.4794511075397</v>
      </c>
      <c r="BQ33" s="15">
        <v>-2739.6095011425218</v>
      </c>
      <c r="BR33" s="15">
        <v>-2715.737308164546</v>
      </c>
      <c r="BS33" s="15">
        <v>-2692.4153577638808</v>
      </c>
      <c r="BT33" s="15">
        <v>-2667.7609940638649</v>
      </c>
      <c r="BU33" s="15">
        <v>-2643.2644840699463</v>
      </c>
      <c r="BV33" s="15">
        <v>-2618.4168143267793</v>
      </c>
      <c r="BW33" s="15">
        <v>-2593.9712406463227</v>
      </c>
      <c r="BX33" s="15">
        <v>-2569.2771708089504</v>
      </c>
      <c r="BY33" s="15">
        <v>-2544.8228657281052</v>
      </c>
      <c r="BZ33" s="15">
        <v>-2519.6459965113563</v>
      </c>
      <c r="CA33" s="15">
        <v>-2496.1202312136388</v>
      </c>
      <c r="CB33" s="15">
        <v>-2471.7275153440319</v>
      </c>
      <c r="CC33" s="15">
        <v>-2447.9055261753451</v>
      </c>
      <c r="CD33" s="15">
        <v>-2424.030835812142</v>
      </c>
    </row>
    <row r="34" spans="1:82" x14ac:dyDescent="0.2">
      <c r="B34" s="15">
        <f>(B33^2+B32^2)^0.5</f>
        <v>1938.2104015070902</v>
      </c>
      <c r="C34" s="15">
        <f t="shared" ref="C34:BN34" si="9">(C33^2+C32^2)^0.5</f>
        <v>2086.2406951634798</v>
      </c>
      <c r="D34" s="15">
        <f t="shared" si="9"/>
        <v>2241.0714478418799</v>
      </c>
      <c r="E34" s="15">
        <f t="shared" si="9"/>
        <v>2401.6152705926902</v>
      </c>
      <c r="F34" s="15">
        <f t="shared" si="9"/>
        <v>2567.6262695915698</v>
      </c>
      <c r="G34" s="15">
        <f t="shared" si="9"/>
        <v>2737.2640628028098</v>
      </c>
      <c r="H34" s="15">
        <f t="shared" si="9"/>
        <v>2912.5579175794001</v>
      </c>
      <c r="I34" s="15">
        <f t="shared" si="9"/>
        <v>3090.8260291260799</v>
      </c>
      <c r="J34" s="15">
        <f t="shared" si="9"/>
        <v>3273.3123287870599</v>
      </c>
      <c r="K34" s="15">
        <f t="shared" si="9"/>
        <v>3458.8653327024699</v>
      </c>
      <c r="L34" s="15">
        <f t="shared" si="9"/>
        <v>3648.38245994509</v>
      </c>
      <c r="M34" s="15">
        <f t="shared" si="9"/>
        <v>3839.6520984620001</v>
      </c>
      <c r="N34" s="15">
        <f t="shared" si="9"/>
        <v>4033.4981442437302</v>
      </c>
      <c r="O34" s="15">
        <f t="shared" si="9"/>
        <v>4227.7951891069497</v>
      </c>
      <c r="P34" s="15">
        <f t="shared" si="9"/>
        <v>4422.1913640008388</v>
      </c>
      <c r="Q34" s="15">
        <f t="shared" si="9"/>
        <v>4614.6005512409602</v>
      </c>
      <c r="R34" s="15">
        <f t="shared" si="9"/>
        <v>4804.0962968181902</v>
      </c>
      <c r="S34" s="15">
        <f t="shared" si="9"/>
        <v>4989.1803587704908</v>
      </c>
      <c r="T34" s="15">
        <f t="shared" si="9"/>
        <v>5167.2172562831101</v>
      </c>
      <c r="U34" s="15">
        <f t="shared" si="9"/>
        <v>5336.11518020115</v>
      </c>
      <c r="V34" s="15">
        <f t="shared" si="9"/>
        <v>5493.8726207002192</v>
      </c>
      <c r="W34" s="15">
        <f t="shared" si="9"/>
        <v>5641.4842153761601</v>
      </c>
      <c r="X34" s="15">
        <f t="shared" si="9"/>
        <v>5771.6988237558298</v>
      </c>
      <c r="Y34" s="15">
        <f t="shared" si="9"/>
        <v>5887.4545105598509</v>
      </c>
      <c r="Z34" s="15">
        <f t="shared" si="9"/>
        <v>5984.1916434371997</v>
      </c>
      <c r="AA34" s="15">
        <f t="shared" si="9"/>
        <v>6063.1176842174091</v>
      </c>
      <c r="AB34" s="15">
        <f t="shared" si="9"/>
        <v>6127.1582063220603</v>
      </c>
      <c r="AC34" s="15">
        <f t="shared" si="9"/>
        <v>6168.2880209654904</v>
      </c>
      <c r="AD34" s="15">
        <f t="shared" si="9"/>
        <v>6190.2000617251897</v>
      </c>
      <c r="AE34" s="15">
        <f t="shared" si="9"/>
        <v>6194.8983526696902</v>
      </c>
      <c r="AF34" s="15">
        <f t="shared" si="9"/>
        <v>6183.47664031363</v>
      </c>
      <c r="AG34" s="15">
        <f t="shared" si="9"/>
        <v>6155.3567423392988</v>
      </c>
      <c r="AH34" s="15">
        <f t="shared" si="9"/>
        <v>6114.7888931563502</v>
      </c>
      <c r="AI34" s="15">
        <f t="shared" si="9"/>
        <v>6060.5338726674108</v>
      </c>
      <c r="AJ34" s="15">
        <f t="shared" si="9"/>
        <v>5996.9646591095807</v>
      </c>
      <c r="AK34" s="15">
        <f t="shared" si="9"/>
        <v>5920.8729669553704</v>
      </c>
      <c r="AL34" s="15">
        <f t="shared" si="9"/>
        <v>5841.6470761974797</v>
      </c>
      <c r="AM34" s="15">
        <f t="shared" si="9"/>
        <v>5754.44414822412</v>
      </c>
      <c r="AN34" s="15">
        <f t="shared" si="9"/>
        <v>5662.0776401666299</v>
      </c>
      <c r="AO34" s="15">
        <f t="shared" si="9"/>
        <v>5566.7879642980697</v>
      </c>
      <c r="AP34" s="15">
        <f t="shared" si="9"/>
        <v>5470.328940942979</v>
      </c>
      <c r="AQ34" s="15">
        <f t="shared" si="9"/>
        <v>5370.9364450415787</v>
      </c>
      <c r="AR34" s="15">
        <f t="shared" si="9"/>
        <v>5271.3586825070006</v>
      </c>
      <c r="AS34" s="15">
        <f t="shared" si="9"/>
        <v>5171.9491789001404</v>
      </c>
      <c r="AT34" s="15">
        <f t="shared" si="9"/>
        <v>5071.8831117169902</v>
      </c>
      <c r="AU34" s="15">
        <f t="shared" si="9"/>
        <v>4974.5299710150002</v>
      </c>
      <c r="AV34" s="15">
        <f t="shared" si="9"/>
        <v>4877.2881222674596</v>
      </c>
      <c r="AW34" s="15">
        <f t="shared" si="9"/>
        <v>4782.67126998411</v>
      </c>
      <c r="AX34" s="15">
        <f t="shared" si="9"/>
        <v>4688.7994766015099</v>
      </c>
      <c r="AY34" s="15">
        <f t="shared" si="9"/>
        <v>4597.1196924247297</v>
      </c>
      <c r="AZ34" s="15">
        <f t="shared" si="9"/>
        <v>4507.6032781761896</v>
      </c>
      <c r="BA34" s="15">
        <f t="shared" si="9"/>
        <v>4420.9123593440099</v>
      </c>
      <c r="BB34" s="15">
        <f t="shared" si="9"/>
        <v>4335.6856451625099</v>
      </c>
      <c r="BC34" s="15">
        <f t="shared" si="9"/>
        <v>4253.1978447614101</v>
      </c>
      <c r="BD34" s="15">
        <f t="shared" si="9"/>
        <v>4172.8774810931691</v>
      </c>
      <c r="BE34" s="15">
        <f t="shared" si="9"/>
        <v>4094.8106333341002</v>
      </c>
      <c r="BF34" s="15">
        <f t="shared" si="9"/>
        <v>4018.8888855323698</v>
      </c>
      <c r="BG34" s="15">
        <f t="shared" si="9"/>
        <v>3943.99224721561</v>
      </c>
      <c r="BH34" s="15">
        <f t="shared" si="9"/>
        <v>3873.4891849860905</v>
      </c>
      <c r="BI34" s="15">
        <f t="shared" si="9"/>
        <v>3805.0604442461804</v>
      </c>
      <c r="BJ34" s="15">
        <f t="shared" si="9"/>
        <v>3738.5892646526095</v>
      </c>
      <c r="BK34" s="15">
        <f t="shared" si="9"/>
        <v>3672.6159421954899</v>
      </c>
      <c r="BL34" s="15">
        <f t="shared" si="9"/>
        <v>3610.92148264862</v>
      </c>
      <c r="BM34" s="15">
        <f t="shared" si="9"/>
        <v>3548.9823072776994</v>
      </c>
      <c r="BN34" s="15">
        <f t="shared" si="9"/>
        <v>3489.4200498047599</v>
      </c>
      <c r="BO34" s="15">
        <f t="shared" ref="BO34:CD34" si="10">(BO33^2+BO32^2)^0.5</f>
        <v>3432.3429420244506</v>
      </c>
      <c r="BP34" s="15">
        <f t="shared" si="10"/>
        <v>3375.4608694181202</v>
      </c>
      <c r="BQ34" s="15">
        <f t="shared" si="10"/>
        <v>3321.4314067659002</v>
      </c>
      <c r="BR34" s="15">
        <f t="shared" si="10"/>
        <v>3268.3921486190297</v>
      </c>
      <c r="BS34" s="15">
        <f t="shared" si="10"/>
        <v>3217.94781569107</v>
      </c>
      <c r="BT34" s="15">
        <f t="shared" si="10"/>
        <v>3167.9564926696598</v>
      </c>
      <c r="BU34" s="15">
        <f t="shared" si="10"/>
        <v>3119.6483245594</v>
      </c>
      <c r="BV34" s="15">
        <f t="shared" si="10"/>
        <v>3072.2023110238301</v>
      </c>
      <c r="BW34" s="15">
        <f t="shared" si="10"/>
        <v>3026.9272417757502</v>
      </c>
      <c r="BX34" s="15">
        <f t="shared" si="10"/>
        <v>2982.4782691966002</v>
      </c>
      <c r="BY34" s="15">
        <f t="shared" si="10"/>
        <v>2939.4339711685302</v>
      </c>
      <c r="BZ34" s="15">
        <f t="shared" si="10"/>
        <v>2896.5362809098801</v>
      </c>
      <c r="CA34" s="15">
        <f t="shared" si="10"/>
        <v>2856.6150131747504</v>
      </c>
      <c r="CB34" s="15">
        <f t="shared" si="10"/>
        <v>2816.6768137306694</v>
      </c>
      <c r="CC34" s="15">
        <f t="shared" si="10"/>
        <v>2778.1921197254901</v>
      </c>
      <c r="CD34" s="15">
        <f t="shared" si="10"/>
        <v>2740.3136385538396</v>
      </c>
    </row>
    <row r="38" spans="1:82" x14ac:dyDescent="0.2">
      <c r="A38" s="8" t="s">
        <v>20</v>
      </c>
      <c r="B38" s="8" t="s">
        <v>21</v>
      </c>
      <c r="C38" s="11" t="s">
        <v>22</v>
      </c>
    </row>
    <row r="39" spans="1:82" x14ac:dyDescent="0.2">
      <c r="A39" t="s">
        <v>23</v>
      </c>
      <c r="B39" t="str">
        <f ca="1">CubicSpline_version("v")</f>
        <v>1.04</v>
      </c>
      <c r="C39" s="13">
        <f ca="1">CubicSpline_version("d")</f>
        <v>41705</v>
      </c>
    </row>
    <row r="40" spans="1:82" x14ac:dyDescent="0.2">
      <c r="A40" s="12"/>
    </row>
    <row r="41" spans="1:82" x14ac:dyDescent="0.2">
      <c r="A41" t="s">
        <v>24</v>
      </c>
    </row>
  </sheetData>
  <phoneticPr fontId="0" type="noConversion"/>
  <hyperlinks>
    <hyperlink ref="A4" r:id="rId1" xr:uid="{00000000-0004-0000-1000-000000000000}"/>
  </hyperlinks>
  <pageMargins left="0.75" right="0.75" top="1" bottom="1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W0IYH</vt:lpstr>
      <vt:lpstr>FT114-43</vt:lpstr>
      <vt:lpstr>FT240-43</vt:lpstr>
      <vt:lpstr>BN-43-202</vt:lpstr>
      <vt:lpstr>FT140-43</vt:lpstr>
      <vt:lpstr>5943001001</vt:lpstr>
      <vt:lpstr>2643102002</vt:lpstr>
      <vt:lpstr>FT240-43 x 2</vt:lpstr>
      <vt:lpstr>FB2401-43 x 25</vt:lpstr>
      <vt:lpstr>2643167851x2</vt:lpstr>
      <vt:lpstr>2643625002</vt:lpstr>
      <vt:lpstr>2843009902</vt:lpstr>
      <vt:lpstr>2643167851x2 (2)</vt:lpstr>
      <vt:lpstr>2643167851x3 4t</vt:lpstr>
      <vt:lpstr>2643167851x3 5t</vt:lpstr>
      <vt:lpstr>Mix</vt:lpstr>
      <vt:lpstr>2643167851x3 5t (2)</vt:lpstr>
      <vt:lpstr>'2643167851x3 5t'!CSTableU1</vt:lpstr>
      <vt:lpstr>'2643167851x3 5t (2)'!CSTableU1</vt:lpstr>
      <vt:lpstr>CSTableU1</vt:lpstr>
      <vt:lpstr>'2643167851x3 5t'!CSTableU2</vt:lpstr>
      <vt:lpstr>'2643167851x3 5t (2)'!CSTableU2</vt:lpstr>
      <vt:lpstr>CSTableU2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2021-01-26T22:22:43Z</dcterms:modified>
</cp:coreProperties>
</file>