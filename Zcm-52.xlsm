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/>
  </bookViews>
  <sheets>
    <sheet name="FT240-52" sheetId="1" r:id="rId1"/>
    <sheet name="FT240-52x2" sheetId="6" r:id="rId2"/>
    <sheet name="FT150-52 (2)" sheetId="3" r:id="rId3"/>
    <sheet name="FT94-52" sheetId="4" r:id="rId4"/>
    <sheet name="Mix" sheetId="2" r:id="rId5"/>
    <sheet name="FT240-52 (2)" sheetId="5" r:id="rId6"/>
  </sheets>
  <functionGroups builtInGroupCount="18"/>
  <definedNames>
    <definedName name="CSTableU1">Mix!$E$6:$G$48</definedName>
    <definedName name="CSTableU2">Mix!$N$6:$P$48</definedName>
  </definedNames>
  <calcPr calcId="152511"/>
</workbook>
</file>

<file path=xl/calcChain.xml><?xml version="1.0" encoding="utf-8"?>
<calcChain xmlns="http://schemas.openxmlformats.org/spreadsheetml/2006/main">
  <c r="B7" i="6" l="1"/>
  <c r="AE24" i="6"/>
  <c r="AD24" i="6"/>
  <c r="AC24" i="6"/>
  <c r="AB24" i="6"/>
  <c r="AA24" i="6"/>
  <c r="M24" i="6"/>
  <c r="L24" i="6"/>
  <c r="K24" i="6"/>
  <c r="J24" i="6"/>
  <c r="I24" i="6"/>
  <c r="H24" i="6"/>
  <c r="G24" i="6"/>
  <c r="F24" i="6"/>
  <c r="E24" i="6"/>
  <c r="D24" i="6"/>
  <c r="C24" i="6"/>
  <c r="B24" i="6"/>
  <c r="O18" i="6"/>
  <c r="N18" i="6"/>
  <c r="N24" i="6" s="1"/>
  <c r="B16" i="6"/>
  <c r="B13" i="6"/>
  <c r="B12" i="6"/>
  <c r="B7" i="5"/>
  <c r="AE24" i="5"/>
  <c r="AD24" i="5"/>
  <c r="AC24" i="5"/>
  <c r="AB24" i="5"/>
  <c r="AA24" i="5"/>
  <c r="M24" i="5"/>
  <c r="L24" i="5"/>
  <c r="K24" i="5"/>
  <c r="J24" i="5"/>
  <c r="I24" i="5"/>
  <c r="H24" i="5"/>
  <c r="G24" i="5"/>
  <c r="F24" i="5"/>
  <c r="E24" i="5"/>
  <c r="D24" i="5"/>
  <c r="C24" i="5"/>
  <c r="B24" i="5"/>
  <c r="N18" i="5"/>
  <c r="N24" i="5"/>
  <c r="B16" i="5"/>
  <c r="B13" i="5"/>
  <c r="B12" i="5"/>
  <c r="AE24" i="4"/>
  <c r="AD24" i="4"/>
  <c r="AC24" i="4"/>
  <c r="AB24" i="4"/>
  <c r="AA24" i="4"/>
  <c r="M24" i="4"/>
  <c r="L24" i="4"/>
  <c r="K24" i="4"/>
  <c r="J24" i="4"/>
  <c r="I24" i="4"/>
  <c r="H24" i="4"/>
  <c r="G24" i="4"/>
  <c r="F24" i="4"/>
  <c r="E24" i="4"/>
  <c r="D24" i="4"/>
  <c r="C24" i="4"/>
  <c r="B24" i="4"/>
  <c r="N18" i="4"/>
  <c r="N24" i="4"/>
  <c r="B16" i="4"/>
  <c r="B13" i="4"/>
  <c r="B12" i="4"/>
  <c r="AE24" i="3"/>
  <c r="AD24" i="3"/>
  <c r="AC24" i="3"/>
  <c r="AB24" i="3"/>
  <c r="AA24" i="3"/>
  <c r="M24" i="3"/>
  <c r="L24" i="3"/>
  <c r="K24" i="3"/>
  <c r="J24" i="3"/>
  <c r="I24" i="3"/>
  <c r="H24" i="3"/>
  <c r="G24" i="3"/>
  <c r="F24" i="3"/>
  <c r="E24" i="3"/>
  <c r="D24" i="3"/>
  <c r="C24" i="3"/>
  <c r="B24" i="3"/>
  <c r="N18" i="3"/>
  <c r="N24" i="3"/>
  <c r="B16" i="3"/>
  <c r="B13" i="3"/>
  <c r="B12" i="3"/>
  <c r="B12" i="1"/>
  <c r="B13" i="1"/>
  <c r="B16" i="1"/>
  <c r="N18" i="1"/>
  <c r="O18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AA24" i="1"/>
  <c r="AB24" i="1"/>
  <c r="AC24" i="1"/>
  <c r="AD24" i="1"/>
  <c r="AE24" i="1"/>
  <c r="O18" i="4"/>
  <c r="O18" i="3"/>
  <c r="O24" i="3" s="1"/>
  <c r="P18" i="1"/>
  <c r="O24" i="1"/>
  <c r="O24" i="4"/>
  <c r="P18" i="4"/>
  <c r="P24" i="4" s="1"/>
  <c r="P18" i="3"/>
  <c r="P24" i="3" s="1"/>
  <c r="P24" i="1"/>
  <c r="Q18" i="1"/>
  <c r="R18" i="1" s="1"/>
  <c r="Q18" i="4"/>
  <c r="Q24" i="4" s="1"/>
  <c r="Q18" i="3"/>
  <c r="Q24" i="3" s="1"/>
  <c r="Q24" i="1"/>
  <c r="R18" i="4"/>
  <c r="R24" i="4" s="1"/>
  <c r="R18" i="3"/>
  <c r="R24" i="3" s="1"/>
  <c r="S18" i="4"/>
  <c r="S24" i="4" s="1"/>
  <c r="S18" i="3"/>
  <c r="S24" i="3" s="1"/>
  <c r="T18" i="4"/>
  <c r="T24" i="4" s="1"/>
  <c r="T18" i="3"/>
  <c r="T24" i="3" s="1"/>
  <c r="U18" i="4"/>
  <c r="U24" i="4" s="1"/>
  <c r="U18" i="3"/>
  <c r="U24" i="3" s="1"/>
  <c r="V18" i="4"/>
  <c r="V24" i="4" s="1"/>
  <c r="V18" i="3"/>
  <c r="V24" i="3" s="1"/>
  <c r="W18" i="4"/>
  <c r="W24" i="4" s="1"/>
  <c r="W18" i="3"/>
  <c r="W24" i="3" s="1"/>
  <c r="X18" i="4"/>
  <c r="X24" i="4" s="1"/>
  <c r="X18" i="3"/>
  <c r="X24" i="3" s="1"/>
  <c r="Y18" i="4"/>
  <c r="Y24" i="4" s="1"/>
  <c r="Y18" i="3"/>
  <c r="Y24" i="3" s="1"/>
  <c r="Z18" i="4"/>
  <c r="Z18" i="3"/>
  <c r="Z24" i="3" s="1"/>
  <c r="Z24" i="4"/>
  <c r="O18" i="5"/>
  <c r="O24" i="5"/>
  <c r="P18" i="5"/>
  <c r="P24" i="5" s="1"/>
  <c r="Q18" i="5"/>
  <c r="Q24" i="5"/>
  <c r="R18" i="5"/>
  <c r="R24" i="5"/>
  <c r="S18" i="5"/>
  <c r="S24" i="5"/>
  <c r="T18" i="5"/>
  <c r="T24" i="5"/>
  <c r="U18" i="5"/>
  <c r="C33" i="6"/>
  <c r="B33" i="6"/>
  <c r="B33" i="5"/>
  <c r="E6" i="2" a="1"/>
  <c r="B33" i="3"/>
  <c r="C33" i="4"/>
  <c r="B33" i="1"/>
  <c r="C33" i="5"/>
  <c r="N6" i="2" a="1"/>
  <c r="B33" i="4"/>
  <c r="C33" i="1"/>
  <c r="C33" i="3"/>
  <c r="O24" i="6" l="1"/>
  <c r="P18" i="6"/>
  <c r="O6" i="2"/>
  <c r="O10" i="2"/>
  <c r="O14" i="2"/>
  <c r="O18" i="2"/>
  <c r="O22" i="2"/>
  <c r="O26" i="2"/>
  <c r="O30" i="2"/>
  <c r="O34" i="2"/>
  <c r="O38" i="2"/>
  <c r="O42" i="2"/>
  <c r="O46" i="2"/>
  <c r="P7" i="2"/>
  <c r="P9" i="2"/>
  <c r="P11" i="2"/>
  <c r="O7" i="2"/>
  <c r="O11" i="2"/>
  <c r="O15" i="2"/>
  <c r="O19" i="2"/>
  <c r="O23" i="2"/>
  <c r="O27" i="2"/>
  <c r="O31" i="2"/>
  <c r="O35" i="2"/>
  <c r="O39" i="2"/>
  <c r="O43" i="2"/>
  <c r="O47" i="2"/>
  <c r="N8" i="2"/>
  <c r="N10" i="2"/>
  <c r="N12" i="2"/>
  <c r="P13" i="2"/>
  <c r="P15" i="2"/>
  <c r="P17" i="2"/>
  <c r="P19" i="2"/>
  <c r="P21" i="2"/>
  <c r="P23" i="2"/>
  <c r="P25" i="2"/>
  <c r="P27" i="2"/>
  <c r="P29" i="2"/>
  <c r="P31" i="2"/>
  <c r="P33" i="2"/>
  <c r="P35" i="2"/>
  <c r="P37" i="2"/>
  <c r="P39" i="2"/>
  <c r="P41" i="2"/>
  <c r="P43" i="2"/>
  <c r="P45" i="2"/>
  <c r="P47" i="2"/>
  <c r="N14" i="2"/>
  <c r="N16" i="2"/>
  <c r="N18" i="2"/>
  <c r="N20" i="2"/>
  <c r="N22" i="2"/>
  <c r="N24" i="2"/>
  <c r="N26" i="2"/>
  <c r="N28" i="2"/>
  <c r="N30" i="2"/>
  <c r="N32" i="2"/>
  <c r="N34" i="2"/>
  <c r="N36" i="2"/>
  <c r="N38" i="2"/>
  <c r="N40" i="2"/>
  <c r="N42" i="2"/>
  <c r="N44" i="2"/>
  <c r="N46" i="2"/>
  <c r="O8" i="2"/>
  <c r="O16" i="2"/>
  <c r="O24" i="2"/>
  <c r="O32" i="2"/>
  <c r="O40" i="2"/>
  <c r="P6" i="2"/>
  <c r="P10" i="2"/>
  <c r="O9" i="2"/>
  <c r="O17" i="2"/>
  <c r="O25" i="2"/>
  <c r="O33" i="2"/>
  <c r="O41" i="2"/>
  <c r="N7" i="2"/>
  <c r="N11" i="2"/>
  <c r="P14" i="2"/>
  <c r="P18" i="2"/>
  <c r="P22" i="2"/>
  <c r="P26" i="2"/>
  <c r="P30" i="2"/>
  <c r="P34" i="2"/>
  <c r="P38" i="2"/>
  <c r="P42" i="2"/>
  <c r="P46" i="2"/>
  <c r="N15" i="2"/>
  <c r="N19" i="2"/>
  <c r="N23" i="2"/>
  <c r="N27" i="2"/>
  <c r="N31" i="2"/>
  <c r="N35" i="2"/>
  <c r="N39" i="2"/>
  <c r="N43" i="2"/>
  <c r="N47" i="2"/>
  <c r="O20" i="2"/>
  <c r="O36" i="2"/>
  <c r="P8" i="2"/>
  <c r="O13" i="2"/>
  <c r="O29" i="2"/>
  <c r="O45" i="2"/>
  <c r="P12" i="2"/>
  <c r="P20" i="2"/>
  <c r="P28" i="2"/>
  <c r="P36" i="2"/>
  <c r="P44" i="2"/>
  <c r="N17" i="2"/>
  <c r="N25" i="2"/>
  <c r="N33" i="2"/>
  <c r="N41" i="2"/>
  <c r="O12" i="2"/>
  <c r="O44" i="2"/>
  <c r="O21" i="2"/>
  <c r="N9" i="2"/>
  <c r="P24" i="2"/>
  <c r="P40" i="2"/>
  <c r="N21" i="2"/>
  <c r="N37" i="2"/>
  <c r="O28" i="2"/>
  <c r="O37" i="2"/>
  <c r="P32" i="2"/>
  <c r="N29" i="2"/>
  <c r="N6" i="2"/>
  <c r="P16" i="2"/>
  <c r="N13" i="2"/>
  <c r="N45" i="2"/>
  <c r="G7" i="2"/>
  <c r="G9" i="2"/>
  <c r="G11" i="2"/>
  <c r="G13" i="2"/>
  <c r="G15" i="2"/>
  <c r="G17" i="2"/>
  <c r="G19" i="2"/>
  <c r="G21" i="2"/>
  <c r="G23" i="2"/>
  <c r="G25" i="2"/>
  <c r="G27" i="2"/>
  <c r="G29" i="2"/>
  <c r="G31" i="2"/>
  <c r="G33" i="2"/>
  <c r="G35" i="2"/>
  <c r="G37" i="2"/>
  <c r="G39" i="2"/>
  <c r="G41" i="2"/>
  <c r="G43" i="2"/>
  <c r="G45" i="2"/>
  <c r="G47" i="2"/>
  <c r="F9" i="2"/>
  <c r="F13" i="2"/>
  <c r="F17" i="2"/>
  <c r="F21" i="2"/>
  <c r="F25" i="2"/>
  <c r="F29" i="2"/>
  <c r="F33" i="2"/>
  <c r="F37" i="2"/>
  <c r="F41" i="2"/>
  <c r="F45" i="2"/>
  <c r="E6" i="2"/>
  <c r="E8" i="2"/>
  <c r="E10" i="2"/>
  <c r="E12" i="2"/>
  <c r="E14" i="2"/>
  <c r="E16" i="2"/>
  <c r="E18" i="2"/>
  <c r="E20" i="2"/>
  <c r="E22" i="2"/>
  <c r="E24" i="2"/>
  <c r="E26" i="2"/>
  <c r="E28" i="2"/>
  <c r="E30" i="2"/>
  <c r="E32" i="2"/>
  <c r="E34" i="2"/>
  <c r="E36" i="2"/>
  <c r="E38" i="2"/>
  <c r="E40" i="2"/>
  <c r="E42" i="2"/>
  <c r="F6" i="2"/>
  <c r="G8" i="2"/>
  <c r="G10" i="2"/>
  <c r="G12" i="2"/>
  <c r="G14" i="2"/>
  <c r="G16" i="2"/>
  <c r="G18" i="2"/>
  <c r="G20" i="2"/>
  <c r="G22" i="2"/>
  <c r="G24" i="2"/>
  <c r="G26" i="2"/>
  <c r="G28" i="2"/>
  <c r="G30" i="2"/>
  <c r="G32" i="2"/>
  <c r="G34" i="2"/>
  <c r="G36" i="2"/>
  <c r="G38" i="2"/>
  <c r="G40" i="2"/>
  <c r="G42" i="2"/>
  <c r="G44" i="2"/>
  <c r="G46" i="2"/>
  <c r="F7" i="2"/>
  <c r="F11" i="2"/>
  <c r="F15" i="2"/>
  <c r="F19" i="2"/>
  <c r="F23" i="2"/>
  <c r="F27" i="2"/>
  <c r="F31" i="2"/>
  <c r="F35" i="2"/>
  <c r="F39" i="2"/>
  <c r="F43" i="2"/>
  <c r="F47" i="2"/>
  <c r="E7" i="2"/>
  <c r="E9" i="2"/>
  <c r="E11" i="2"/>
  <c r="E13" i="2"/>
  <c r="E15" i="2"/>
  <c r="E17" i="2"/>
  <c r="E19" i="2"/>
  <c r="E21" i="2"/>
  <c r="E23" i="2"/>
  <c r="E25" i="2"/>
  <c r="E27" i="2"/>
  <c r="E29" i="2"/>
  <c r="E31" i="2"/>
  <c r="E33" i="2"/>
  <c r="E35" i="2"/>
  <c r="E37" i="2"/>
  <c r="E39" i="2"/>
  <c r="E41" i="2"/>
  <c r="E43" i="2"/>
  <c r="E45" i="2"/>
  <c r="E47" i="2"/>
  <c r="F8" i="2"/>
  <c r="F12" i="2"/>
  <c r="F16" i="2"/>
  <c r="F20" i="2"/>
  <c r="F24" i="2"/>
  <c r="F28" i="2"/>
  <c r="F32" i="2"/>
  <c r="F36" i="2"/>
  <c r="F40" i="2"/>
  <c r="F44" i="2"/>
  <c r="E46" i="2"/>
  <c r="F10" i="2"/>
  <c r="F18" i="2"/>
  <c r="F26" i="2"/>
  <c r="F34" i="2"/>
  <c r="F42" i="2"/>
  <c r="E44" i="2"/>
  <c r="F14" i="2"/>
  <c r="F30" i="2"/>
  <c r="F46" i="2"/>
  <c r="F22" i="2"/>
  <c r="G6" i="2"/>
  <c r="F38" i="2"/>
  <c r="V18" i="5"/>
  <c r="U24" i="5"/>
  <c r="S18" i="1"/>
  <c r="R24" i="1"/>
  <c r="N19" i="6"/>
  <c r="O19" i="6"/>
  <c r="B19" i="6"/>
  <c r="D19" i="6"/>
  <c r="F19" i="6"/>
  <c r="H19" i="6"/>
  <c r="J19" i="6"/>
  <c r="L19" i="6"/>
  <c r="AD19" i="6"/>
  <c r="C19" i="6"/>
  <c r="E19" i="6"/>
  <c r="G19" i="6"/>
  <c r="I19" i="6"/>
  <c r="K19" i="6"/>
  <c r="M19" i="6"/>
  <c r="AB19" i="6"/>
  <c r="AA19" i="6"/>
  <c r="AC19" i="6"/>
  <c r="AE19" i="6"/>
  <c r="D20" i="6"/>
  <c r="H20" i="6"/>
  <c r="L20" i="6"/>
  <c r="B20" i="6"/>
  <c r="F20" i="6"/>
  <c r="J20" i="6"/>
  <c r="C20" i="6"/>
  <c r="E20" i="6"/>
  <c r="G20" i="6"/>
  <c r="I20" i="6"/>
  <c r="K20" i="6"/>
  <c r="M20" i="6"/>
  <c r="AA20" i="6"/>
  <c r="AC20" i="6"/>
  <c r="AE20" i="6"/>
  <c r="AB20" i="6"/>
  <c r="AD20" i="6"/>
  <c r="O20" i="6"/>
  <c r="N20" i="6"/>
  <c r="O19" i="5"/>
  <c r="AD19" i="5"/>
  <c r="AE19" i="4"/>
  <c r="AA19" i="1"/>
  <c r="E19" i="3"/>
  <c r="O19" i="3"/>
  <c r="W19" i="4"/>
  <c r="S19" i="5"/>
  <c r="AC19" i="5"/>
  <c r="B19" i="4"/>
  <c r="K19" i="3"/>
  <c r="E19" i="4"/>
  <c r="J19" i="1"/>
  <c r="R19" i="4"/>
  <c r="Z19" i="3"/>
  <c r="T19" i="5"/>
  <c r="R19" i="5"/>
  <c r="Q19" i="5"/>
  <c r="P19" i="5"/>
  <c r="I19" i="5"/>
  <c r="H19" i="5"/>
  <c r="C19" i="4"/>
  <c r="H19" i="3"/>
  <c r="D19" i="1"/>
  <c r="D19" i="4"/>
  <c r="B19" i="3"/>
  <c r="AE19" i="3"/>
  <c r="I19" i="1"/>
  <c r="Q19" i="1"/>
  <c r="T19" i="4"/>
  <c r="Y19" i="4"/>
  <c r="U19" i="4"/>
  <c r="N19" i="5"/>
  <c r="M19" i="5"/>
  <c r="E19" i="5"/>
  <c r="L19" i="5"/>
  <c r="D19" i="5"/>
  <c r="J19" i="4"/>
  <c r="K19" i="4"/>
  <c r="N19" i="3"/>
  <c r="C19" i="3"/>
  <c r="AC19" i="3"/>
  <c r="F19" i="1"/>
  <c r="G19" i="1"/>
  <c r="L19" i="4"/>
  <c r="M19" i="4"/>
  <c r="J19" i="3"/>
  <c r="M19" i="3"/>
  <c r="H19" i="1"/>
  <c r="AC19" i="1"/>
  <c r="O19" i="1"/>
  <c r="P19" i="4"/>
  <c r="Q19" i="3"/>
  <c r="X19" i="4"/>
  <c r="V19" i="4"/>
  <c r="AE19" i="5"/>
  <c r="AA19" i="5"/>
  <c r="K19" i="5"/>
  <c r="G19" i="5"/>
  <c r="C19" i="5"/>
  <c r="AB19" i="5"/>
  <c r="J19" i="5"/>
  <c r="F19" i="5"/>
  <c r="B19" i="5"/>
  <c r="F19" i="4"/>
  <c r="AB19" i="4"/>
  <c r="G19" i="4"/>
  <c r="AA19" i="4"/>
  <c r="N19" i="4"/>
  <c r="D19" i="3"/>
  <c r="L19" i="3"/>
  <c r="G19" i="3"/>
  <c r="AB19" i="3"/>
  <c r="L19" i="1"/>
  <c r="N19" i="1"/>
  <c r="AE19" i="1"/>
  <c r="K19" i="1"/>
  <c r="C19" i="1"/>
  <c r="H19" i="4"/>
  <c r="AD19" i="4"/>
  <c r="I19" i="4"/>
  <c r="AC19" i="4"/>
  <c r="F19" i="3"/>
  <c r="AD19" i="3"/>
  <c r="I19" i="3"/>
  <c r="AA19" i="3"/>
  <c r="AB19" i="1"/>
  <c r="AD19" i="1"/>
  <c r="B19" i="1"/>
  <c r="M19" i="1"/>
  <c r="E19" i="1"/>
  <c r="O19" i="4"/>
  <c r="P19" i="1"/>
  <c r="P19" i="3"/>
  <c r="Q19" i="4"/>
  <c r="R19" i="1"/>
  <c r="R19" i="3"/>
  <c r="S19" i="3"/>
  <c r="V19" i="3"/>
  <c r="W19" i="3"/>
  <c r="X19" i="3"/>
  <c r="Y19" i="3"/>
  <c r="Z19" i="4"/>
  <c r="S19" i="4"/>
  <c r="T19" i="3"/>
  <c r="U19" i="3"/>
  <c r="R20" i="5"/>
  <c r="P20" i="5"/>
  <c r="H20" i="5"/>
  <c r="C20" i="3"/>
  <c r="B20" i="4"/>
  <c r="M20" i="3"/>
  <c r="O20" i="3"/>
  <c r="T20" i="5"/>
  <c r="Q20" i="5"/>
  <c r="I20" i="5"/>
  <c r="E20" i="4"/>
  <c r="H20" i="1"/>
  <c r="AE20" i="4"/>
  <c r="M20" i="1"/>
  <c r="Q20" i="3"/>
  <c r="S20" i="5"/>
  <c r="AC20" i="5"/>
  <c r="AD20" i="5"/>
  <c r="D20" i="4"/>
  <c r="D20" i="3"/>
  <c r="AE20" i="3"/>
  <c r="G20" i="1"/>
  <c r="C20" i="4"/>
  <c r="F20" i="3"/>
  <c r="B20" i="1"/>
  <c r="P20" i="4"/>
  <c r="U20" i="4"/>
  <c r="O20" i="5"/>
  <c r="N20" i="5"/>
  <c r="M20" i="5"/>
  <c r="E20" i="5"/>
  <c r="L20" i="5"/>
  <c r="D20" i="5"/>
  <c r="L20" i="4"/>
  <c r="M20" i="4"/>
  <c r="B20" i="3"/>
  <c r="K20" i="3"/>
  <c r="F20" i="1"/>
  <c r="AA20" i="1"/>
  <c r="O20" i="1"/>
  <c r="J20" i="4"/>
  <c r="K20" i="4"/>
  <c r="H20" i="3"/>
  <c r="E20" i="3"/>
  <c r="AD20" i="1"/>
  <c r="D20" i="1"/>
  <c r="E20" i="1"/>
  <c r="Q20" i="1"/>
  <c r="X20" i="4"/>
  <c r="AE20" i="5"/>
  <c r="AA20" i="5"/>
  <c r="K20" i="5"/>
  <c r="G20" i="5"/>
  <c r="C20" i="5"/>
  <c r="AB20" i="5"/>
  <c r="J20" i="5"/>
  <c r="F20" i="5"/>
  <c r="B20" i="5"/>
  <c r="H20" i="4"/>
  <c r="AD20" i="4"/>
  <c r="I20" i="4"/>
  <c r="AC20" i="4"/>
  <c r="L20" i="3"/>
  <c r="J20" i="3"/>
  <c r="G20" i="3"/>
  <c r="AA20" i="3"/>
  <c r="N20" i="1"/>
  <c r="AB20" i="1"/>
  <c r="AE20" i="1"/>
  <c r="K20" i="1"/>
  <c r="C20" i="1"/>
  <c r="N20" i="4"/>
  <c r="F20" i="4"/>
  <c r="AB20" i="4"/>
  <c r="G20" i="4"/>
  <c r="AA20" i="4"/>
  <c r="N20" i="3"/>
  <c r="AB20" i="3"/>
  <c r="AD20" i="3"/>
  <c r="I20" i="3"/>
  <c r="AC20" i="3"/>
  <c r="J20" i="1"/>
  <c r="L20" i="1"/>
  <c r="AC20" i="1"/>
  <c r="I20" i="1"/>
  <c r="P20" i="1"/>
  <c r="P20" i="3"/>
  <c r="O20" i="4"/>
  <c r="S20" i="4"/>
  <c r="T20" i="3"/>
  <c r="U20" i="3"/>
  <c r="R20" i="4"/>
  <c r="T20" i="4"/>
  <c r="W20" i="4"/>
  <c r="Y20" i="4"/>
  <c r="Z20" i="3"/>
  <c r="V20" i="4"/>
  <c r="Q20" i="4"/>
  <c r="R20" i="3"/>
  <c r="S20" i="3"/>
  <c r="V20" i="3"/>
  <c r="W20" i="3"/>
  <c r="X20" i="3"/>
  <c r="Y20" i="3"/>
  <c r="Z20" i="4"/>
  <c r="U19" i="5"/>
  <c r="U20" i="5"/>
  <c r="R20" i="1"/>
  <c r="N22" i="6" l="1"/>
  <c r="O22" i="6"/>
  <c r="AD22" i="6"/>
  <c r="AB22" i="6"/>
  <c r="AE22" i="6"/>
  <c r="AC22" i="6"/>
  <c r="AA22" i="6"/>
  <c r="M22" i="6"/>
  <c r="K22" i="6"/>
  <c r="I22" i="6"/>
  <c r="G22" i="6"/>
  <c r="E22" i="6"/>
  <c r="C22" i="6"/>
  <c r="J22" i="6"/>
  <c r="F22" i="6"/>
  <c r="B22" i="6"/>
  <c r="L22" i="6"/>
  <c r="H22" i="6"/>
  <c r="D22" i="6"/>
  <c r="AE21" i="6"/>
  <c r="AE23" i="6" s="1"/>
  <c r="AE25" i="6" s="1"/>
  <c r="AC21" i="6"/>
  <c r="AC23" i="6" s="1"/>
  <c r="AC25" i="6" s="1"/>
  <c r="AA21" i="6"/>
  <c r="AA23" i="6" s="1"/>
  <c r="AA25" i="6" s="1"/>
  <c r="AB21" i="6"/>
  <c r="AB23" i="6" s="1"/>
  <c r="AB25" i="6" s="1"/>
  <c r="M21" i="6"/>
  <c r="M23" i="6" s="1"/>
  <c r="M25" i="6" s="1"/>
  <c r="K21" i="6"/>
  <c r="K23" i="6" s="1"/>
  <c r="K25" i="6" s="1"/>
  <c r="I21" i="6"/>
  <c r="I23" i="6" s="1"/>
  <c r="I25" i="6" s="1"/>
  <c r="G21" i="6"/>
  <c r="G23" i="6" s="1"/>
  <c r="G25" i="6" s="1"/>
  <c r="E21" i="6"/>
  <c r="E23" i="6" s="1"/>
  <c r="E25" i="6" s="1"/>
  <c r="C21" i="6"/>
  <c r="C23" i="6" s="1"/>
  <c r="C25" i="6" s="1"/>
  <c r="AD21" i="6"/>
  <c r="AD23" i="6" s="1"/>
  <c r="AD25" i="6" s="1"/>
  <c r="L21" i="6"/>
  <c r="L23" i="6" s="1"/>
  <c r="L25" i="6" s="1"/>
  <c r="J21" i="6"/>
  <c r="J23" i="6" s="1"/>
  <c r="J25" i="6" s="1"/>
  <c r="H21" i="6"/>
  <c r="H23" i="6" s="1"/>
  <c r="H25" i="6" s="1"/>
  <c r="F21" i="6"/>
  <c r="F23" i="6" s="1"/>
  <c r="F25" i="6" s="1"/>
  <c r="D21" i="6"/>
  <c r="D23" i="6" s="1"/>
  <c r="D25" i="6" s="1"/>
  <c r="B21" i="6"/>
  <c r="B23" i="6" s="1"/>
  <c r="B25" i="6" s="1"/>
  <c r="O21" i="6"/>
  <c r="O23" i="6" s="1"/>
  <c r="O25" i="6" s="1"/>
  <c r="N21" i="6"/>
  <c r="N23" i="6" s="1"/>
  <c r="N25" i="6" s="1"/>
  <c r="P24" i="6"/>
  <c r="Q18" i="6"/>
  <c r="Z22" i="4"/>
  <c r="Y22" i="3"/>
  <c r="X22" i="3"/>
  <c r="W22" i="3"/>
  <c r="V22" i="3"/>
  <c r="S22" i="3"/>
  <c r="R22" i="3"/>
  <c r="Q22" i="4"/>
  <c r="V22" i="4"/>
  <c r="Z22" i="3"/>
  <c r="Y22" i="4"/>
  <c r="W22" i="4"/>
  <c r="T22" i="4"/>
  <c r="R22" i="4"/>
  <c r="U22" i="3"/>
  <c r="T22" i="3"/>
  <c r="S22" i="4"/>
  <c r="O22" i="4"/>
  <c r="P22" i="3"/>
  <c r="P22" i="1"/>
  <c r="I22" i="1"/>
  <c r="AC22" i="1"/>
  <c r="L22" i="1"/>
  <c r="J22" i="1"/>
  <c r="AC22" i="3"/>
  <c r="I22" i="3"/>
  <c r="AD22" i="3"/>
  <c r="AB22" i="3"/>
  <c r="N22" i="3"/>
  <c r="AA22" i="4"/>
  <c r="G22" i="4"/>
  <c r="AB22" i="4"/>
  <c r="F22" i="4"/>
  <c r="N22" i="4"/>
  <c r="C22" i="1"/>
  <c r="K22" i="1"/>
  <c r="AE22" i="1"/>
  <c r="AB22" i="1"/>
  <c r="N22" i="1"/>
  <c r="AA22" i="3"/>
  <c r="G22" i="3"/>
  <c r="J22" i="3"/>
  <c r="L22" i="3"/>
  <c r="AC22" i="4"/>
  <c r="I22" i="4"/>
  <c r="AD22" i="4"/>
  <c r="H22" i="4"/>
  <c r="B22" i="5"/>
  <c r="F22" i="5"/>
  <c r="J22" i="5"/>
  <c r="AB22" i="5"/>
  <c r="C22" i="5"/>
  <c r="G22" i="5"/>
  <c r="K22" i="5"/>
  <c r="AA22" i="5"/>
  <c r="AE22" i="5"/>
  <c r="X22" i="4"/>
  <c r="Q22" i="1"/>
  <c r="E22" i="1"/>
  <c r="D22" i="1"/>
  <c r="AD22" i="1"/>
  <c r="E22" i="3"/>
  <c r="H22" i="3"/>
  <c r="K22" i="4"/>
  <c r="J22" i="4"/>
  <c r="O22" i="1"/>
  <c r="AA22" i="1"/>
  <c r="F22" i="1"/>
  <c r="K22" i="3"/>
  <c r="B22" i="3"/>
  <c r="M22" i="4"/>
  <c r="L22" i="4"/>
  <c r="D22" i="5"/>
  <c r="L22" i="5"/>
  <c r="E22" i="5"/>
  <c r="M22" i="5"/>
  <c r="N22" i="5"/>
  <c r="O22" i="5"/>
  <c r="U22" i="4"/>
  <c r="P22" i="4"/>
  <c r="B22" i="1"/>
  <c r="F22" i="3"/>
  <c r="C22" i="4"/>
  <c r="G22" i="1"/>
  <c r="AE22" i="3"/>
  <c r="D22" i="3"/>
  <c r="D22" i="4"/>
  <c r="AD22" i="5"/>
  <c r="AC22" i="5"/>
  <c r="S22" i="5"/>
  <c r="Q22" i="3"/>
  <c r="M22" i="1"/>
  <c r="AE22" i="4"/>
  <c r="H22" i="1"/>
  <c r="E22" i="4"/>
  <c r="I22" i="5"/>
  <c r="Q22" i="5"/>
  <c r="T22" i="5"/>
  <c r="O22" i="3"/>
  <c r="M22" i="3"/>
  <c r="B22" i="4"/>
  <c r="C22" i="3"/>
  <c r="H22" i="5"/>
  <c r="P22" i="5"/>
  <c r="R22" i="5"/>
  <c r="U21" i="3"/>
  <c r="U23" i="3" s="1"/>
  <c r="U25" i="3" s="1"/>
  <c r="T21" i="3"/>
  <c r="T23" i="3" s="1"/>
  <c r="T25" i="3" s="1"/>
  <c r="S21" i="4"/>
  <c r="S23" i="4" s="1"/>
  <c r="S25" i="4" s="1"/>
  <c r="Z21" i="4"/>
  <c r="Z23" i="4" s="1"/>
  <c r="Z25" i="4" s="1"/>
  <c r="Y21" i="3"/>
  <c r="Y23" i="3" s="1"/>
  <c r="Y25" i="3" s="1"/>
  <c r="X21" i="3"/>
  <c r="X23" i="3" s="1"/>
  <c r="X25" i="3" s="1"/>
  <c r="W21" i="3"/>
  <c r="W23" i="3" s="1"/>
  <c r="W25" i="3" s="1"/>
  <c r="V21" i="3"/>
  <c r="V23" i="3" s="1"/>
  <c r="V25" i="3" s="1"/>
  <c r="S21" i="3"/>
  <c r="S23" i="3" s="1"/>
  <c r="S25" i="3" s="1"/>
  <c r="R21" i="3"/>
  <c r="R23" i="3" s="1"/>
  <c r="R25" i="3" s="1"/>
  <c r="R21" i="1"/>
  <c r="Q21" i="4"/>
  <c r="Q23" i="4" s="1"/>
  <c r="Q25" i="4" s="1"/>
  <c r="P21" i="3"/>
  <c r="P23" i="3" s="1"/>
  <c r="P25" i="3" s="1"/>
  <c r="P21" i="1"/>
  <c r="P23" i="1" s="1"/>
  <c r="P25" i="1" s="1"/>
  <c r="P28" i="1" s="1"/>
  <c r="O21" i="4"/>
  <c r="O23" i="4" s="1"/>
  <c r="O25" i="4" s="1"/>
  <c r="E21" i="1"/>
  <c r="E23" i="1" s="1"/>
  <c r="E25" i="1" s="1"/>
  <c r="E27" i="1" s="1"/>
  <c r="M21" i="1"/>
  <c r="M23" i="1" s="1"/>
  <c r="M25" i="1" s="1"/>
  <c r="B21" i="1"/>
  <c r="B23" i="1" s="1"/>
  <c r="B25" i="1" s="1"/>
  <c r="B28" i="1" s="1"/>
  <c r="AD21" i="1"/>
  <c r="AB21" i="1"/>
  <c r="AB23" i="1" s="1"/>
  <c r="AB25" i="1" s="1"/>
  <c r="AB26" i="1" s="1"/>
  <c r="AA21" i="3"/>
  <c r="AA23" i="3" s="1"/>
  <c r="AA25" i="3" s="1"/>
  <c r="I21" i="3"/>
  <c r="I23" i="3" s="1"/>
  <c r="I25" i="3" s="1"/>
  <c r="AD21" i="3"/>
  <c r="AD23" i="3" s="1"/>
  <c r="AD25" i="3" s="1"/>
  <c r="F21" i="3"/>
  <c r="F23" i="3" s="1"/>
  <c r="F25" i="3" s="1"/>
  <c r="AC21" i="4"/>
  <c r="AC23" i="4" s="1"/>
  <c r="AC25" i="4" s="1"/>
  <c r="I21" i="4"/>
  <c r="I23" i="4" s="1"/>
  <c r="I25" i="4" s="1"/>
  <c r="AD21" i="4"/>
  <c r="AD23" i="4" s="1"/>
  <c r="AD25" i="4" s="1"/>
  <c r="H21" i="4"/>
  <c r="H23" i="4" s="1"/>
  <c r="H25" i="4" s="1"/>
  <c r="C21" i="1"/>
  <c r="K21" i="1"/>
  <c r="K23" i="1" s="1"/>
  <c r="K25" i="1" s="1"/>
  <c r="K28" i="1" s="1"/>
  <c r="AE21" i="1"/>
  <c r="N21" i="1"/>
  <c r="N23" i="1" s="1"/>
  <c r="N25" i="1" s="1"/>
  <c r="N26" i="1" s="1"/>
  <c r="L21" i="1"/>
  <c r="AB21" i="3"/>
  <c r="AB23" i="3" s="1"/>
  <c r="AB25" i="3" s="1"/>
  <c r="G21" i="3"/>
  <c r="G23" i="3" s="1"/>
  <c r="G25" i="3" s="1"/>
  <c r="L21" i="3"/>
  <c r="L23" i="3" s="1"/>
  <c r="L25" i="3" s="1"/>
  <c r="D21" i="3"/>
  <c r="D23" i="3" s="1"/>
  <c r="D25" i="3" s="1"/>
  <c r="N21" i="4"/>
  <c r="N23" i="4" s="1"/>
  <c r="N25" i="4" s="1"/>
  <c r="AA21" i="4"/>
  <c r="AA23" i="4" s="1"/>
  <c r="AA25" i="4" s="1"/>
  <c r="G21" i="4"/>
  <c r="G23" i="4" s="1"/>
  <c r="G25" i="4" s="1"/>
  <c r="AB21" i="4"/>
  <c r="AB23" i="4" s="1"/>
  <c r="AB25" i="4" s="1"/>
  <c r="F21" i="4"/>
  <c r="F23" i="4" s="1"/>
  <c r="F25" i="4" s="1"/>
  <c r="B21" i="5"/>
  <c r="B23" i="5" s="1"/>
  <c r="B25" i="5" s="1"/>
  <c r="F21" i="5"/>
  <c r="F23" i="5" s="1"/>
  <c r="F25" i="5" s="1"/>
  <c r="J21" i="5"/>
  <c r="J23" i="5" s="1"/>
  <c r="J25" i="5" s="1"/>
  <c r="AB21" i="5"/>
  <c r="AB23" i="5" s="1"/>
  <c r="AB25" i="5" s="1"/>
  <c r="C21" i="5"/>
  <c r="C23" i="5" s="1"/>
  <c r="C25" i="5" s="1"/>
  <c r="G21" i="5"/>
  <c r="G23" i="5" s="1"/>
  <c r="G25" i="5" s="1"/>
  <c r="K21" i="5"/>
  <c r="K23" i="5" s="1"/>
  <c r="K25" i="5" s="1"/>
  <c r="AA21" i="5"/>
  <c r="AA23" i="5" s="1"/>
  <c r="AA25" i="5" s="1"/>
  <c r="AE21" i="5"/>
  <c r="AE23" i="5" s="1"/>
  <c r="AE25" i="5" s="1"/>
  <c r="V21" i="4"/>
  <c r="V23" i="4" s="1"/>
  <c r="V25" i="4" s="1"/>
  <c r="X21" i="4"/>
  <c r="X23" i="4" s="1"/>
  <c r="X25" i="4" s="1"/>
  <c r="Q21" i="3"/>
  <c r="Q23" i="3" s="1"/>
  <c r="Q25" i="3" s="1"/>
  <c r="P21" i="4"/>
  <c r="P23" i="4" s="1"/>
  <c r="P25" i="4" s="1"/>
  <c r="O21" i="1"/>
  <c r="O23" i="1" s="1"/>
  <c r="O25" i="1" s="1"/>
  <c r="O28" i="1" s="1"/>
  <c r="AC21" i="1"/>
  <c r="AC23" i="1" s="1"/>
  <c r="AC25" i="1" s="1"/>
  <c r="H21" i="1"/>
  <c r="H23" i="1" s="1"/>
  <c r="H25" i="1" s="1"/>
  <c r="H28" i="1" s="1"/>
  <c r="M21" i="3"/>
  <c r="M23" i="3" s="1"/>
  <c r="M25" i="3" s="1"/>
  <c r="J21" i="3"/>
  <c r="J23" i="3" s="1"/>
  <c r="J25" i="3" s="1"/>
  <c r="M21" i="4"/>
  <c r="M23" i="4" s="1"/>
  <c r="M25" i="4" s="1"/>
  <c r="L21" i="4"/>
  <c r="L23" i="4" s="1"/>
  <c r="L25" i="4" s="1"/>
  <c r="G21" i="1"/>
  <c r="G23" i="1" s="1"/>
  <c r="G25" i="1" s="1"/>
  <c r="F21" i="1"/>
  <c r="F23" i="1" s="1"/>
  <c r="F25" i="1" s="1"/>
  <c r="F27" i="1" s="1"/>
  <c r="AC21" i="3"/>
  <c r="AC23" i="3" s="1"/>
  <c r="AC25" i="3" s="1"/>
  <c r="C21" i="3"/>
  <c r="C23" i="3" s="1"/>
  <c r="C25" i="3" s="1"/>
  <c r="N21" i="3"/>
  <c r="N23" i="3" s="1"/>
  <c r="N25" i="3" s="1"/>
  <c r="K21" i="4"/>
  <c r="K23" i="4" s="1"/>
  <c r="K25" i="4" s="1"/>
  <c r="J21" i="4"/>
  <c r="J23" i="4" s="1"/>
  <c r="J25" i="4" s="1"/>
  <c r="D21" i="5"/>
  <c r="D23" i="5" s="1"/>
  <c r="D25" i="5" s="1"/>
  <c r="L21" i="5"/>
  <c r="L23" i="5" s="1"/>
  <c r="L25" i="5" s="1"/>
  <c r="E21" i="5"/>
  <c r="E23" i="5" s="1"/>
  <c r="E25" i="5" s="1"/>
  <c r="M21" i="5"/>
  <c r="M23" i="5" s="1"/>
  <c r="M25" i="5" s="1"/>
  <c r="N21" i="5"/>
  <c r="N23" i="5" s="1"/>
  <c r="N25" i="5" s="1"/>
  <c r="U21" i="4"/>
  <c r="U23" i="4" s="1"/>
  <c r="U25" i="4" s="1"/>
  <c r="Y21" i="4"/>
  <c r="Y23" i="4" s="1"/>
  <c r="Y25" i="4" s="1"/>
  <c r="T21" i="4"/>
  <c r="T23" i="4" s="1"/>
  <c r="T25" i="4" s="1"/>
  <c r="Q21" i="1"/>
  <c r="Q23" i="1" s="1"/>
  <c r="Q25" i="1" s="1"/>
  <c r="Q28" i="1" s="1"/>
  <c r="I21" i="1"/>
  <c r="AE21" i="3"/>
  <c r="AE23" i="3" s="1"/>
  <c r="AE25" i="3" s="1"/>
  <c r="B21" i="3"/>
  <c r="B23" i="3" s="1"/>
  <c r="B25" i="3" s="1"/>
  <c r="D21" i="4"/>
  <c r="D23" i="4" s="1"/>
  <c r="D25" i="4" s="1"/>
  <c r="D21" i="1"/>
  <c r="D23" i="1" s="1"/>
  <c r="D25" i="1" s="1"/>
  <c r="H21" i="3"/>
  <c r="H23" i="3" s="1"/>
  <c r="H25" i="3" s="1"/>
  <c r="C21" i="4"/>
  <c r="C23" i="4" s="1"/>
  <c r="C25" i="4" s="1"/>
  <c r="H21" i="5"/>
  <c r="H23" i="5" s="1"/>
  <c r="H25" i="5" s="1"/>
  <c r="I21" i="5"/>
  <c r="I23" i="5" s="1"/>
  <c r="I25" i="5" s="1"/>
  <c r="P21" i="5"/>
  <c r="P23" i="5" s="1"/>
  <c r="P25" i="5" s="1"/>
  <c r="Q21" i="5"/>
  <c r="Q23" i="5" s="1"/>
  <c r="Q25" i="5" s="1"/>
  <c r="R21" i="5"/>
  <c r="R23" i="5" s="1"/>
  <c r="R25" i="5" s="1"/>
  <c r="T21" i="5"/>
  <c r="T23" i="5" s="1"/>
  <c r="T25" i="5" s="1"/>
  <c r="Z21" i="3"/>
  <c r="Z23" i="3" s="1"/>
  <c r="Z25" i="3" s="1"/>
  <c r="Z26" i="3" s="1"/>
  <c r="R21" i="4"/>
  <c r="R23" i="4" s="1"/>
  <c r="R25" i="4" s="1"/>
  <c r="J21" i="1"/>
  <c r="J23" i="1" s="1"/>
  <c r="J25" i="1" s="1"/>
  <c r="J26" i="1" s="1"/>
  <c r="E21" i="4"/>
  <c r="E23" i="4" s="1"/>
  <c r="E25" i="4" s="1"/>
  <c r="K21" i="3"/>
  <c r="K23" i="3" s="1"/>
  <c r="K25" i="3" s="1"/>
  <c r="K27" i="3" s="1"/>
  <c r="B21" i="4"/>
  <c r="B23" i="4" s="1"/>
  <c r="B25" i="4" s="1"/>
  <c r="AC21" i="5"/>
  <c r="AC23" i="5" s="1"/>
  <c r="AC25" i="5" s="1"/>
  <c r="AC26" i="5" s="1"/>
  <c r="S21" i="5"/>
  <c r="S23" i="5" s="1"/>
  <c r="S25" i="5" s="1"/>
  <c r="W21" i="4"/>
  <c r="W23" i="4" s="1"/>
  <c r="W25" i="4" s="1"/>
  <c r="O21" i="3"/>
  <c r="O23" i="3" s="1"/>
  <c r="O25" i="3" s="1"/>
  <c r="E21" i="3"/>
  <c r="E23" i="3" s="1"/>
  <c r="E25" i="3" s="1"/>
  <c r="AA21" i="1"/>
  <c r="AE21" i="4"/>
  <c r="AE23" i="4" s="1"/>
  <c r="AE25" i="4" s="1"/>
  <c r="AD21" i="5"/>
  <c r="AD23" i="5" s="1"/>
  <c r="AD25" i="5" s="1"/>
  <c r="O21" i="5"/>
  <c r="O23" i="5" s="1"/>
  <c r="O25" i="5" s="1"/>
  <c r="R22" i="1"/>
  <c r="U22" i="5"/>
  <c r="U21" i="5"/>
  <c r="T18" i="1"/>
  <c r="S24" i="1"/>
  <c r="V24" i="5"/>
  <c r="W18" i="5"/>
  <c r="T28" i="3"/>
  <c r="T26" i="3"/>
  <c r="T27" i="3"/>
  <c r="Z28" i="4"/>
  <c r="Z27" i="4"/>
  <c r="Z26" i="4"/>
  <c r="X27" i="3"/>
  <c r="X26" i="3"/>
  <c r="X28" i="3"/>
  <c r="V27" i="3"/>
  <c r="V28" i="3"/>
  <c r="V26" i="3"/>
  <c r="R26" i="3"/>
  <c r="R27" i="3"/>
  <c r="R28" i="3"/>
  <c r="Q27" i="4"/>
  <c r="Q28" i="4"/>
  <c r="Q26" i="4"/>
  <c r="P26" i="1"/>
  <c r="B27" i="1"/>
  <c r="I26" i="3"/>
  <c r="I27" i="3"/>
  <c r="I28" i="3"/>
  <c r="F27" i="3"/>
  <c r="F28" i="3"/>
  <c r="F26" i="3"/>
  <c r="I28" i="4"/>
  <c r="I27" i="4"/>
  <c r="I26" i="4"/>
  <c r="H27" i="4"/>
  <c r="H26" i="4"/>
  <c r="H28" i="4"/>
  <c r="N27" i="1"/>
  <c r="AB27" i="3"/>
  <c r="AB28" i="3"/>
  <c r="AB26" i="3"/>
  <c r="L28" i="3"/>
  <c r="L26" i="3"/>
  <c r="L27" i="3"/>
  <c r="N28" i="4"/>
  <c r="N26" i="4"/>
  <c r="N27" i="4"/>
  <c r="G27" i="4"/>
  <c r="G26" i="4"/>
  <c r="G28" i="4"/>
  <c r="F28" i="4"/>
  <c r="F27" i="4"/>
  <c r="F26" i="4"/>
  <c r="F28" i="5"/>
  <c r="F26" i="5"/>
  <c r="F27" i="5"/>
  <c r="AB27" i="5"/>
  <c r="AB26" i="5"/>
  <c r="AB28" i="5"/>
  <c r="G28" i="5"/>
  <c r="G26" i="5"/>
  <c r="G27" i="5"/>
  <c r="AA27" i="5"/>
  <c r="AA28" i="5"/>
  <c r="AA26" i="5"/>
  <c r="X27" i="4"/>
  <c r="X26" i="4"/>
  <c r="X28" i="4"/>
  <c r="P27" i="4"/>
  <c r="P26" i="4"/>
  <c r="P28" i="4"/>
  <c r="AC26" i="1"/>
  <c r="AC27" i="1"/>
  <c r="AC28" i="1"/>
  <c r="M27" i="3"/>
  <c r="M26" i="3"/>
  <c r="M28" i="3"/>
  <c r="M28" i="4"/>
  <c r="M27" i="4"/>
  <c r="M26" i="4"/>
  <c r="G26" i="1"/>
  <c r="G28" i="1"/>
  <c r="G27" i="1"/>
  <c r="AC27" i="3"/>
  <c r="AC26" i="3"/>
  <c r="AC28" i="3"/>
  <c r="N27" i="3"/>
  <c r="N28" i="3"/>
  <c r="N26" i="3"/>
  <c r="J28" i="4"/>
  <c r="J27" i="4"/>
  <c r="J26" i="4"/>
  <c r="L28" i="5"/>
  <c r="L26" i="5"/>
  <c r="L27" i="5"/>
  <c r="M28" i="5"/>
  <c r="M26" i="5"/>
  <c r="M27" i="5"/>
  <c r="U26" i="4"/>
  <c r="U28" i="4"/>
  <c r="U27" i="4"/>
  <c r="T28" i="4"/>
  <c r="T26" i="4"/>
  <c r="T27" i="4"/>
  <c r="B27" i="3"/>
  <c r="B26" i="3"/>
  <c r="B28" i="3"/>
  <c r="D27" i="1"/>
  <c r="D28" i="1"/>
  <c r="D26" i="1"/>
  <c r="C26" i="4"/>
  <c r="C27" i="4"/>
  <c r="C28" i="4"/>
  <c r="I27" i="5"/>
  <c r="I26" i="5"/>
  <c r="I28" i="5"/>
  <c r="Q28" i="5"/>
  <c r="Q27" i="5"/>
  <c r="Q26" i="5"/>
  <c r="Z28" i="3"/>
  <c r="Z27" i="3"/>
  <c r="K26" i="3"/>
  <c r="AC28" i="5"/>
  <c r="AC27" i="5"/>
  <c r="S28" i="5"/>
  <c r="S26" i="5"/>
  <c r="S27" i="5"/>
  <c r="O27" i="3"/>
  <c r="O26" i="3"/>
  <c r="O28" i="3"/>
  <c r="AD28" i="5"/>
  <c r="AD26" i="5"/>
  <c r="AD27" i="5"/>
  <c r="U28" i="3"/>
  <c r="U27" i="3"/>
  <c r="U26" i="3"/>
  <c r="S26" i="4"/>
  <c r="S28" i="4"/>
  <c r="S27" i="4"/>
  <c r="Y28" i="3"/>
  <c r="Y27" i="3"/>
  <c r="Y26" i="3"/>
  <c r="W27" i="3"/>
  <c r="W26" i="3"/>
  <c r="W28" i="3"/>
  <c r="S28" i="3"/>
  <c r="S27" i="3"/>
  <c r="S26" i="3"/>
  <c r="P27" i="3"/>
  <c r="P26" i="3"/>
  <c r="P28" i="3"/>
  <c r="O28" i="4"/>
  <c r="O27" i="4"/>
  <c r="O26" i="4"/>
  <c r="M26" i="1"/>
  <c r="M27" i="1"/>
  <c r="M28" i="1"/>
  <c r="AA26" i="3"/>
  <c r="AA27" i="3"/>
  <c r="AA28" i="3"/>
  <c r="AD27" i="3"/>
  <c r="AD28" i="3"/>
  <c r="AD26" i="3"/>
  <c r="AC28" i="4"/>
  <c r="AC27" i="4"/>
  <c r="AC26" i="4"/>
  <c r="AD27" i="4"/>
  <c r="AD26" i="4"/>
  <c r="AD28" i="4"/>
  <c r="G28" i="3"/>
  <c r="G27" i="3"/>
  <c r="G26" i="3"/>
  <c r="D27" i="3"/>
  <c r="D26" i="3"/>
  <c r="D28" i="3"/>
  <c r="AA27" i="4"/>
  <c r="AA26" i="4"/>
  <c r="AA28" i="4"/>
  <c r="AB28" i="4"/>
  <c r="AB27" i="4"/>
  <c r="AB26" i="4"/>
  <c r="B28" i="5"/>
  <c r="B26" i="5"/>
  <c r="B27" i="5"/>
  <c r="J27" i="5"/>
  <c r="J26" i="5"/>
  <c r="J28" i="5"/>
  <c r="C28" i="5"/>
  <c r="C26" i="5"/>
  <c r="C27" i="5"/>
  <c r="K27" i="5"/>
  <c r="K28" i="5"/>
  <c r="K26" i="5"/>
  <c r="AE28" i="5"/>
  <c r="AE26" i="5"/>
  <c r="AE27" i="5"/>
  <c r="V28" i="4"/>
  <c r="V26" i="4"/>
  <c r="V27" i="4"/>
  <c r="Q27" i="3"/>
  <c r="Q28" i="3"/>
  <c r="Q26" i="3"/>
  <c r="H26" i="1"/>
  <c r="J27" i="3"/>
  <c r="J26" i="3"/>
  <c r="J28" i="3"/>
  <c r="L26" i="4"/>
  <c r="L28" i="4"/>
  <c r="L27" i="4"/>
  <c r="C28" i="3"/>
  <c r="C27" i="3"/>
  <c r="C26" i="3"/>
  <c r="K26" i="4"/>
  <c r="K27" i="4"/>
  <c r="K28" i="4"/>
  <c r="D27" i="5"/>
  <c r="D28" i="5"/>
  <c r="D26" i="5"/>
  <c r="E27" i="5"/>
  <c r="E26" i="5"/>
  <c r="E28" i="5"/>
  <c r="N27" i="5"/>
  <c r="N28" i="5"/>
  <c r="N26" i="5"/>
  <c r="Y28" i="4"/>
  <c r="Y27" i="4"/>
  <c r="Y26" i="4"/>
  <c r="AE28" i="3"/>
  <c r="AE27" i="3"/>
  <c r="AE26" i="3"/>
  <c r="D26" i="4"/>
  <c r="D28" i="4"/>
  <c r="D27" i="4"/>
  <c r="H28" i="3"/>
  <c r="H26" i="3"/>
  <c r="H27" i="3"/>
  <c r="H27" i="5"/>
  <c r="H28" i="5"/>
  <c r="H26" i="5"/>
  <c r="P28" i="5"/>
  <c r="P26" i="5"/>
  <c r="P27" i="5"/>
  <c r="R27" i="5"/>
  <c r="R28" i="5"/>
  <c r="R26" i="5"/>
  <c r="T27" i="5"/>
  <c r="T28" i="5"/>
  <c r="T26" i="5"/>
  <c r="R27" i="4"/>
  <c r="R26" i="4"/>
  <c r="R28" i="4"/>
  <c r="E28" i="4"/>
  <c r="E27" i="4"/>
  <c r="E26" i="4"/>
  <c r="B28" i="4"/>
  <c r="B27" i="4"/>
  <c r="B26" i="4"/>
  <c r="W27" i="4"/>
  <c r="W26" i="4"/>
  <c r="W28" i="4"/>
  <c r="E27" i="3"/>
  <c r="E26" i="3"/>
  <c r="E28" i="3"/>
  <c r="AE28" i="4"/>
  <c r="AE27" i="4"/>
  <c r="AE26" i="4"/>
  <c r="O28" i="5"/>
  <c r="O26" i="5"/>
  <c r="O27" i="5"/>
  <c r="P19" i="6"/>
  <c r="P20" i="6"/>
  <c r="S19" i="1"/>
  <c r="V19" i="5"/>
  <c r="S20" i="1"/>
  <c r="V20" i="5"/>
  <c r="P22" i="6" l="1"/>
  <c r="P21" i="6"/>
  <c r="K28" i="3"/>
  <c r="Q24" i="6"/>
  <c r="R18" i="6"/>
  <c r="N27" i="6"/>
  <c r="N28" i="6"/>
  <c r="N26" i="6"/>
  <c r="B27" i="6"/>
  <c r="B28" i="6"/>
  <c r="B26" i="6"/>
  <c r="F27" i="6"/>
  <c r="F28" i="6"/>
  <c r="F26" i="6"/>
  <c r="J27" i="6"/>
  <c r="J28" i="6"/>
  <c r="J26" i="6"/>
  <c r="AD27" i="6"/>
  <c r="AD28" i="6"/>
  <c r="AD26" i="6"/>
  <c r="E28" i="6"/>
  <c r="E27" i="6"/>
  <c r="E26" i="6"/>
  <c r="I28" i="6"/>
  <c r="I27" i="6"/>
  <c r="I26" i="6"/>
  <c r="M28" i="6"/>
  <c r="M27" i="6"/>
  <c r="M26" i="6"/>
  <c r="AA28" i="6"/>
  <c r="AA27" i="6"/>
  <c r="AA26" i="6"/>
  <c r="AE28" i="6"/>
  <c r="AE27" i="6"/>
  <c r="AE26" i="6"/>
  <c r="O28" i="6"/>
  <c r="O27" i="6"/>
  <c r="O26" i="6"/>
  <c r="D28" i="6"/>
  <c r="D26" i="6"/>
  <c r="D27" i="6"/>
  <c r="H28" i="6"/>
  <c r="H26" i="6"/>
  <c r="H27" i="6"/>
  <c r="L28" i="6"/>
  <c r="L26" i="6"/>
  <c r="L27" i="6"/>
  <c r="C28" i="6"/>
  <c r="C27" i="6"/>
  <c r="C26" i="6"/>
  <c r="G28" i="6"/>
  <c r="G27" i="6"/>
  <c r="G26" i="6"/>
  <c r="K28" i="6"/>
  <c r="K27" i="6"/>
  <c r="K26" i="6"/>
  <c r="AB28" i="6"/>
  <c r="AB26" i="6"/>
  <c r="AB27" i="6"/>
  <c r="AC28" i="6"/>
  <c r="AC27" i="6"/>
  <c r="AC26" i="6"/>
  <c r="Q26" i="1"/>
  <c r="O27" i="1"/>
  <c r="K27" i="1"/>
  <c r="E28" i="1"/>
  <c r="Q27" i="1"/>
  <c r="F26" i="1"/>
  <c r="H27" i="1"/>
  <c r="J28" i="1"/>
  <c r="K26" i="1"/>
  <c r="AB28" i="1"/>
  <c r="B26" i="1"/>
  <c r="P27" i="1"/>
  <c r="F28" i="1"/>
  <c r="O26" i="1"/>
  <c r="J27" i="1"/>
  <c r="N28" i="1"/>
  <c r="AB27" i="1"/>
  <c r="E26" i="1"/>
  <c r="AA23" i="1"/>
  <c r="AA25" i="1" s="1"/>
  <c r="I23" i="1"/>
  <c r="I25" i="1" s="1"/>
  <c r="L23" i="1"/>
  <c r="L25" i="1" s="1"/>
  <c r="AE23" i="1"/>
  <c r="AE25" i="1" s="1"/>
  <c r="C23" i="1"/>
  <c r="C25" i="1" s="1"/>
  <c r="AD23" i="1"/>
  <c r="AD25" i="1" s="1"/>
  <c r="U23" i="5"/>
  <c r="U25" i="5" s="1"/>
  <c r="R23" i="1"/>
  <c r="R25" i="1" s="1"/>
  <c r="V22" i="5"/>
  <c r="S22" i="1"/>
  <c r="V21" i="5"/>
  <c r="V23" i="5" s="1"/>
  <c r="V25" i="5" s="1"/>
  <c r="S21" i="1"/>
  <c r="S23" i="1" s="1"/>
  <c r="S25" i="1" s="1"/>
  <c r="T24" i="1"/>
  <c r="U18" i="1"/>
  <c r="X18" i="5"/>
  <c r="W24" i="5"/>
  <c r="U28" i="5"/>
  <c r="U26" i="5"/>
  <c r="U27" i="5"/>
  <c r="Q20" i="6"/>
  <c r="Q19" i="6"/>
  <c r="T20" i="1"/>
  <c r="T19" i="1"/>
  <c r="W19" i="5"/>
  <c r="W20" i="5"/>
  <c r="P23" i="6" l="1"/>
  <c r="P25" i="6" s="1"/>
  <c r="P28" i="6" s="1"/>
  <c r="Q21" i="6"/>
  <c r="Q22" i="6"/>
  <c r="R24" i="6"/>
  <c r="S18" i="6"/>
  <c r="C27" i="1"/>
  <c r="C28" i="1"/>
  <c r="C26" i="1"/>
  <c r="L26" i="1"/>
  <c r="L27" i="1"/>
  <c r="L28" i="1"/>
  <c r="AA28" i="1"/>
  <c r="AA26" i="1"/>
  <c r="AA27" i="1"/>
  <c r="AD27" i="1"/>
  <c r="AD28" i="1"/>
  <c r="AD26" i="1"/>
  <c r="AE26" i="1"/>
  <c r="AE28" i="1"/>
  <c r="AE27" i="1"/>
  <c r="I27" i="1"/>
  <c r="I28" i="1"/>
  <c r="I26" i="1"/>
  <c r="R27" i="1"/>
  <c r="R28" i="1"/>
  <c r="R26" i="1"/>
  <c r="W22" i="5"/>
  <c r="W21" i="5"/>
  <c r="T21" i="1"/>
  <c r="T22" i="1"/>
  <c r="Y18" i="5"/>
  <c r="X24" i="5"/>
  <c r="V18" i="1"/>
  <c r="U24" i="1"/>
  <c r="S27" i="1"/>
  <c r="S28" i="1"/>
  <c r="S26" i="1"/>
  <c r="V28" i="5"/>
  <c r="V26" i="5"/>
  <c r="V27" i="5"/>
  <c r="R20" i="6"/>
  <c r="R19" i="6"/>
  <c r="U20" i="1"/>
  <c r="X19" i="5"/>
  <c r="X20" i="5"/>
  <c r="U19" i="1"/>
  <c r="P26" i="6" l="1"/>
  <c r="P27" i="6"/>
  <c r="Q23" i="6"/>
  <c r="Q25" i="6" s="1"/>
  <c r="Q27" i="6" s="1"/>
  <c r="R21" i="6"/>
  <c r="R22" i="6"/>
  <c r="W23" i="5"/>
  <c r="W25" i="5" s="1"/>
  <c r="W28" i="5" s="1"/>
  <c r="S24" i="6"/>
  <c r="T18" i="6"/>
  <c r="T23" i="1"/>
  <c r="T25" i="1" s="1"/>
  <c r="T28" i="1" s="1"/>
  <c r="U21" i="1"/>
  <c r="X22" i="5"/>
  <c r="X21" i="5"/>
  <c r="U22" i="1"/>
  <c r="W27" i="5"/>
  <c r="W18" i="1"/>
  <c r="V24" i="1"/>
  <c r="Z18" i="5"/>
  <c r="Y24" i="5"/>
  <c r="S19" i="6"/>
  <c r="S20" i="6"/>
  <c r="V19" i="1"/>
  <c r="Y19" i="5"/>
  <c r="V20" i="1"/>
  <c r="Y20" i="5"/>
  <c r="Q26" i="6" l="1"/>
  <c r="Q28" i="6"/>
  <c r="R23" i="6"/>
  <c r="R25" i="6" s="1"/>
  <c r="R28" i="6" s="1"/>
  <c r="S22" i="6"/>
  <c r="S21" i="6"/>
  <c r="S23" i="6" s="1"/>
  <c r="S25" i="6" s="1"/>
  <c r="T24" i="6"/>
  <c r="U18" i="6"/>
  <c r="W26" i="5"/>
  <c r="R27" i="6"/>
  <c r="T26" i="1"/>
  <c r="T27" i="1"/>
  <c r="X23" i="5"/>
  <c r="X25" i="5" s="1"/>
  <c r="U23" i="1"/>
  <c r="U25" i="1" s="1"/>
  <c r="U26" i="1" s="1"/>
  <c r="Y22" i="5"/>
  <c r="V22" i="1"/>
  <c r="Y21" i="5"/>
  <c r="Y23" i="5" s="1"/>
  <c r="Y25" i="5" s="1"/>
  <c r="V21" i="1"/>
  <c r="V23" i="1" s="1"/>
  <c r="V25" i="1" s="1"/>
  <c r="Z24" i="5"/>
  <c r="X18" i="1"/>
  <c r="W24" i="1"/>
  <c r="X26" i="5"/>
  <c r="X28" i="5"/>
  <c r="X27" i="5"/>
  <c r="U27" i="1"/>
  <c r="T19" i="6"/>
  <c r="T20" i="6"/>
  <c r="W20" i="1"/>
  <c r="Z19" i="5"/>
  <c r="W19" i="1"/>
  <c r="Z20" i="5"/>
  <c r="R26" i="6" l="1"/>
  <c r="T22" i="6"/>
  <c r="T21" i="6"/>
  <c r="T23" i="6" s="1"/>
  <c r="T25" i="6" s="1"/>
  <c r="U24" i="6"/>
  <c r="V18" i="6"/>
  <c r="S28" i="6"/>
  <c r="S27" i="6"/>
  <c r="S26" i="6"/>
  <c r="U28" i="1"/>
  <c r="Z22" i="5"/>
  <c r="W21" i="1"/>
  <c r="Z21" i="5"/>
  <c r="Z23" i="5" s="1"/>
  <c r="Z25" i="5" s="1"/>
  <c r="W22" i="1"/>
  <c r="X24" i="1"/>
  <c r="Y18" i="1"/>
  <c r="V26" i="1"/>
  <c r="V27" i="1"/>
  <c r="V28" i="1"/>
  <c r="Y27" i="5"/>
  <c r="Y28" i="5"/>
  <c r="Y26" i="5"/>
  <c r="U19" i="6"/>
  <c r="U20" i="6"/>
  <c r="X20" i="1"/>
  <c r="X19" i="1"/>
  <c r="U22" i="6" l="1"/>
  <c r="U21" i="6"/>
  <c r="V24" i="6"/>
  <c r="W18" i="6"/>
  <c r="T28" i="6"/>
  <c r="T26" i="6"/>
  <c r="T27" i="6"/>
  <c r="W23" i="1"/>
  <c r="W25" i="1" s="1"/>
  <c r="W26" i="1" s="1"/>
  <c r="X21" i="1"/>
  <c r="X22" i="1"/>
  <c r="Z18" i="1"/>
  <c r="Y24" i="1"/>
  <c r="Z28" i="5"/>
  <c r="Z26" i="5"/>
  <c r="Z27" i="5"/>
  <c r="V19" i="6"/>
  <c r="V20" i="6"/>
  <c r="Y20" i="1"/>
  <c r="Y19" i="1"/>
  <c r="U23" i="6" l="1"/>
  <c r="U25" i="6" s="1"/>
  <c r="U28" i="6" s="1"/>
  <c r="V22" i="6"/>
  <c r="V21" i="6"/>
  <c r="V23" i="6" s="1"/>
  <c r="V25" i="6" s="1"/>
  <c r="W24" i="6"/>
  <c r="X18" i="6"/>
  <c r="W27" i="1"/>
  <c r="W28" i="1"/>
  <c r="X23" i="1"/>
  <c r="X25" i="1" s="1"/>
  <c r="X27" i="1" s="1"/>
  <c r="Y21" i="1"/>
  <c r="Y22" i="1"/>
  <c r="Z24" i="1"/>
  <c r="W20" i="6"/>
  <c r="W19" i="6"/>
  <c r="Z19" i="1"/>
  <c r="Z20" i="1"/>
  <c r="U27" i="6" l="1"/>
  <c r="U26" i="6"/>
  <c r="W21" i="6"/>
  <c r="W22" i="6"/>
  <c r="V27" i="6"/>
  <c r="V28" i="6"/>
  <c r="V26" i="6"/>
  <c r="X24" i="6"/>
  <c r="Y18" i="6"/>
  <c r="X28" i="1"/>
  <c r="X26" i="1"/>
  <c r="Y23" i="1"/>
  <c r="Y25" i="1" s="1"/>
  <c r="Y26" i="1" s="1"/>
  <c r="Z22" i="1"/>
  <c r="Z21" i="1"/>
  <c r="X20" i="6"/>
  <c r="X19" i="6"/>
  <c r="W23" i="6" l="1"/>
  <c r="W25" i="6" s="1"/>
  <c r="W28" i="6" s="1"/>
  <c r="X21" i="6"/>
  <c r="X22" i="6"/>
  <c r="Y24" i="6"/>
  <c r="Z18" i="6"/>
  <c r="Y28" i="1"/>
  <c r="Z23" i="1"/>
  <c r="Z25" i="1" s="1"/>
  <c r="Z28" i="1" s="1"/>
  <c r="Y27" i="1"/>
  <c r="Y20" i="6"/>
  <c r="Y19" i="6"/>
  <c r="W27" i="6" l="1"/>
  <c r="W26" i="6"/>
  <c r="X23" i="6"/>
  <c r="X25" i="6" s="1"/>
  <c r="X28" i="6" s="1"/>
  <c r="Y21" i="6"/>
  <c r="Y22" i="6"/>
  <c r="Z24" i="6"/>
  <c r="Z27" i="1"/>
  <c r="Z26" i="1"/>
  <c r="Z20" i="6"/>
  <c r="Z19" i="6"/>
  <c r="X26" i="6" l="1"/>
  <c r="X27" i="6"/>
  <c r="Y23" i="6"/>
  <c r="Y25" i="6" s="1"/>
  <c r="Y28" i="6" s="1"/>
  <c r="Z21" i="6"/>
  <c r="Z22" i="6"/>
  <c r="Y27" i="6" l="1"/>
  <c r="Y26" i="6"/>
  <c r="Z23" i="6"/>
  <c r="Z25" i="6" s="1"/>
  <c r="Z28" i="6" s="1"/>
  <c r="Z26" i="6" l="1"/>
  <c r="Z27" i="6"/>
</calcChain>
</file>

<file path=xl/sharedStrings.xml><?xml version="1.0" encoding="utf-8"?>
<sst xmlns="http://schemas.openxmlformats.org/spreadsheetml/2006/main" count="146" uniqueCount="31">
  <si>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</si>
  <si>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</si>
  <si>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</si>
  <si>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</si>
  <si>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</si>
  <si>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</si>
  <si>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</si>
  <si>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</si>
  <si>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</si>
  <si>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</si>
  <si>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</si>
  <si>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</si>
  <si>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</si>
  <si>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</si>
  <si>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</si>
  <si>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</si>
  <si>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</si>
  <si>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</si>
  <si>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</si>
  <si>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</si>
  <si>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</si>
  <si>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</si>
  <si>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</si>
  <si>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</si>
  <si>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</si>
  <si>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A method for estimating the impedance of a ferrite cored toroidal inductor at RF</t>
  </si>
  <si>
    <t>Reference:</t>
  </si>
  <si>
    <t># #F14 mix u'</t>
  </si>
  <si>
    <t>µi</t>
  </si>
  <si>
    <t>Calculate impedance of toroidal ferrite cored inductor</t>
  </si>
  <si>
    <t># #52 mix u''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</si>
</sst>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9" formatCode="0.0000000"/>
  </numFmts>
  <fonts count="4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9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'FT240-52'!$B$26:$AE$26</c:f>
              <c:numCache>
                <c:formatCode>0</c:formatCode>
                <c:ptCount val="30"/>
                <c:pt idx="0">
                  <c:v>3.1985043019633701</c:v>
                </c:pt>
                <c:pt idx="1">
                  <c:v>4.1671331900408504</c:v>
                </c:pt>
                <c:pt idx="2">
                  <c:v>7.7337446787444799</c:v>
                </c:pt>
                <c:pt idx="3">
                  <c:v>9.1153132564189008</c:v>
                </c:pt>
                <c:pt idx="4">
                  <c:v>13.2723273835957</c:v>
                </c:pt>
                <c:pt idx="5">
                  <c:v>20.459251772454099</c:v>
                </c:pt>
                <c:pt idx="6">
                  <c:v>32.0434772432234</c:v>
                </c:pt>
                <c:pt idx="7">
                  <c:v>52.804519442802501</c:v>
                </c:pt>
                <c:pt idx="8">
                  <c:v>89.725992560400599</c:v>
                </c:pt>
                <c:pt idx="9">
                  <c:v>163.27101162313599</c:v>
                </c:pt>
                <c:pt idx="10">
                  <c:v>290.93577834140001</c:v>
                </c:pt>
                <c:pt idx="11">
                  <c:v>500.66114177611303</c:v>
                </c:pt>
                <c:pt idx="12">
                  <c:v>1349.746119784</c:v>
                </c:pt>
                <c:pt idx="13">
                  <c:v>2855.94621382899</c:v>
                </c:pt>
                <c:pt idx="14">
                  <c:v>4758.7274802247402</c:v>
                </c:pt>
                <c:pt idx="15">
                  <c:v>6117.7535690228397</c:v>
                </c:pt>
                <c:pt idx="16">
                  <c:v>5985.03125035622</c:v>
                </c:pt>
                <c:pt idx="17">
                  <c:v>5322.0888001269504</c:v>
                </c:pt>
                <c:pt idx="18">
                  <c:v>4463.6607852958596</c:v>
                </c:pt>
                <c:pt idx="19">
                  <c:v>3668.8722839864299</c:v>
                </c:pt>
                <c:pt idx="20">
                  <c:v>3055.7965675742898</c:v>
                </c:pt>
                <c:pt idx="21">
                  <c:v>2557.2935718741801</c:v>
                </c:pt>
                <c:pt idx="22">
                  <c:v>2129.08777731793</c:v>
                </c:pt>
                <c:pt idx="23">
                  <c:v>1788.5634157058701</c:v>
                </c:pt>
                <c:pt idx="24">
                  <c:v>1526.6886241288801</c:v>
                </c:pt>
                <c:pt idx="25">
                  <c:v>1001.59828134331</c:v>
                </c:pt>
                <c:pt idx="26">
                  <c:v>771.30424976703898</c:v>
                </c:pt>
                <c:pt idx="27">
                  <c:v>607.95457804422904</c:v>
                </c:pt>
                <c:pt idx="28">
                  <c:v>490.114588592377</c:v>
                </c:pt>
                <c:pt idx="29">
                  <c:v>401.50371772657502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'FT240-52'!$B$27:$AE$27</c:f>
              <c:numCache>
                <c:formatCode>0</c:formatCode>
                <c:ptCount val="30"/>
                <c:pt idx="0">
                  <c:v>283.05351611557302</c:v>
                </c:pt>
                <c:pt idx="1">
                  <c:v>341.19635770090503</c:v>
                </c:pt>
                <c:pt idx="2">
                  <c:v>518.766144147163</c:v>
                </c:pt>
                <c:pt idx="3">
                  <c:v>578.36443543880205</c:v>
                </c:pt>
                <c:pt idx="4">
                  <c:v>731.10327313193898</c:v>
                </c:pt>
                <c:pt idx="5">
                  <c:v>896.48697158765697</c:v>
                </c:pt>
                <c:pt idx="6">
                  <c:v>1102.5423761750301</c:v>
                </c:pt>
                <c:pt idx="7">
                  <c:v>1333.75424817765</c:v>
                </c:pt>
                <c:pt idx="8">
                  <c:v>1605.98858516358</c:v>
                </c:pt>
                <c:pt idx="9">
                  <c:v>1915.2345928234299</c:v>
                </c:pt>
                <c:pt idx="10">
                  <c:v>2238.4589713157802</c:v>
                </c:pt>
                <c:pt idx="11">
                  <c:v>2625.2312701883602</c:v>
                </c:pt>
                <c:pt idx="12">
                  <c:v>3413.6545151700702</c:v>
                </c:pt>
                <c:pt idx="13">
                  <c:v>3912.14942103556</c:v>
                </c:pt>
                <c:pt idx="14">
                  <c:v>3175.1145526299101</c:v>
                </c:pt>
                <c:pt idx="15">
                  <c:v>1562.55498266874</c:v>
                </c:pt>
                <c:pt idx="16">
                  <c:v>-374.92512367056702</c:v>
                </c:pt>
                <c:pt idx="17">
                  <c:v>-1611.2467271185401</c:v>
                </c:pt>
                <c:pt idx="18">
                  <c:v>-2346.0595392927598</c:v>
                </c:pt>
                <c:pt idx="19">
                  <c:v>-2673.8151271215902</c:v>
                </c:pt>
                <c:pt idx="20">
                  <c:v>-2782.4799967467302</c:v>
                </c:pt>
                <c:pt idx="21">
                  <c:v>-2786.3327861607299</c:v>
                </c:pt>
                <c:pt idx="22">
                  <c:v>-2726.9845910680701</c:v>
                </c:pt>
                <c:pt idx="23">
                  <c:v>-2631.3712098277101</c:v>
                </c:pt>
                <c:pt idx="24">
                  <c:v>-2523.3771058124298</c:v>
                </c:pt>
                <c:pt idx="25">
                  <c:v>-2204.1294843700398</c:v>
                </c:pt>
                <c:pt idx="26">
                  <c:v>-2009.81043549269</c:v>
                </c:pt>
                <c:pt idx="27">
                  <c:v>-1836.02340403723</c:v>
                </c:pt>
                <c:pt idx="28">
                  <c:v>-1684.9599727421501</c:v>
                </c:pt>
                <c:pt idx="29">
                  <c:v>-1555.2832627615301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'FT240-52'!$A$28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'FT240-52'!$B$28:$AE$28</c:f>
              <c:numCache>
                <c:formatCode>0</c:formatCode>
                <c:ptCount val="30"/>
                <c:pt idx="0">
                  <c:v>283.07158708559683</c:v>
                </c:pt>
                <c:pt idx="1">
                  <c:v>341.22180397417083</c:v>
                </c:pt>
                <c:pt idx="2">
                  <c:v>518.82378812085244</c:v>
                </c:pt>
                <c:pt idx="3">
                  <c:v>578.43626193056639</c:v>
                </c:pt>
                <c:pt idx="4">
                  <c:v>731.22373502123958</c:v>
                </c:pt>
                <c:pt idx="5">
                  <c:v>896.72039745368636</c:v>
                </c:pt>
                <c:pt idx="6">
                  <c:v>1103.007921864353</c:v>
                </c:pt>
                <c:pt idx="7">
                  <c:v>1334.7991278861075</c:v>
                </c:pt>
                <c:pt idx="8">
                  <c:v>1608.4931113985742</c:v>
                </c:pt>
                <c:pt idx="9">
                  <c:v>1922.1813048679805</c:v>
                </c:pt>
                <c:pt idx="10">
                  <c:v>2257.286466840932</c:v>
                </c:pt>
                <c:pt idx="11">
                  <c:v>2672.5457528093607</c:v>
                </c:pt>
                <c:pt idx="12">
                  <c:v>3670.8107737682385</c:v>
                </c:pt>
                <c:pt idx="13">
                  <c:v>4843.6909344830219</c:v>
                </c:pt>
                <c:pt idx="14">
                  <c:v>5720.7376843697648</c:v>
                </c:pt>
                <c:pt idx="15">
                  <c:v>6314.1497293899038</c:v>
                </c:pt>
                <c:pt idx="16">
                  <c:v>5996.7631198922581</c:v>
                </c:pt>
                <c:pt idx="17">
                  <c:v>5560.6425179188536</c:v>
                </c:pt>
                <c:pt idx="18">
                  <c:v>5042.6444419663985</c:v>
                </c:pt>
                <c:pt idx="19">
                  <c:v>4539.814001721662</c:v>
                </c:pt>
                <c:pt idx="20">
                  <c:v>4132.8062614517139</c:v>
                </c:pt>
                <c:pt idx="21">
                  <c:v>3781.9837133418782</c:v>
                </c:pt>
                <c:pt idx="22">
                  <c:v>3459.6906976559758</c:v>
                </c:pt>
                <c:pt idx="23">
                  <c:v>3181.6777863120578</c:v>
                </c:pt>
                <c:pt idx="24">
                  <c:v>2949.2728210836735</c:v>
                </c:pt>
                <c:pt idx="25">
                  <c:v>2421.0299256843582</c:v>
                </c:pt>
                <c:pt idx="26">
                  <c:v>2152.7304132947097</c:v>
                </c:pt>
                <c:pt idx="27">
                  <c:v>1934.0606787630511</c:v>
                </c:pt>
                <c:pt idx="28">
                  <c:v>1754.7941245896345</c:v>
                </c:pt>
                <c:pt idx="29">
                  <c:v>1606.272474636359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72400"/>
        <c:axId val="387233872"/>
      </c:scatterChart>
      <c:valAx>
        <c:axId val="38617240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3872"/>
        <c:crosses val="autoZero"/>
        <c:crossBetween val="midCat"/>
      </c:valAx>
      <c:valAx>
        <c:axId val="387233872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1724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73184"/>
        <c:axId val="386173576"/>
      </c:scatterChart>
      <c:valAx>
        <c:axId val="38617318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173576"/>
        <c:crosses val="autoZero"/>
        <c:crossBetween val="midCat"/>
      </c:valAx>
      <c:valAx>
        <c:axId val="386173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1731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'FT240-52x2'!$A$26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'FT240-52x2'!$B$26:$AE$26</c:f>
              <c:numCache>
                <c:formatCode>0</c:formatCode>
                <c:ptCount val="30"/>
                <c:pt idx="0">
                  <c:v>4.32362995478909</c:v>
                </c:pt>
                <c:pt idx="1">
                  <c:v>5.6572868271071197</c:v>
                </c:pt>
                <c:pt idx="2">
                  <c:v>10.689542628472999</c:v>
                </c:pt>
                <c:pt idx="3">
                  <c:v>12.696327399539401</c:v>
                </c:pt>
                <c:pt idx="4">
                  <c:v>18.922387031808299</c:v>
                </c:pt>
                <c:pt idx="5">
                  <c:v>30.067157538611799</c:v>
                </c:pt>
                <c:pt idx="6">
                  <c:v>49.107257424672397</c:v>
                </c:pt>
                <c:pt idx="7">
                  <c:v>85.429838092708593</c:v>
                </c:pt>
                <c:pt idx="8">
                  <c:v>155.94396490158201</c:v>
                </c:pt>
                <c:pt idx="9">
                  <c:v>311.27509585234998</c:v>
                </c:pt>
                <c:pt idx="10">
                  <c:v>620.89871186655796</c:v>
                </c:pt>
                <c:pt idx="11">
                  <c:v>1240.3949773682</c:v>
                </c:pt>
                <c:pt idx="12">
                  <c:v>4753.1540346812599</c:v>
                </c:pt>
                <c:pt idx="13">
                  <c:v>10315.484288941199</c:v>
                </c:pt>
                <c:pt idx="14">
                  <c:v>8042.7539935414698</c:v>
                </c:pt>
                <c:pt idx="15">
                  <c:v>5076.4647916498698</c:v>
                </c:pt>
                <c:pt idx="16">
                  <c:v>3357.5539979387099</c:v>
                </c:pt>
                <c:pt idx="17">
                  <c:v>2431.41576955541</c:v>
                </c:pt>
                <c:pt idx="18">
                  <c:v>1830.89046907805</c:v>
                </c:pt>
                <c:pt idx="19">
                  <c:v>1434.1906800358599</c:v>
                </c:pt>
                <c:pt idx="20">
                  <c:v>1164.14927721647</c:v>
                </c:pt>
                <c:pt idx="21">
                  <c:v>962.10322618459998</c:v>
                </c:pt>
                <c:pt idx="22">
                  <c:v>800.52066051567203</c:v>
                </c:pt>
                <c:pt idx="23">
                  <c:v>675.77366116681401</c:v>
                </c:pt>
                <c:pt idx="24">
                  <c:v>580.17749690335199</c:v>
                </c:pt>
                <c:pt idx="25">
                  <c:v>388.16278902354401</c:v>
                </c:pt>
                <c:pt idx="26">
                  <c:v>303.89901010513699</c:v>
                </c:pt>
                <c:pt idx="27">
                  <c:v>243.63980017725501</c:v>
                </c:pt>
                <c:pt idx="28">
                  <c:v>199.50146917116899</c:v>
                </c:pt>
                <c:pt idx="29">
                  <c:v>165.648463332744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'FT240-52x2'!$A$27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'FT240-52x2'!$B$27:$AE$27</c:f>
              <c:numCache>
                <c:formatCode>0</c:formatCode>
                <c:ptCount val="30"/>
                <c:pt idx="0">
                  <c:v>380.78856444412497</c:v>
                </c:pt>
                <c:pt idx="1">
                  <c:v>459.99611429551601</c:v>
                </c:pt>
                <c:pt idx="2">
                  <c:v>705.69904770713401</c:v>
                </c:pt>
                <c:pt idx="3">
                  <c:v>789.80064322656597</c:v>
                </c:pt>
                <c:pt idx="4">
                  <c:v>1010.07430937039</c:v>
                </c:pt>
                <c:pt idx="5">
                  <c:v>1257.4741646137199</c:v>
                </c:pt>
                <c:pt idx="6">
                  <c:v>1579.19804898754</c:v>
                </c:pt>
                <c:pt idx="7">
                  <c:v>1962.63229246836</c:v>
                </c:pt>
                <c:pt idx="8">
                  <c:v>2448.66995772888</c:v>
                </c:pt>
                <c:pt idx="9">
                  <c:v>3055.16260568707</c:v>
                </c:pt>
                <c:pt idx="10">
                  <c:v>3764.7469846484601</c:v>
                </c:pt>
                <c:pt idx="11">
                  <c:v>4706.7091553584596</c:v>
                </c:pt>
                <c:pt idx="12">
                  <c:v>6398.29645060451</c:v>
                </c:pt>
                <c:pt idx="13">
                  <c:v>2654.3132676741002</c:v>
                </c:pt>
                <c:pt idx="14">
                  <c:v>-3060.7126311082102</c:v>
                </c:pt>
                <c:pt idx="15">
                  <c:v>-4303.7033662778704</c:v>
                </c:pt>
                <c:pt idx="16">
                  <c:v>-3966.9316892289999</c:v>
                </c:pt>
                <c:pt idx="17">
                  <c:v>-3605.6976623788801</c:v>
                </c:pt>
                <c:pt idx="18">
                  <c:v>-3257.6198361132001</c:v>
                </c:pt>
                <c:pt idx="19">
                  <c:v>-2954.5871338909201</c:v>
                </c:pt>
                <c:pt idx="20">
                  <c:v>-2712.2827532861002</c:v>
                </c:pt>
                <c:pt idx="21">
                  <c:v>-2505.7853232688199</c:v>
                </c:pt>
                <c:pt idx="22">
                  <c:v>-2320.4587980206802</c:v>
                </c:pt>
                <c:pt idx="23">
                  <c:v>-2159.6627959530601</c:v>
                </c:pt>
                <c:pt idx="24">
                  <c:v>-2022.12056691885</c:v>
                </c:pt>
                <c:pt idx="25">
                  <c:v>-1700.1667008940999</c:v>
                </c:pt>
                <c:pt idx="26">
                  <c:v>-1533.7117710315999</c:v>
                </c:pt>
                <c:pt idx="27">
                  <c:v>-1395.57788501292</c:v>
                </c:pt>
                <c:pt idx="28">
                  <c:v>-1279.97965699323</c:v>
                </c:pt>
                <c:pt idx="29">
                  <c:v>-1182.2555209759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'FT240-52x2'!$A$28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'FT240-52x2'!$B$28:$AE$28</c:f>
              <c:numCache>
                <c:formatCode>0</c:formatCode>
                <c:ptCount val="30"/>
                <c:pt idx="0">
                  <c:v>380.81310978930787</c:v>
                </c:pt>
                <c:pt idx="1">
                  <c:v>460.0309012025362</c:v>
                </c:pt>
                <c:pt idx="2">
                  <c:v>705.78000273198575</c:v>
                </c:pt>
                <c:pt idx="3">
                  <c:v>789.90268563319478</c:v>
                </c:pt>
                <c:pt idx="4">
                  <c:v>1010.251536589305</c:v>
                </c:pt>
                <c:pt idx="5">
                  <c:v>1257.8335774789225</c:v>
                </c:pt>
                <c:pt idx="6">
                  <c:v>1579.9613921415378</c:v>
                </c:pt>
                <c:pt idx="7">
                  <c:v>1964.4907158538967</c:v>
                </c:pt>
                <c:pt idx="8">
                  <c:v>2453.6305920152654</c:v>
                </c:pt>
                <c:pt idx="9">
                  <c:v>3070.9787906279162</c:v>
                </c:pt>
                <c:pt idx="10">
                  <c:v>3815.6041551525259</c:v>
                </c:pt>
                <c:pt idx="11">
                  <c:v>4867.4110955430306</c:v>
                </c:pt>
                <c:pt idx="12">
                  <c:v>7970.6129467704686</c:v>
                </c:pt>
                <c:pt idx="13">
                  <c:v>10651.506702731942</c:v>
                </c:pt>
                <c:pt idx="14">
                  <c:v>8605.4548753016297</c:v>
                </c:pt>
                <c:pt idx="15">
                  <c:v>6655.2503668736781</c:v>
                </c:pt>
                <c:pt idx="16">
                  <c:v>5197.0872492275385</c:v>
                </c:pt>
                <c:pt idx="17">
                  <c:v>4348.88931532262</c:v>
                </c:pt>
                <c:pt idx="18">
                  <c:v>3736.8766244551125</c:v>
                </c:pt>
                <c:pt idx="19">
                  <c:v>3284.2789221464559</c:v>
                </c:pt>
                <c:pt idx="20">
                  <c:v>2951.5625138927444</c:v>
                </c:pt>
                <c:pt idx="21">
                  <c:v>2684.139099254031</c:v>
                </c:pt>
                <c:pt idx="22">
                  <c:v>2454.6613536746827</c:v>
                </c:pt>
                <c:pt idx="23">
                  <c:v>2262.9214377327794</c:v>
                </c:pt>
                <c:pt idx="24">
                  <c:v>2103.7056626508497</c:v>
                </c:pt>
                <c:pt idx="25">
                  <c:v>1743.9143217519788</c:v>
                </c:pt>
                <c:pt idx="26">
                  <c:v>1563.5301100214758</c:v>
                </c:pt>
                <c:pt idx="27">
                  <c:v>1416.6855633370265</c:v>
                </c:pt>
                <c:pt idx="28">
                  <c:v>1295.4338109366922</c:v>
                </c:pt>
                <c:pt idx="29">
                  <c:v>1193.8038072826273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582832"/>
        <c:axId val="548586360"/>
      </c:scatterChart>
      <c:valAx>
        <c:axId val="54858283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8586360"/>
        <c:crosses val="autoZero"/>
        <c:crossBetween val="midCat"/>
      </c:valAx>
      <c:valAx>
        <c:axId val="54858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85828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'FT240-52x2'!$A$19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'FT240-52x2'!$A$20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658808"/>
        <c:axId val="318657632"/>
      </c:scatterChart>
      <c:valAx>
        <c:axId val="3186588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657632"/>
        <c:crosses val="autoZero"/>
        <c:crossBetween val="midCat"/>
      </c:valAx>
      <c:valAx>
        <c:axId val="318657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6588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'FT150-52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(2)'!$B$26:$AE$26</c:f>
              <c:numCache>
                <c:formatCode>0</c:formatCode>
                <c:ptCount val="30"/>
                <c:pt idx="0">
                  <c:v>4.8320702265640998</c:v>
                </c:pt>
                <c:pt idx="1">
                  <c:v>6.3155207969793699</c:v>
                </c:pt>
                <c:pt idx="2">
                  <c:v>11.8777329016149</c:v>
                </c:pt>
                <c:pt idx="3">
                  <c:v>14.079304569853701</c:v>
                </c:pt>
                <c:pt idx="4">
                  <c:v>20.855516237937501</c:v>
                </c:pt>
                <c:pt idx="5">
                  <c:v>32.873334016384803</c:v>
                </c:pt>
                <c:pt idx="6">
                  <c:v>53.089101155937797</c:v>
                </c:pt>
                <c:pt idx="7">
                  <c:v>90.998548892047296</c:v>
                </c:pt>
                <c:pt idx="8">
                  <c:v>162.81444308615201</c:v>
                </c:pt>
                <c:pt idx="9">
                  <c:v>316.45310438481999</c:v>
                </c:pt>
                <c:pt idx="10">
                  <c:v>610.42519099712695</c:v>
                </c:pt>
                <c:pt idx="11">
                  <c:v>1164.8180064478099</c:v>
                </c:pt>
                <c:pt idx="12">
                  <c:v>4019.4635201922902</c:v>
                </c:pt>
                <c:pt idx="13">
                  <c:v>9508.6818097372707</c:v>
                </c:pt>
                <c:pt idx="14">
                  <c:v>10191.227543090499</c:v>
                </c:pt>
                <c:pt idx="15">
                  <c:v>7419.2658800933004</c:v>
                </c:pt>
                <c:pt idx="16">
                  <c:v>5013.1996975148604</c:v>
                </c:pt>
                <c:pt idx="17">
                  <c:v>3646.82332909455</c:v>
                </c:pt>
                <c:pt idx="18">
                  <c:v>2738.29404938585</c:v>
                </c:pt>
                <c:pt idx="19">
                  <c:v>2134.1379349626</c:v>
                </c:pt>
                <c:pt idx="20">
                  <c:v>1725.8955570343601</c:v>
                </c:pt>
                <c:pt idx="21">
                  <c:v>1421.4142281731699</c:v>
                </c:pt>
                <c:pt idx="22">
                  <c:v>1177.86510991253</c:v>
                </c:pt>
                <c:pt idx="23">
                  <c:v>990.58597415947997</c:v>
                </c:pt>
                <c:pt idx="24">
                  <c:v>847.90103820336299</c:v>
                </c:pt>
                <c:pt idx="25">
                  <c:v>563.39305892185803</c:v>
                </c:pt>
                <c:pt idx="26">
                  <c:v>439.27062222392499</c:v>
                </c:pt>
                <c:pt idx="27">
                  <c:v>350.87007520437197</c:v>
                </c:pt>
                <c:pt idx="28">
                  <c:v>286.397259111577</c:v>
                </c:pt>
                <c:pt idx="29">
                  <c:v>237.169438952104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'FT150-52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(2)'!$B$27:$AE$27</c:f>
              <c:numCache>
                <c:formatCode>0</c:formatCode>
                <c:ptCount val="30"/>
                <c:pt idx="0">
                  <c:v>426.09568329125699</c:v>
                </c:pt>
                <c:pt idx="1">
                  <c:v>514.44100029836898</c:v>
                </c:pt>
                <c:pt idx="2">
                  <c:v>787.38649989144699</c:v>
                </c:pt>
                <c:pt idx="3">
                  <c:v>880.33994676618499</c:v>
                </c:pt>
                <c:pt idx="4">
                  <c:v>1122.4264256967399</c:v>
                </c:pt>
                <c:pt idx="5">
                  <c:v>1391.7414579899601</c:v>
                </c:pt>
                <c:pt idx="6">
                  <c:v>1738.0193812672401</c:v>
                </c:pt>
                <c:pt idx="7">
                  <c:v>2144.1366199408399</c:v>
                </c:pt>
                <c:pt idx="8">
                  <c:v>2648.7027266667601</c:v>
                </c:pt>
                <c:pt idx="9">
                  <c:v>3262.1673598235302</c:v>
                </c:pt>
                <c:pt idx="10">
                  <c:v>3957.7170739067801</c:v>
                </c:pt>
                <c:pt idx="11">
                  <c:v>4854.8306009812804</c:v>
                </c:pt>
                <c:pt idx="12">
                  <c:v>6635.8775886158701</c:v>
                </c:pt>
                <c:pt idx="13">
                  <c:v>5172.4676849566404</c:v>
                </c:pt>
                <c:pt idx="14">
                  <c:v>-1126.91109316335</c:v>
                </c:pt>
                <c:pt idx="15">
                  <c:v>-4180.8929892676297</c:v>
                </c:pt>
                <c:pt idx="16">
                  <c:v>-4477.7985237939802</c:v>
                </c:pt>
                <c:pt idx="17">
                  <c:v>-4299.0856887869404</c:v>
                </c:pt>
                <c:pt idx="18">
                  <c:v>-3987.57090686316</c:v>
                </c:pt>
                <c:pt idx="19">
                  <c:v>-3664.4581417283198</c:v>
                </c:pt>
                <c:pt idx="20">
                  <c:v>-3389.8939416387798</c:v>
                </c:pt>
                <c:pt idx="21">
                  <c:v>-3147.2079684094601</c:v>
                </c:pt>
                <c:pt idx="22">
                  <c:v>-2923.2421619628999</c:v>
                </c:pt>
                <c:pt idx="23">
                  <c:v>-2725.5553597572498</c:v>
                </c:pt>
                <c:pt idx="24">
                  <c:v>-2554.8691192573001</c:v>
                </c:pt>
                <c:pt idx="25">
                  <c:v>-2151.29732305476</c:v>
                </c:pt>
                <c:pt idx="26">
                  <c:v>-1940.6091057392</c:v>
                </c:pt>
                <c:pt idx="27">
                  <c:v>-1764.9681007814299</c:v>
                </c:pt>
                <c:pt idx="28">
                  <c:v>-1617.73015284235</c:v>
                </c:pt>
                <c:pt idx="29">
                  <c:v>-1493.27483742963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'FT150-52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(2)'!$B$28:$AE$28</c:f>
              <c:numCache>
                <c:formatCode>0</c:formatCode>
                <c:ptCount val="30"/>
                <c:pt idx="0">
                  <c:v>426.12308107179274</c:v>
                </c:pt>
                <c:pt idx="1">
                  <c:v>514.47976499656772</c:v>
                </c:pt>
                <c:pt idx="2">
                  <c:v>787.47608265279143</c:v>
                </c:pt>
                <c:pt idx="3">
                  <c:v>880.45252494922181</c:v>
                </c:pt>
                <c:pt idx="4">
                  <c:v>1122.620164463435</c:v>
                </c:pt>
                <c:pt idx="5">
                  <c:v>1392.129642661693</c:v>
                </c:pt>
                <c:pt idx="6">
                  <c:v>1738.8300153615089</c:v>
                </c:pt>
                <c:pt idx="7">
                  <c:v>2146.0667699006449</c:v>
                </c:pt>
                <c:pt idx="8">
                  <c:v>2653.7020701520705</c:v>
                </c:pt>
                <c:pt idx="9">
                  <c:v>3277.4805034924029</c:v>
                </c:pt>
                <c:pt idx="10">
                  <c:v>4004.5153702910325</c:v>
                </c:pt>
                <c:pt idx="11">
                  <c:v>4992.6126579546817</c:v>
                </c:pt>
                <c:pt idx="12">
                  <c:v>7758.2832096573384</c:v>
                </c:pt>
                <c:pt idx="13">
                  <c:v>10824.483900433737</c:v>
                </c:pt>
                <c:pt idx="14">
                  <c:v>10253.343232670066</c:v>
                </c:pt>
                <c:pt idx="15">
                  <c:v>8516.1829705111322</c:v>
                </c:pt>
                <c:pt idx="16">
                  <c:v>6721.819011759736</c:v>
                </c:pt>
                <c:pt idx="17">
                  <c:v>5637.5046033826829</c:v>
                </c:pt>
                <c:pt idx="18">
                  <c:v>4837.2488087923948</c:v>
                </c:pt>
                <c:pt idx="19">
                  <c:v>4240.6129507331125</c:v>
                </c:pt>
                <c:pt idx="20">
                  <c:v>3803.9579925848611</c:v>
                </c:pt>
                <c:pt idx="21">
                  <c:v>3453.3080378780473</c:v>
                </c:pt>
                <c:pt idx="22">
                  <c:v>3151.6203696871207</c:v>
                </c:pt>
                <c:pt idx="23">
                  <c:v>2899.984929495834</c:v>
                </c:pt>
                <c:pt idx="24">
                  <c:v>2691.8938290952178</c:v>
                </c:pt>
                <c:pt idx="25">
                  <c:v>2223.8461976998101</c:v>
                </c:pt>
                <c:pt idx="26">
                  <c:v>1989.7040937855288</c:v>
                </c:pt>
                <c:pt idx="27">
                  <c:v>1799.5061006981693</c:v>
                </c:pt>
                <c:pt idx="28">
                  <c:v>1642.8859477888161</c:v>
                </c:pt>
                <c:pt idx="29">
                  <c:v>1511.991760186987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235048"/>
        <c:axId val="387235440"/>
      </c:scatterChart>
      <c:valAx>
        <c:axId val="38723504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5440"/>
        <c:crosses val="autoZero"/>
        <c:crossBetween val="midCat"/>
      </c:valAx>
      <c:valAx>
        <c:axId val="387235440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50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'FT150-52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'FT150-52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236224"/>
        <c:axId val="387236616"/>
      </c:scatterChart>
      <c:valAx>
        <c:axId val="38723622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6616"/>
        <c:crosses val="autoZero"/>
        <c:crossBetween val="midCat"/>
      </c:valAx>
      <c:valAx>
        <c:axId val="387236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362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'FT94-52'!$A$26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'FT94-52'!$B$26:$AE$26</c:f>
              <c:numCache>
                <c:formatCode>0</c:formatCode>
                <c:ptCount val="30"/>
                <c:pt idx="0">
                  <c:v>1.6820449134841999</c:v>
                </c:pt>
                <c:pt idx="1">
                  <c:v>2.1849173185336999</c:v>
                </c:pt>
                <c:pt idx="2">
                  <c:v>4.0053762988585904</c:v>
                </c:pt>
                <c:pt idx="3">
                  <c:v>4.6963742494628198</c:v>
                </c:pt>
                <c:pt idx="4">
                  <c:v>6.7323115895225802</c:v>
                </c:pt>
                <c:pt idx="5">
                  <c:v>10.173836034836601</c:v>
                </c:pt>
                <c:pt idx="6">
                  <c:v>15.515589129351801</c:v>
                </c:pt>
                <c:pt idx="7">
                  <c:v>24.7352068884056</c:v>
                </c:pt>
                <c:pt idx="8">
                  <c:v>40.314781406319</c:v>
                </c:pt>
                <c:pt idx="9">
                  <c:v>69.739292732087307</c:v>
                </c:pt>
                <c:pt idx="10">
                  <c:v>117.327071453312</c:v>
                </c:pt>
                <c:pt idx="11">
                  <c:v>188.17553766517099</c:v>
                </c:pt>
                <c:pt idx="12">
                  <c:v>431.08959057359601</c:v>
                </c:pt>
                <c:pt idx="13">
                  <c:v>775.23043217335601</c:v>
                </c:pt>
                <c:pt idx="14">
                  <c:v>1230.88695216525</c:v>
                </c:pt>
                <c:pt idx="15">
                  <c:v>1680.49074899676</c:v>
                </c:pt>
                <c:pt idx="16">
                  <c:v>2096.82778210382</c:v>
                </c:pt>
                <c:pt idx="17">
                  <c:v>2417.5223625973999</c:v>
                </c:pt>
                <c:pt idx="18">
                  <c:v>2686.28198564181</c:v>
                </c:pt>
                <c:pt idx="19">
                  <c:v>2858.0844175381899</c:v>
                </c:pt>
                <c:pt idx="20">
                  <c:v>2939.78788573683</c:v>
                </c:pt>
                <c:pt idx="21">
                  <c:v>2958.2263337754198</c:v>
                </c:pt>
                <c:pt idx="22">
                  <c:v>2910.3832962314</c:v>
                </c:pt>
                <c:pt idx="23">
                  <c:v>2798.0031450895399</c:v>
                </c:pt>
                <c:pt idx="24">
                  <c:v>2648.6939595406702</c:v>
                </c:pt>
                <c:pt idx="25">
                  <c:v>2122.6149476372402</c:v>
                </c:pt>
                <c:pt idx="26">
                  <c:v>1756.94915363525</c:v>
                </c:pt>
                <c:pt idx="27">
                  <c:v>1433.4569121403999</c:v>
                </c:pt>
                <c:pt idx="28">
                  <c:v>1170.3029232087399</c:v>
                </c:pt>
                <c:pt idx="29">
                  <c:v>961.18796952497303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'FT94-52'!$A$27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'FT94-52'!$B$27:$AE$27</c:f>
              <c:numCache>
                <c:formatCode>0</c:formatCode>
                <c:ptCount val="30"/>
                <c:pt idx="0">
                  <c:v>149.35193623365501</c:v>
                </c:pt>
                <c:pt idx="1">
                  <c:v>179.76299889774501</c:v>
                </c:pt>
                <c:pt idx="2">
                  <c:v>271.64155919212698</c:v>
                </c:pt>
                <c:pt idx="3">
                  <c:v>302.06149652577199</c:v>
                </c:pt>
                <c:pt idx="4">
                  <c:v>378.86726244305498</c:v>
                </c:pt>
                <c:pt idx="5">
                  <c:v>459.98655268643301</c:v>
                </c:pt>
                <c:pt idx="6">
                  <c:v>558.241427523894</c:v>
                </c:pt>
                <c:pt idx="7">
                  <c:v>664.25378625446103</c:v>
                </c:pt>
                <c:pt idx="8">
                  <c:v>783.45633660070996</c:v>
                </c:pt>
                <c:pt idx="9">
                  <c:v>911.39710229154196</c:v>
                </c:pt>
                <c:pt idx="10">
                  <c:v>1036.3792344455701</c:v>
                </c:pt>
                <c:pt idx="11">
                  <c:v>1177.20688037329</c:v>
                </c:pt>
                <c:pt idx="12">
                  <c:v>1446.5745118341399</c:v>
                </c:pt>
                <c:pt idx="13">
                  <c:v>1664.4967111772</c:v>
                </c:pt>
                <c:pt idx="14">
                  <c:v>1722.33379798695</c:v>
                </c:pt>
                <c:pt idx="15">
                  <c:v>1724.4731605505001</c:v>
                </c:pt>
                <c:pt idx="16">
                  <c:v>1507.7402700559501</c:v>
                </c:pt>
                <c:pt idx="17">
                  <c:v>1261.5300007416899</c:v>
                </c:pt>
                <c:pt idx="18">
                  <c:v>941.00332670840896</c:v>
                </c:pt>
                <c:pt idx="19">
                  <c:v>575.51817245432005</c:v>
                </c:pt>
                <c:pt idx="20">
                  <c:v>238.255171400146</c:v>
                </c:pt>
                <c:pt idx="21">
                  <c:v>-92.116948400698604</c:v>
                </c:pt>
                <c:pt idx="22">
                  <c:v>-437.950092273547</c:v>
                </c:pt>
                <c:pt idx="23">
                  <c:v>-745.08435865459603</c:v>
                </c:pt>
                <c:pt idx="24">
                  <c:v>-986.73601716855796</c:v>
                </c:pt>
                <c:pt idx="25">
                  <c:v>-1438.97649897937</c:v>
                </c:pt>
                <c:pt idx="26">
                  <c:v>-1581.6992251316201</c:v>
                </c:pt>
                <c:pt idx="27">
                  <c:v>-1616.9270288423299</c:v>
                </c:pt>
                <c:pt idx="28">
                  <c:v>-1588.4118276247</c:v>
                </c:pt>
                <c:pt idx="29">
                  <c:v>-1531.71161348544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'FT94-52'!$A$28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'FT94-52'!$B$28:$AE$28</c:f>
              <c:numCache>
                <c:formatCode>0</c:formatCode>
                <c:ptCount val="30"/>
                <c:pt idx="0">
                  <c:v>149.36140777266641</c:v>
                </c:pt>
                <c:pt idx="1">
                  <c:v>179.77627662291681</c:v>
                </c:pt>
                <c:pt idx="2">
                  <c:v>271.67108738256496</c:v>
                </c:pt>
                <c:pt idx="3">
                  <c:v>302.09800332752945</c:v>
                </c:pt>
                <c:pt idx="4">
                  <c:v>378.92707289191299</c:v>
                </c:pt>
                <c:pt idx="5">
                  <c:v>460.09904976212721</c:v>
                </c:pt>
                <c:pt idx="6">
                  <c:v>558.45700363586263</c:v>
                </c:pt>
                <c:pt idx="7">
                  <c:v>664.71416640026519</c:v>
                </c:pt>
                <c:pt idx="8">
                  <c:v>784.49290179047784</c:v>
                </c:pt>
                <c:pt idx="9">
                  <c:v>914.06140221332566</c:v>
                </c:pt>
                <c:pt idx="10">
                  <c:v>1042.9993093409969</c:v>
                </c:pt>
                <c:pt idx="11">
                  <c:v>1192.1518662375991</c:v>
                </c:pt>
                <c:pt idx="12">
                  <c:v>1509.4422987941907</c:v>
                </c:pt>
                <c:pt idx="13">
                  <c:v>1836.1730649607632</c:v>
                </c:pt>
                <c:pt idx="14">
                  <c:v>2116.9592345387309</c:v>
                </c:pt>
                <c:pt idx="15">
                  <c:v>2407.8739250473068</c:v>
                </c:pt>
                <c:pt idx="16">
                  <c:v>2582.6280161399191</c:v>
                </c:pt>
                <c:pt idx="17">
                  <c:v>2726.8795933135443</c:v>
                </c:pt>
                <c:pt idx="18">
                  <c:v>2846.3306496716077</c:v>
                </c:pt>
                <c:pt idx="19">
                  <c:v>2915.4532588604084</c:v>
                </c:pt>
                <c:pt idx="20">
                  <c:v>2949.426781566875</c:v>
                </c:pt>
                <c:pt idx="21">
                  <c:v>2959.6602125962054</c:v>
                </c:pt>
                <c:pt idx="22">
                  <c:v>2943.1498796876044</c:v>
                </c:pt>
                <c:pt idx="23">
                  <c:v>2895.5089883201344</c:v>
                </c:pt>
                <c:pt idx="24">
                  <c:v>2826.5221843963832</c:v>
                </c:pt>
                <c:pt idx="25">
                  <c:v>2564.4000430018655</c:v>
                </c:pt>
                <c:pt idx="26">
                  <c:v>2364.0310419369684</c:v>
                </c:pt>
                <c:pt idx="27">
                  <c:v>2160.8451438184957</c:v>
                </c:pt>
                <c:pt idx="28">
                  <c:v>1972.9827840629937</c:v>
                </c:pt>
                <c:pt idx="29">
                  <c:v>1808.3204305779743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319144"/>
        <c:axId val="386319536"/>
      </c:scatterChart>
      <c:valAx>
        <c:axId val="3863191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319536"/>
        <c:crosses val="autoZero"/>
        <c:crossBetween val="midCat"/>
      </c:valAx>
      <c:valAx>
        <c:axId val="386319536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3191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'FT94-52'!$A$19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'FT94-52'!$A$20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75536"/>
        <c:axId val="386320320"/>
      </c:scatterChart>
      <c:valAx>
        <c:axId val="38617553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320320"/>
        <c:crosses val="autoZero"/>
        <c:crossBetween val="midCat"/>
      </c:valAx>
      <c:valAx>
        <c:axId val="386320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1755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(2)'!$B$26:$AE$26</c:f>
              <c:numCache>
                <c:formatCode>0</c:formatCode>
                <c:ptCount val="30"/>
                <c:pt idx="0">
                  <c:v>6.3562474568332696</c:v>
                </c:pt>
                <c:pt idx="1">
                  <c:v>8.2576137470736608</c:v>
                </c:pt>
                <c:pt idx="2">
                  <c:v>15.145894462333899</c:v>
                </c:pt>
                <c:pt idx="3">
                  <c:v>17.762828574294598</c:v>
                </c:pt>
                <c:pt idx="4">
                  <c:v>25.4803319724424</c:v>
                </c:pt>
                <c:pt idx="5">
                  <c:v>38.5383789019969</c:v>
                </c:pt>
                <c:pt idx="6">
                  <c:v>58.838957605877503</c:v>
                </c:pt>
                <c:pt idx="7">
                  <c:v>93.931345898751104</c:v>
                </c:pt>
                <c:pt idx="8">
                  <c:v>153.35532961092599</c:v>
                </c:pt>
                <c:pt idx="9">
                  <c:v>265.82215083353299</c:v>
                </c:pt>
                <c:pt idx="10">
                  <c:v>448.21568918375402</c:v>
                </c:pt>
                <c:pt idx="11">
                  <c:v>720.80225369801599</c:v>
                </c:pt>
                <c:pt idx="12">
                  <c:v>1661.26666513186</c:v>
                </c:pt>
                <c:pt idx="13">
                  <c:v>3006.2810612365201</c:v>
                </c:pt>
                <c:pt idx="14">
                  <c:v>4793.6055598870998</c:v>
                </c:pt>
                <c:pt idx="15">
                  <c:v>6566.2278637597301</c:v>
                </c:pt>
                <c:pt idx="16">
                  <c:v>8180.2472309717396</c:v>
                </c:pt>
                <c:pt idx="17">
                  <c:v>9401.4534352013106</c:v>
                </c:pt>
                <c:pt idx="18">
                  <c:v>10382.8796156058</c:v>
                </c:pt>
                <c:pt idx="19">
                  <c:v>10952.2766728562</c:v>
                </c:pt>
                <c:pt idx="20">
                  <c:v>11162.977763122901</c:v>
                </c:pt>
                <c:pt idx="21">
                  <c:v>11119.664849524799</c:v>
                </c:pt>
                <c:pt idx="22">
                  <c:v>10811.5795992853</c:v>
                </c:pt>
                <c:pt idx="23">
                  <c:v>10274.2199839348</c:v>
                </c:pt>
                <c:pt idx="24">
                  <c:v>9626.8493894129697</c:v>
                </c:pt>
                <c:pt idx="25">
                  <c:v>7529.8995609210797</c:v>
                </c:pt>
                <c:pt idx="26">
                  <c:v>6161.2260611587699</c:v>
                </c:pt>
                <c:pt idx="27">
                  <c:v>4990.1510413310798</c:v>
                </c:pt>
                <c:pt idx="28">
                  <c:v>4056.63634259019</c:v>
                </c:pt>
                <c:pt idx="29">
                  <c:v>3323.2985633717399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(2)'!$B$27:$AE$27</c:f>
              <c:numCache>
                <c:formatCode>0</c:formatCode>
                <c:ptCount val="30"/>
                <c:pt idx="0">
                  <c:v>564.30078870615898</c:v>
                </c:pt>
                <c:pt idx="1">
                  <c:v>679.24785195961294</c:v>
                </c:pt>
                <c:pt idx="2">
                  <c:v>1026.6919919177501</c:v>
                </c:pt>
                <c:pt idx="3">
                  <c:v>1141.7952308720701</c:v>
                </c:pt>
                <c:pt idx="4">
                  <c:v>1432.6021332756</c:v>
                </c:pt>
                <c:pt idx="5">
                  <c:v>1740.0727520604601</c:v>
                </c:pt>
                <c:pt idx="6">
                  <c:v>2112.9439359816902</c:v>
                </c:pt>
                <c:pt idx="7">
                  <c:v>2515.92778507603</c:v>
                </c:pt>
                <c:pt idx="8">
                  <c:v>2969.9305953089602</c:v>
                </c:pt>
                <c:pt idx="9">
                  <c:v>3458.3684435264099</c:v>
                </c:pt>
                <c:pt idx="10">
                  <c:v>3936.8606884800201</c:v>
                </c:pt>
                <c:pt idx="11">
                  <c:v>4477.3398971808101</c:v>
                </c:pt>
                <c:pt idx="12">
                  <c:v>5514.5145706105404</c:v>
                </c:pt>
                <c:pt idx="13">
                  <c:v>6352.5532253419597</c:v>
                </c:pt>
                <c:pt idx="14">
                  <c:v>6553.9876294222904</c:v>
                </c:pt>
                <c:pt idx="15">
                  <c:v>6516.6636648317999</c:v>
                </c:pt>
                <c:pt idx="16">
                  <c:v>5602.3102804906302</c:v>
                </c:pt>
                <c:pt idx="17">
                  <c:v>4566.7795244024501</c:v>
                </c:pt>
                <c:pt idx="18">
                  <c:v>3239.2437911489201</c:v>
                </c:pt>
                <c:pt idx="19">
                  <c:v>1759.71309163815</c:v>
                </c:pt>
                <c:pt idx="20">
                  <c:v>420.42441299232797</c:v>
                </c:pt>
                <c:pt idx="21">
                  <c:v>-861.16571788506201</c:v>
                </c:pt>
                <c:pt idx="22">
                  <c:v>-2161.5706241841399</c:v>
                </c:pt>
                <c:pt idx="23">
                  <c:v>-3277.54924658664</c:v>
                </c:pt>
                <c:pt idx="24">
                  <c:v>-4125.5884905552703</c:v>
                </c:pt>
                <c:pt idx="25">
                  <c:v>-5606.3401265652201</c:v>
                </c:pt>
                <c:pt idx="26">
                  <c:v>-6006.3813187127498</c:v>
                </c:pt>
                <c:pt idx="27">
                  <c:v>-6041.9091627689304</c:v>
                </c:pt>
                <c:pt idx="28">
                  <c:v>-5875.1974209980199</c:v>
                </c:pt>
                <c:pt idx="29">
                  <c:v>-5627.39020939685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'FT240-52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(2)'!$B$28:$AE$28</c:f>
              <c:numCache>
                <c:formatCode>0</c:formatCode>
                <c:ptCount val="30"/>
                <c:pt idx="0">
                  <c:v>564.33658575014044</c:v>
                </c:pt>
                <c:pt idx="1">
                  <c:v>679.29804399581792</c:v>
                </c:pt>
                <c:pt idx="2">
                  <c:v>1026.8037029476966</c:v>
                </c:pt>
                <c:pt idx="3">
                  <c:v>1141.9333900544127</c:v>
                </c:pt>
                <c:pt idx="4">
                  <c:v>1432.8287125763588</c:v>
                </c:pt>
                <c:pt idx="5">
                  <c:v>1740.4994654155046</c:v>
                </c:pt>
                <c:pt idx="6">
                  <c:v>2113.763018773378</c:v>
                </c:pt>
                <c:pt idx="7">
                  <c:v>2517.6806226088188</c:v>
                </c:pt>
                <c:pt idx="8">
                  <c:v>2973.8872873853697</c:v>
                </c:pt>
                <c:pt idx="9">
                  <c:v>3468.5694035225888</c:v>
                </c:pt>
                <c:pt idx="10">
                  <c:v>3962.293450077852</c:v>
                </c:pt>
                <c:pt idx="11">
                  <c:v>4534.9893543230291</c:v>
                </c:pt>
                <c:pt idx="12">
                  <c:v>5759.3122751031906</c:v>
                </c:pt>
                <c:pt idx="13">
                  <c:v>7027.9910571906621</c:v>
                </c:pt>
                <c:pt idx="14">
                  <c:v>8119.9389228245373</c:v>
                </c:pt>
                <c:pt idx="15">
                  <c:v>9251.067704830275</c:v>
                </c:pt>
                <c:pt idx="16">
                  <c:v>9914.7529086060349</c:v>
                </c:pt>
                <c:pt idx="17">
                  <c:v>10451.928143589583</c:v>
                </c:pt>
                <c:pt idx="18">
                  <c:v>10876.437351019831</c:v>
                </c:pt>
                <c:pt idx="19">
                  <c:v>11092.743325421028</c:v>
                </c:pt>
                <c:pt idx="20">
                  <c:v>11170.892051533589</c:v>
                </c:pt>
                <c:pt idx="21">
                  <c:v>11152.961613823383</c:v>
                </c:pt>
                <c:pt idx="22">
                  <c:v>11025.544929617668</c:v>
                </c:pt>
                <c:pt idx="23">
                  <c:v>10784.337037671154</c:v>
                </c:pt>
                <c:pt idx="24">
                  <c:v>10473.619697117274</c:v>
                </c:pt>
                <c:pt idx="25">
                  <c:v>9387.7812614213999</c:v>
                </c:pt>
                <c:pt idx="26">
                  <c:v>8604.4943560027714</c:v>
                </c:pt>
                <c:pt idx="27">
                  <c:v>7836.2155245021704</c:v>
                </c:pt>
                <c:pt idx="28">
                  <c:v>7139.6248607139933</c:v>
                </c:pt>
                <c:pt idx="29">
                  <c:v>6535.4291297606615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74360"/>
        <c:axId val="386174752"/>
      </c:scatterChart>
      <c:valAx>
        <c:axId val="38617436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174752"/>
        <c:crosses val="autoZero"/>
        <c:crossBetween val="midCat"/>
      </c:valAx>
      <c:valAx>
        <c:axId val="386174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1743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75928"/>
        <c:axId val="386317184"/>
      </c:scatterChart>
      <c:valAx>
        <c:axId val="38617592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317184"/>
        <c:crosses val="autoZero"/>
        <c:crossBetween val="midCat"/>
      </c:valAx>
      <c:valAx>
        <c:axId val="386317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17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(2)'!$B$26:$AE$26</c:f>
              <c:numCache>
                <c:formatCode>0</c:formatCode>
                <c:ptCount val="30"/>
                <c:pt idx="0">
                  <c:v>6.3562474568332696</c:v>
                </c:pt>
                <c:pt idx="1">
                  <c:v>8.2576137470736608</c:v>
                </c:pt>
                <c:pt idx="2">
                  <c:v>15.145894462333899</c:v>
                </c:pt>
                <c:pt idx="3">
                  <c:v>17.762828574294598</c:v>
                </c:pt>
                <c:pt idx="4">
                  <c:v>25.4803319724424</c:v>
                </c:pt>
                <c:pt idx="5">
                  <c:v>38.5383789019969</c:v>
                </c:pt>
                <c:pt idx="6">
                  <c:v>58.838957605877503</c:v>
                </c:pt>
                <c:pt idx="7">
                  <c:v>93.931345898751104</c:v>
                </c:pt>
                <c:pt idx="8">
                  <c:v>153.35532961092599</c:v>
                </c:pt>
                <c:pt idx="9">
                  <c:v>265.82215083353299</c:v>
                </c:pt>
                <c:pt idx="10">
                  <c:v>448.21568918375402</c:v>
                </c:pt>
                <c:pt idx="11">
                  <c:v>720.80225369801599</c:v>
                </c:pt>
                <c:pt idx="12">
                  <c:v>1661.26666513186</c:v>
                </c:pt>
                <c:pt idx="13">
                  <c:v>3006.2810612365201</c:v>
                </c:pt>
                <c:pt idx="14">
                  <c:v>4793.6055598870998</c:v>
                </c:pt>
                <c:pt idx="15">
                  <c:v>6566.2278637597301</c:v>
                </c:pt>
                <c:pt idx="16">
                  <c:v>8180.2472309717396</c:v>
                </c:pt>
                <c:pt idx="17">
                  <c:v>9401.4534352013106</c:v>
                </c:pt>
                <c:pt idx="18">
                  <c:v>10382.8796156058</c:v>
                </c:pt>
                <c:pt idx="19">
                  <c:v>10952.2766728562</c:v>
                </c:pt>
                <c:pt idx="20">
                  <c:v>11162.977763122901</c:v>
                </c:pt>
                <c:pt idx="21">
                  <c:v>11119.664849524799</c:v>
                </c:pt>
                <c:pt idx="22">
                  <c:v>10811.5795992853</c:v>
                </c:pt>
                <c:pt idx="23">
                  <c:v>10274.2199839348</c:v>
                </c:pt>
                <c:pt idx="24">
                  <c:v>9626.8493894129697</c:v>
                </c:pt>
                <c:pt idx="25">
                  <c:v>7529.8995609210797</c:v>
                </c:pt>
                <c:pt idx="26">
                  <c:v>6161.2260611587699</c:v>
                </c:pt>
                <c:pt idx="27">
                  <c:v>4990.1510413310798</c:v>
                </c:pt>
                <c:pt idx="28">
                  <c:v>4056.63634259019</c:v>
                </c:pt>
                <c:pt idx="29">
                  <c:v>3323.2985633717399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'FT240-52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(2)'!$B$28:$AE$28</c:f>
              <c:numCache>
                <c:formatCode>0</c:formatCode>
                <c:ptCount val="30"/>
                <c:pt idx="0">
                  <c:v>564.33658575014044</c:v>
                </c:pt>
                <c:pt idx="1">
                  <c:v>679.29804399581792</c:v>
                </c:pt>
                <c:pt idx="2">
                  <c:v>1026.8037029476966</c:v>
                </c:pt>
                <c:pt idx="3">
                  <c:v>1141.9333900544127</c:v>
                </c:pt>
                <c:pt idx="4">
                  <c:v>1432.8287125763588</c:v>
                </c:pt>
                <c:pt idx="5">
                  <c:v>1740.4994654155046</c:v>
                </c:pt>
                <c:pt idx="6">
                  <c:v>2113.763018773378</c:v>
                </c:pt>
                <c:pt idx="7">
                  <c:v>2517.6806226088188</c:v>
                </c:pt>
                <c:pt idx="8">
                  <c:v>2973.8872873853697</c:v>
                </c:pt>
                <c:pt idx="9">
                  <c:v>3468.5694035225888</c:v>
                </c:pt>
                <c:pt idx="10">
                  <c:v>3962.293450077852</c:v>
                </c:pt>
                <c:pt idx="11">
                  <c:v>4534.9893543230291</c:v>
                </c:pt>
                <c:pt idx="12">
                  <c:v>5759.3122751031906</c:v>
                </c:pt>
                <c:pt idx="13">
                  <c:v>7027.9910571906621</c:v>
                </c:pt>
                <c:pt idx="14">
                  <c:v>8119.9389228245373</c:v>
                </c:pt>
                <c:pt idx="15">
                  <c:v>9251.067704830275</c:v>
                </c:pt>
                <c:pt idx="16">
                  <c:v>9914.7529086060349</c:v>
                </c:pt>
                <c:pt idx="17">
                  <c:v>10451.928143589583</c:v>
                </c:pt>
                <c:pt idx="18">
                  <c:v>10876.437351019831</c:v>
                </c:pt>
                <c:pt idx="19">
                  <c:v>11092.743325421028</c:v>
                </c:pt>
                <c:pt idx="20">
                  <c:v>11170.892051533589</c:v>
                </c:pt>
                <c:pt idx="21">
                  <c:v>11152.961613823383</c:v>
                </c:pt>
                <c:pt idx="22">
                  <c:v>11025.544929617668</c:v>
                </c:pt>
                <c:pt idx="23">
                  <c:v>10784.337037671154</c:v>
                </c:pt>
                <c:pt idx="24">
                  <c:v>10473.619697117274</c:v>
                </c:pt>
                <c:pt idx="25">
                  <c:v>9387.7812614213999</c:v>
                </c:pt>
                <c:pt idx="26">
                  <c:v>8604.4943560027714</c:v>
                </c:pt>
                <c:pt idx="27">
                  <c:v>7836.2155245021704</c:v>
                </c:pt>
                <c:pt idx="28">
                  <c:v>7139.6248607139933</c:v>
                </c:pt>
                <c:pt idx="29">
                  <c:v>6535.4291297606615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317968"/>
        <c:axId val="386318360"/>
      </c:scatterChart>
      <c:valAx>
        <c:axId val="38631796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318360"/>
        <c:crosses val="autoZero"/>
        <c:crossBetween val="midCat"/>
      </c:valAx>
      <c:valAx>
        <c:axId val="386318360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317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</xdr:row>
      <xdr:rowOff>85725</xdr:rowOff>
    </xdr:from>
    <xdr:to>
      <xdr:col>17</xdr:col>
      <xdr:colOff>400050</xdr:colOff>
      <xdr:row>27</xdr:row>
      <xdr:rowOff>142875</xdr:rowOff>
    </xdr:to>
    <xdr:graphicFrame macro="">
      <xdr:nvGraphicFramePr>
        <xdr:cNvPr id="103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103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552450</xdr:colOff>
      <xdr:row>2</xdr:row>
      <xdr:rowOff>152400</xdr:rowOff>
    </xdr:from>
    <xdr:to>
      <xdr:col>13</xdr:col>
      <xdr:colOff>152400</xdr:colOff>
      <xdr:row>29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0</xdr:rowOff>
    </xdr:from>
    <xdr:to>
      <xdr:col>17</xdr:col>
      <xdr:colOff>352425</xdr:colOff>
      <xdr:row>28</xdr:row>
      <xdr:rowOff>57150</xdr:rowOff>
    </xdr:to>
    <xdr:graphicFrame macro="">
      <xdr:nvGraphicFramePr>
        <xdr:cNvPr id="615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615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0</xdr:rowOff>
    </xdr:from>
    <xdr:to>
      <xdr:col>17</xdr:col>
      <xdr:colOff>352425</xdr:colOff>
      <xdr:row>28</xdr:row>
      <xdr:rowOff>57150</xdr:rowOff>
    </xdr:to>
    <xdr:graphicFrame macro="">
      <xdr:nvGraphicFramePr>
        <xdr:cNvPr id="717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717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0</xdr:rowOff>
    </xdr:from>
    <xdr:to>
      <xdr:col>17</xdr:col>
      <xdr:colOff>352425</xdr:colOff>
      <xdr:row>28</xdr:row>
      <xdr:rowOff>57150</xdr:rowOff>
    </xdr:to>
    <xdr:graphicFrame macro="">
      <xdr:nvGraphicFramePr>
        <xdr:cNvPr id="26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2662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7</xdr:row>
      <xdr:rowOff>0</xdr:rowOff>
    </xdr:from>
    <xdr:to>
      <xdr:col>12</xdr:col>
      <xdr:colOff>209550</xdr:colOff>
      <xdr:row>33</xdr:row>
      <xdr:rowOff>57150</xdr:rowOff>
    </xdr:to>
    <xdr:graphicFrame macro="">
      <xdr:nvGraphicFramePr>
        <xdr:cNvPr id="266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abSelected="1" topLeftCell="A4" workbookViewId="0">
      <selection activeCell="A33" sqref="A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340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4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2.5849024353736822E-4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csinterpolate(CSTableU2,'FT240-52'!B18*1000000)</f>
        <v>3.0499000000000001</v>
      </c>
      <c r="C19" s="7">
        <f>csinterpolate(CSTableU2,'FT240-52'!C18*1000000)</f>
        <v>3.2904831190109389</v>
      </c>
      <c r="D19" s="7">
        <f>csinterpolate(CSTableU2,'FT240-52'!D18*1000000)</f>
        <v>3.967018516752479</v>
      </c>
      <c r="E19" s="7">
        <f>csinterpolate(CSTableU2,'FT240-52'!E18*1000000)</f>
        <v>4.1624213685595173</v>
      </c>
      <c r="F19" s="7">
        <f>csinterpolate(CSTableU2,'FT240-52'!F18*1000000)</f>
        <v>4.6934474029834936</v>
      </c>
      <c r="G19" s="7">
        <f>csinterpolate(CSTableU2,'FT240-52'!G18*1000000)</f>
        <v>5.7869745969032644</v>
      </c>
      <c r="H19" s="7">
        <f>csinterpolate(CSTableU2,'FT240-52'!H18*1000000)</f>
        <v>7.3580620226877942</v>
      </c>
      <c r="I19" s="7">
        <f>csinterpolate(CSTableU2,'FT240-52'!I18*1000000)</f>
        <v>9.926754908090583</v>
      </c>
      <c r="J19" s="7">
        <f>csinterpolate(CSTableU2,'FT240-52'!J18*1000000)</f>
        <v>13.81033892745144</v>
      </c>
      <c r="K19" s="7">
        <f>csinterpolate(CSTableU2,'FT240-52'!K18*1000000)</f>
        <v>20.511611514548019</v>
      </c>
      <c r="L19" s="7">
        <f>csinterpolate(CSTableU2,'FT240-52'!L18*1000000)</f>
        <v>29.809955391832062</v>
      </c>
      <c r="M19" s="7">
        <f>csinterpolate(CSTableU2,'FT240-52'!M18*1000000)</f>
        <v>41.297758756922754</v>
      </c>
      <c r="N19" s="7">
        <f>csinterpolate(CSTableU2,'FT240-52'!N18*1000000)</f>
        <v>71.227829783683418</v>
      </c>
      <c r="O19" s="7">
        <f>csinterpolate(CSTableU2,'FT240-52'!O18*1000000)</f>
        <v>98.042432892117944</v>
      </c>
      <c r="P19" s="7">
        <f>csinterpolate(CSTableU2,'FT240-52'!P18*1000000)</f>
        <v>124.39851411420072</v>
      </c>
      <c r="Q19" s="7">
        <f>csinterpolate(CSTableU2,'FT240-52'!Q18*1000000)</f>
        <v>137.48080431574027</v>
      </c>
      <c r="R19" s="7">
        <f>csinterpolate(CSTableU2,'FT240-52'!R18*1000000)</f>
        <v>148.59943423102928</v>
      </c>
      <c r="S19" s="7">
        <f>csinterpolate(CSTableU2,'FT240-52'!S18*1000000)</f>
        <v>151.00249371940657</v>
      </c>
      <c r="T19" s="7">
        <f>csinterpolate(CSTableU2,'FT240-52'!T18*1000000)</f>
        <v>152.23128862750124</v>
      </c>
      <c r="U19" s="7">
        <f>csinterpolate(CSTableU2,'FT240-52'!U18*1000000)</f>
        <v>151.77044049308</v>
      </c>
      <c r="V19" s="7">
        <f>csinterpolate(CSTableU2,'FT240-52'!V18*1000000)</f>
        <v>148.19510684679508</v>
      </c>
      <c r="W19" s="7">
        <f>csinterpolate(CSTableU2,'FT240-52'!W18*1000000)</f>
        <v>144.19751813493576</v>
      </c>
      <c r="X19" s="7">
        <f>csinterpolate(CSTableU2,'FT240-52'!X18*1000000)</f>
        <v>141.70879370829715</v>
      </c>
      <c r="Y19" s="7">
        <f>csinterpolate(CSTableU2,'FT240-52'!Y18*1000000)</f>
        <v>139.08719283420325</v>
      </c>
      <c r="Z19" s="7">
        <f>csinterpolate(CSTableU2,'FT240-52'!Z18*1000000)</f>
        <v>135.50786137417444</v>
      </c>
      <c r="AA19" s="7">
        <f>csinterpolate(CSTableU2,'FT240-52'!AA18*1000000)</f>
        <v>124.19703145370912</v>
      </c>
      <c r="AB19" s="7">
        <f>csinterpolate(CSTableU2,'FT240-52'!AB18*1000000)</f>
        <v>118.85411849931367</v>
      </c>
      <c r="AC19" s="7">
        <f>csinterpolate(CSTableU2,'FT240-52'!AC18*1000000)</f>
        <v>114.37628656816462</v>
      </c>
      <c r="AD19" s="7">
        <f>csinterpolate(CSTableU2,'FT240-52'!AD18*1000000)</f>
        <v>110.32031789018907</v>
      </c>
      <c r="AE19" s="7">
        <f>csinterpolate(CSTableU2,'FT240-52'!AE18*1000000)</f>
        <v>106.57469008666072</v>
      </c>
    </row>
    <row r="20" spans="1:31" x14ac:dyDescent="0.2">
      <c r="A20" t="s">
        <v>3</v>
      </c>
      <c r="B20" s="7">
        <f>csinterpolate(CSTableU1,'FT240-52'!B18*1000000)</f>
        <v>271.82299999999998</v>
      </c>
      <c r="C20" s="7">
        <f>csinterpolate(CSTableU1,'FT240-52'!C18*1000000)</f>
        <v>272.19082946678634</v>
      </c>
      <c r="D20" s="7">
        <f>csinterpolate(CSTableU1,'FT240-52'!D18*1000000)</f>
        <v>272.34705648423068</v>
      </c>
      <c r="E20" s="7">
        <f>csinterpolate(CSTableU1,'FT240-52'!E18*1000000)</f>
        <v>271.78453117064919</v>
      </c>
      <c r="F20" s="7">
        <f>csinterpolate(CSTableU1,'FT240-52'!F18*1000000)</f>
        <v>270.41777375176463</v>
      </c>
      <c r="G20" s="7">
        <f>csinterpolate(CSTableU1,'FT240-52'!G18*1000000)</f>
        <v>270.72356701062466</v>
      </c>
      <c r="H20" s="7">
        <f>csinterpolate(CSTableU1,'FT240-52'!H18*1000000)</f>
        <v>277.74873858288925</v>
      </c>
      <c r="I20" s="7">
        <f>csinterpolate(CSTableU1,'FT240-52'!I18*1000000)</f>
        <v>284.40522241788904</v>
      </c>
      <c r="J20" s="7">
        <f>csinterpolate(CSTableU1,'FT240-52'!J18*1000000)</f>
        <v>292.22641370148841</v>
      </c>
      <c r="K20" s="7">
        <f>csinterpolate(CSTableU1,'FT240-52'!K18*1000000)</f>
        <v>298.93908294056735</v>
      </c>
      <c r="L20" s="7">
        <f>csinterpolate(CSTableU1,'FT240-52'!L18*1000000)</f>
        <v>301.5249441802431</v>
      </c>
      <c r="M20" s="7">
        <f>csinterpolate(CSTableU1,'FT240-52'!M18*1000000)</f>
        <v>305.38916179553797</v>
      </c>
      <c r="N20" s="7">
        <f>csinterpolate(CSTableU1,'FT240-52'!N18*1000000)</f>
        <v>305.24355321471819</v>
      </c>
      <c r="O20" s="7">
        <f>csinterpolate(CSTableU1,'FT240-52'!O18*1000000)</f>
        <v>296.23832150305083</v>
      </c>
      <c r="P20" s="7">
        <f>csinterpolate(CSTableU1,'FT240-52'!P18*1000000)</f>
        <v>276.51437232303493</v>
      </c>
      <c r="Q20" s="7">
        <f>csinterpolate(CSTableU1,'FT240-52'!Q18*1000000)</f>
        <v>260.28916563413679</v>
      </c>
      <c r="R20" s="7">
        <f>csinterpolate(CSTableU1,'FT240-52'!R18*1000000)</f>
        <v>237.53203498823027</v>
      </c>
      <c r="S20" s="7">
        <f>csinterpolate(CSTableU1,'FT240-52'!S18*1000000)</f>
        <v>218.87421660185237</v>
      </c>
      <c r="T20" s="7">
        <f>csinterpolate(CSTableU1,'FT240-52'!T18*1000000)</f>
        <v>203.33172189960433</v>
      </c>
      <c r="U20" s="7">
        <f>csinterpolate(CSTableU1,'FT240-52'!U18*1000000)</f>
        <v>189.37650548986889</v>
      </c>
      <c r="V20" s="7">
        <f>csinterpolate(CSTableU1,'FT240-52'!V18*1000000)</f>
        <v>177.33002992245264</v>
      </c>
      <c r="W20" s="7">
        <f>csinterpolate(CSTableU1,'FT240-52'!W18*1000000)</f>
        <v>167.20965609439202</v>
      </c>
      <c r="X20" s="7">
        <f>csinterpolate(CSTableU1,'FT240-52'!X18*1000000)</f>
        <v>158.87810019508268</v>
      </c>
      <c r="Y20" s="7">
        <f>csinterpolate(CSTableU1,'FT240-52'!Y18*1000000)</f>
        <v>151.50124323103856</v>
      </c>
      <c r="Z20" s="7">
        <f>csinterpolate(CSTableU1,'FT240-52'!Z18*1000000)</f>
        <v>144.69637942438118</v>
      </c>
      <c r="AA20" s="7">
        <f>csinterpolate(CSTableU1,'FT240-52'!AA18*1000000)</f>
        <v>128.55578016848358</v>
      </c>
      <c r="AB20" s="7">
        <f>csinterpolate(CSTableU1,'FT240-52'!AB18*1000000)</f>
        <v>121.04195811736874</v>
      </c>
      <c r="AC20" s="7">
        <f>csinterpolate(CSTableU1,'FT240-52'!AC18*1000000)</f>
        <v>114.435694181161</v>
      </c>
      <c r="AD20" s="7">
        <f>csinterpolate(CSTableU1,'FT240-52'!AD18*1000000)</f>
        <v>108.49306247968192</v>
      </c>
      <c r="AE20" s="7">
        <f>csinterpolate(CSTableU1,'FT240-52'!AE18*1000000)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3.1534775750584774</v>
      </c>
      <c r="C21" s="5">
        <f t="shared" si="1"/>
        <v>4.0826773573859354</v>
      </c>
      <c r="D21" s="5">
        <f t="shared" si="1"/>
        <v>7.3831361940907021</v>
      </c>
      <c r="E21" s="5">
        <f t="shared" si="1"/>
        <v>8.6075625061127621</v>
      </c>
      <c r="F21" s="5">
        <f t="shared" si="1"/>
        <v>12.132103622270318</v>
      </c>
      <c r="G21" s="5">
        <f t="shared" si="1"/>
        <v>17.950517674777057</v>
      </c>
      <c r="H21" s="5">
        <f t="shared" si="1"/>
        <v>26.627821418906791</v>
      </c>
      <c r="I21" s="5">
        <f t="shared" si="1"/>
        <v>41.0555086996496</v>
      </c>
      <c r="J21" s="5">
        <f t="shared" si="1"/>
        <v>64.257081708429354</v>
      </c>
      <c r="K21" s="5">
        <f t="shared" si="1"/>
        <v>106.04102911478806</v>
      </c>
      <c r="L21" s="5">
        <f t="shared" si="1"/>
        <v>169.52281783960055</v>
      </c>
      <c r="M21" s="5">
        <f t="shared" si="1"/>
        <v>256.20162524698662</v>
      </c>
      <c r="N21" s="5">
        <f t="shared" si="1"/>
        <v>515.52757388783107</v>
      </c>
      <c r="O21" s="5">
        <f t="shared" si="1"/>
        <v>810.97639536894872</v>
      </c>
      <c r="P21" s="5">
        <f t="shared" si="1"/>
        <v>1157.6088795263934</v>
      </c>
      <c r="Q21" s="5">
        <f t="shared" si="1"/>
        <v>1421.4978635715588</v>
      </c>
      <c r="R21" s="5">
        <f t="shared" si="1"/>
        <v>1690.1061735313313</v>
      </c>
      <c r="S21" s="5">
        <f t="shared" si="1"/>
        <v>1873.5682260614074</v>
      </c>
      <c r="T21" s="5">
        <f t="shared" si="1"/>
        <v>2046.21574930917</v>
      </c>
      <c r="U21" s="5">
        <f t="shared" si="1"/>
        <v>2196.945974990474</v>
      </c>
      <c r="V21" s="5">
        <f t="shared" si="1"/>
        <v>2298.4193555924621</v>
      </c>
      <c r="W21" s="5">
        <f t="shared" si="1"/>
        <v>2385.5137011317515</v>
      </c>
      <c r="X21" s="5">
        <f t="shared" si="1"/>
        <v>2490.8631605990195</v>
      </c>
      <c r="Y21" s="5">
        <f t="shared" si="1"/>
        <v>2588.5931291022312</v>
      </c>
      <c r="Z21" s="5">
        <f t="shared" si="1"/>
        <v>2662.0869666757098</v>
      </c>
      <c r="AA21" s="5">
        <f t="shared" si="1"/>
        <v>2825.127439823696</v>
      </c>
      <c r="AB21" s="5">
        <f t="shared" si="1"/>
        <v>2949.3724834854538</v>
      </c>
      <c r="AC21" s="5">
        <f t="shared" si="1"/>
        <v>3074.7760336700876</v>
      </c>
      <c r="AD21" s="5">
        <f t="shared" si="1"/>
        <v>3193.8732939181436</v>
      </c>
      <c r="AE21" s="5">
        <f t="shared" si="1"/>
        <v>3305.8221114504568</v>
      </c>
    </row>
    <row r="22" spans="1:31" x14ac:dyDescent="0.2">
      <c r="A22" t="s">
        <v>11</v>
      </c>
      <c r="B22" s="5">
        <f t="shared" ref="B22:AE22" si="2">B20/$B$13*$B$16*B18*1000000</f>
        <v>281.05437387623215</v>
      </c>
      <c r="C22" s="5">
        <f t="shared" si="2"/>
        <v>337.72163422803771</v>
      </c>
      <c r="D22" s="5">
        <f t="shared" si="2"/>
        <v>506.87321009251804</v>
      </c>
      <c r="E22" s="5">
        <f t="shared" si="2"/>
        <v>562.02919721592446</v>
      </c>
      <c r="F22" s="5">
        <f t="shared" si="2"/>
        <v>699.00356193926575</v>
      </c>
      <c r="G22" s="5">
        <f t="shared" si="2"/>
        <v>839.7528092145767</v>
      </c>
      <c r="H22" s="5">
        <f t="shared" si="2"/>
        <v>1005.1347470988301</v>
      </c>
      <c r="I22" s="5">
        <f t="shared" si="2"/>
        <v>1176.2556032975922</v>
      </c>
      <c r="J22" s="5">
        <f t="shared" si="2"/>
        <v>1359.6781832234901</v>
      </c>
      <c r="K22" s="5">
        <f t="shared" si="2"/>
        <v>1545.4567270428956</v>
      </c>
      <c r="L22" s="5">
        <f t="shared" si="2"/>
        <v>1714.7076375823328</v>
      </c>
      <c r="M22" s="5">
        <f t="shared" si="2"/>
        <v>1894.5628513488327</v>
      </c>
      <c r="N22" s="5">
        <f t="shared" si="2"/>
        <v>2209.269451443155</v>
      </c>
      <c r="O22" s="5">
        <f t="shared" si="2"/>
        <v>2450.3909078535939</v>
      </c>
      <c r="P22" s="5">
        <f t="shared" si="2"/>
        <v>2573.1456279610975</v>
      </c>
      <c r="Q22" s="5">
        <f t="shared" si="2"/>
        <v>2691.288392596256</v>
      </c>
      <c r="R22" s="5">
        <f t="shared" si="2"/>
        <v>2701.58739716951</v>
      </c>
      <c r="S22" s="5">
        <f t="shared" si="2"/>
        <v>2715.6887785662479</v>
      </c>
      <c r="T22" s="5">
        <f t="shared" si="2"/>
        <v>2733.0818482604595</v>
      </c>
      <c r="U22" s="5">
        <f t="shared" si="2"/>
        <v>2741.3108253625896</v>
      </c>
      <c r="V22" s="5">
        <f t="shared" si="2"/>
        <v>2750.2849572686146</v>
      </c>
      <c r="W22" s="5">
        <f t="shared" si="2"/>
        <v>2766.2121424408947</v>
      </c>
      <c r="X22" s="5">
        <f t="shared" si="2"/>
        <v>2792.6538392283292</v>
      </c>
      <c r="Y22" s="5">
        <f t="shared" si="2"/>
        <v>2819.6347146483754</v>
      </c>
      <c r="Z22" s="5">
        <f t="shared" si="2"/>
        <v>2842.5977790851634</v>
      </c>
      <c r="AA22" s="5">
        <f t="shared" si="2"/>
        <v>2924.2765133021167</v>
      </c>
      <c r="AB22" s="5">
        <f t="shared" si="2"/>
        <v>3003.6638622718624</v>
      </c>
      <c r="AC22" s="5">
        <f t="shared" si="2"/>
        <v>3076.3730876586342</v>
      </c>
      <c r="AD22" s="5">
        <f t="shared" si="2"/>
        <v>3140.9725919586431</v>
      </c>
      <c r="AE22" s="5">
        <f t="shared" si="2"/>
        <v>3211.7209307348326</v>
      </c>
    </row>
    <row r="23" spans="1:31" x14ac:dyDescent="0.2">
      <c r="A23" t="s">
        <v>12</v>
      </c>
      <c r="B23" s="5" t="str">
        <f t="shared" ref="B23:AE23" si="3">IMDIV(1,COMPLEX(B21,B22))</f>
        <v>0.0000399166769705046-0.00355758250570624i</v>
      </c>
      <c r="C23" s="5" t="str">
        <f t="shared" si="3"/>
        <v>0.0000357901758521305-0.0029605858166146i</v>
      </c>
      <c r="D23" s="5" t="str">
        <f t="shared" si="3"/>
        <v>0.0000287309555067174-0.00197246146676408i</v>
      </c>
      <c r="E23" s="5" t="str">
        <f t="shared" si="3"/>
        <v>0.0000272433541740462-0.00177884975741211i</v>
      </c>
      <c r="F23" s="5" t="str">
        <f t="shared" si="3"/>
        <v>0.0000248225575361119-0.00143017704714738i</v>
      </c>
      <c r="G23" s="5" t="str">
        <f t="shared" si="3"/>
        <v>0.0000254434295227731-0.00119028274308903i</v>
      </c>
      <c r="H23" s="5" t="str">
        <f t="shared" si="3"/>
        <v>0.0000263379746235631-0.000994193743674182i</v>
      </c>
      <c r="I23" s="5" t="str">
        <f t="shared" si="3"/>
        <v>0.000029637342984169-0.000849120906210543i</v>
      </c>
      <c r="J23" s="5" t="str">
        <f t="shared" si="3"/>
        <v>0.000034680061632786-0.000733829205143615i</v>
      </c>
      <c r="K23" s="5" t="str">
        <f t="shared" si="3"/>
        <v>0.0000441896320790221-0.000644025852372189i</v>
      </c>
      <c r="L23" s="5" t="str">
        <f t="shared" si="3"/>
        <v>0.000057098378734839-0.000577544824690412i</v>
      </c>
      <c r="M23" s="5" t="str">
        <f t="shared" si="3"/>
        <v>0.0000700960567923037-0.000518347161524488i</v>
      </c>
      <c r="N23" s="5" t="str">
        <f t="shared" si="3"/>
        <v>0.000100167790054159-0.000429264407558877i</v>
      </c>
      <c r="O23" s="5" t="str">
        <f t="shared" si="3"/>
        <v>0.000121729875034463-0.000367810679450044i</v>
      </c>
      <c r="P23" s="5" t="str">
        <f t="shared" si="3"/>
        <v>0.000145407486045936-0.00032321334399663i</v>
      </c>
      <c r="Q23" s="5" t="str">
        <f t="shared" si="3"/>
        <v>0.000153448351298647-0.000290520145894186i</v>
      </c>
      <c r="R23" s="5" t="str">
        <f t="shared" si="3"/>
        <v>0.000166430391368816-0.000266034320724673i</v>
      </c>
      <c r="S23" s="5" t="str">
        <f t="shared" si="3"/>
        <v>0.000172120327748328-0.000249483971881768i</v>
      </c>
      <c r="T23" s="5" t="str">
        <f t="shared" si="3"/>
        <v>0.000175539351268174-0.000234463748394292i</v>
      </c>
      <c r="U23" s="5" t="str">
        <f t="shared" si="3"/>
        <v>0.000178014948908964-0.000222123944819639i</v>
      </c>
      <c r="V23" s="5" t="str">
        <f t="shared" si="3"/>
        <v>0.000178909888525601-0.000214083288987849i</v>
      </c>
      <c r="W23" s="5" t="str">
        <f t="shared" si="3"/>
        <v>0.000178789198890859-0.000207321740669331i</v>
      </c>
      <c r="X23" s="5" t="str">
        <f t="shared" si="3"/>
        <v>0.000177876681697437-0.000199428056068757i</v>
      </c>
      <c r="Y23" s="5" t="str">
        <f t="shared" si="3"/>
        <v>0.000176681855501784-0.000192451369672798i</v>
      </c>
      <c r="Z23" s="5" t="str">
        <f t="shared" si="3"/>
        <v>0.000175517559788997-0.000187419055760483i</v>
      </c>
      <c r="AA23" s="5" t="str">
        <f t="shared" si="3"/>
        <v>0.0001708807947899-0.000176877930437604i</v>
      </c>
      <c r="AB23" s="5" t="str">
        <f t="shared" si="3"/>
        <v>0.000166435678690488-0.000169499388861365i</v>
      </c>
      <c r="AC23" s="5" t="str">
        <f t="shared" si="3"/>
        <v>0.000162529029588599-0.000162613447976187i</v>
      </c>
      <c r="AD23" s="5" t="str">
        <f t="shared" si="3"/>
        <v>0.000159164161810724-0.000156527896964959i</v>
      </c>
      <c r="AE23" s="5" t="str">
        <f t="shared" si="3"/>
        <v>0.000155614885109581-0.000151185262482575i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0.0000251327412287183i</v>
      </c>
      <c r="C24" s="6" t="str">
        <f t="shared" si="4"/>
        <v>0.000030159289474462i</v>
      </c>
      <c r="D24" s="6" t="str">
        <f t="shared" si="4"/>
        <v>0.000045238934211693i</v>
      </c>
      <c r="E24" s="6" t="str">
        <f t="shared" si="4"/>
        <v>0.0000502654824574367i</v>
      </c>
      <c r="F24" s="6" t="str">
        <f t="shared" si="4"/>
        <v>0.0000628318530717959i</v>
      </c>
      <c r="G24" s="6" t="str">
        <f t="shared" si="4"/>
        <v>0.000075398223686155i</v>
      </c>
      <c r="H24" s="6" t="str">
        <f t="shared" si="4"/>
        <v>0.0000879645943005142i</v>
      </c>
      <c r="I24" s="6" t="str">
        <f t="shared" si="4"/>
        <v>0.000100530964914873i</v>
      </c>
      <c r="J24" s="6" t="str">
        <f t="shared" si="4"/>
        <v>0.000113097335529233i</v>
      </c>
      <c r="K24" s="6" t="str">
        <f t="shared" si="4"/>
        <v>0.000125663706143592i</v>
      </c>
      <c r="L24" s="6" t="str">
        <f t="shared" si="4"/>
        <v>0.000138230076757951i</v>
      </c>
      <c r="M24" s="6" t="str">
        <f t="shared" si="4"/>
        <v>0.00015079644737231i</v>
      </c>
      <c r="N24" s="6" t="str">
        <f t="shared" si="4"/>
        <v>0.000175929188601028i</v>
      </c>
      <c r="O24" s="6" t="str">
        <f t="shared" si="4"/>
        <v>0.000201061929829747i</v>
      </c>
      <c r="P24" s="6" t="str">
        <f t="shared" si="4"/>
        <v>0.000226194671058465i</v>
      </c>
      <c r="Q24" s="6" t="str">
        <f t="shared" si="4"/>
        <v>0.000251327412287183i</v>
      </c>
      <c r="R24" s="6" t="str">
        <f t="shared" si="4"/>
        <v>0.000276460153515902i</v>
      </c>
      <c r="S24" s="6" t="str">
        <f t="shared" si="4"/>
        <v>0.00030159289474462i</v>
      </c>
      <c r="T24" s="6" t="str">
        <f t="shared" si="4"/>
        <v>0.000326725635973338i</v>
      </c>
      <c r="U24" s="6" t="str">
        <f t="shared" si="4"/>
        <v>0.000351858377202057i</v>
      </c>
      <c r="V24" s="6" t="str">
        <f t="shared" si="4"/>
        <v>0.000376991118430775i</v>
      </c>
      <c r="W24" s="6" t="str">
        <f t="shared" si="4"/>
        <v>0.000402123859659493i</v>
      </c>
      <c r="X24" s="6" t="str">
        <f t="shared" si="4"/>
        <v>0.000427256600888212i</v>
      </c>
      <c r="Y24" s="6" t="str">
        <f t="shared" si="4"/>
        <v>0.00045238934211693i</v>
      </c>
      <c r="Z24" s="6" t="str">
        <f t="shared" si="4"/>
        <v>0.000477522083345648i</v>
      </c>
      <c r="AA24" s="6" t="str">
        <f t="shared" si="4"/>
        <v>0.000552920307031803i</v>
      </c>
      <c r="AB24" s="6" t="str">
        <f t="shared" si="4"/>
        <v>0.00060318578948924i</v>
      </c>
      <c r="AC24" s="6" t="str">
        <f t="shared" si="4"/>
        <v>0.000653451271946677i</v>
      </c>
      <c r="AD24" s="6" t="str">
        <f t="shared" si="4"/>
        <v>0.000703716754404114i</v>
      </c>
      <c r="AE24" s="6" t="str">
        <f t="shared" si="4"/>
        <v>0.00075398223686155i</v>
      </c>
    </row>
    <row r="25" spans="1:31" x14ac:dyDescent="0.2">
      <c r="A25" t="s">
        <v>14</v>
      </c>
      <c r="B25" s="6" t="str">
        <f t="shared" ref="B25:AE25" si="5">IMDIV(1,IMSUM(B23,B24))</f>
        <v>3.19850430196337+283.053516115573i</v>
      </c>
      <c r="C25" s="6" t="str">
        <f t="shared" si="5"/>
        <v>4.16713319004085+341.196357700905i</v>
      </c>
      <c r="D25" s="6" t="str">
        <f t="shared" si="5"/>
        <v>7.73374467874448+518.766144147163i</v>
      </c>
      <c r="E25" s="6" t="str">
        <f t="shared" si="5"/>
        <v>9.1153132564189+578.364435438802i</v>
      </c>
      <c r="F25" s="6" t="str">
        <f t="shared" si="5"/>
        <v>13.2723273835957+731.103273131939i</v>
      </c>
      <c r="G25" s="6" t="str">
        <f t="shared" si="5"/>
        <v>20.4592517724541+896.486971587657i</v>
      </c>
      <c r="H25" s="6" t="str">
        <f t="shared" si="5"/>
        <v>32.0434772432234+1102.54237617503i</v>
      </c>
      <c r="I25" s="6" t="str">
        <f t="shared" si="5"/>
        <v>52.8045194428025+1333.75424817765i</v>
      </c>
      <c r="J25" s="6" t="str">
        <f t="shared" si="5"/>
        <v>89.7259925604006+1605.98858516358i</v>
      </c>
      <c r="K25" s="6" t="str">
        <f t="shared" si="5"/>
        <v>163.271011623136+1915.23459282343i</v>
      </c>
      <c r="L25" s="6" t="str">
        <f t="shared" si="5"/>
        <v>290.9357783414+2238.45897131578i</v>
      </c>
      <c r="M25" s="6" t="str">
        <f t="shared" si="5"/>
        <v>500.661141776113+2625.23127018836i</v>
      </c>
      <c r="N25" s="6" t="str">
        <f t="shared" si="5"/>
        <v>1349.746119784+3413.65451517007i</v>
      </c>
      <c r="O25" s="6" t="str">
        <f t="shared" si="5"/>
        <v>2855.94621382899+3912.14942103556i</v>
      </c>
      <c r="P25" s="6" t="str">
        <f t="shared" si="5"/>
        <v>4758.72748022474+3175.11455262991i</v>
      </c>
      <c r="Q25" s="6" t="str">
        <f t="shared" si="5"/>
        <v>6117.75356902284+1562.55498266874i</v>
      </c>
      <c r="R25" s="6" t="str">
        <f t="shared" si="5"/>
        <v>5985.03125035622-374.925123670567i</v>
      </c>
      <c r="S25" s="6" t="str">
        <f t="shared" si="5"/>
        <v>5322.08880012695-1611.24672711854i</v>
      </c>
      <c r="T25" s="6" t="str">
        <f t="shared" si="5"/>
        <v>4463.66078529586-2346.05953929276i</v>
      </c>
      <c r="U25" s="6" t="str">
        <f t="shared" si="5"/>
        <v>3668.87228398643-2673.81512712159i</v>
      </c>
      <c r="V25" s="6" t="str">
        <f t="shared" si="5"/>
        <v>3055.79656757429-2782.47999674673i</v>
      </c>
      <c r="W25" s="6" t="str">
        <f t="shared" si="5"/>
        <v>2557.29357187418-2786.33278616073i</v>
      </c>
      <c r="X25" s="6" t="str">
        <f t="shared" si="5"/>
        <v>2129.08777731793-2726.98459106807i</v>
      </c>
      <c r="Y25" s="6" t="str">
        <f t="shared" si="5"/>
        <v>1788.56341570587-2631.37120982771i</v>
      </c>
      <c r="Z25" s="6" t="str">
        <f t="shared" si="5"/>
        <v>1526.68862412888-2523.37710581243i</v>
      </c>
      <c r="AA25" s="6" t="str">
        <f t="shared" si="5"/>
        <v>1001.59828134331-2204.12948437004i</v>
      </c>
      <c r="AB25" s="6" t="str">
        <f t="shared" si="5"/>
        <v>771.304249767039-2009.81043549269i</v>
      </c>
      <c r="AC25" s="6" t="str">
        <f t="shared" si="5"/>
        <v>607.954578044229-1836.02340403723i</v>
      </c>
      <c r="AD25" s="6" t="str">
        <f t="shared" si="5"/>
        <v>490.114588592377-1684.95997274215i</v>
      </c>
      <c r="AE25" s="6" t="str">
        <f t="shared" si="5"/>
        <v>401.503717726575-1555.28326276153i</v>
      </c>
    </row>
    <row r="26" spans="1:31" x14ac:dyDescent="0.2">
      <c r="A26" t="s">
        <v>6</v>
      </c>
      <c r="B26" s="5">
        <f t="shared" ref="B26:AE26" si="6">IMREAL(B25)</f>
        <v>3.1985043019633701</v>
      </c>
      <c r="C26" s="5">
        <f t="shared" si="6"/>
        <v>4.1671331900408504</v>
      </c>
      <c r="D26" s="5">
        <f t="shared" si="6"/>
        <v>7.7337446787444799</v>
      </c>
      <c r="E26" s="5">
        <f t="shared" si="6"/>
        <v>9.1153132564189008</v>
      </c>
      <c r="F26" s="5">
        <f t="shared" si="6"/>
        <v>13.2723273835957</v>
      </c>
      <c r="G26" s="5">
        <f t="shared" si="6"/>
        <v>20.459251772454099</v>
      </c>
      <c r="H26" s="5">
        <f t="shared" si="6"/>
        <v>32.0434772432234</v>
      </c>
      <c r="I26" s="5">
        <f t="shared" si="6"/>
        <v>52.804519442802501</v>
      </c>
      <c r="J26" s="5">
        <f t="shared" si="6"/>
        <v>89.725992560400599</v>
      </c>
      <c r="K26" s="5">
        <f t="shared" si="6"/>
        <v>163.27101162313599</v>
      </c>
      <c r="L26" s="5">
        <f t="shared" si="6"/>
        <v>290.93577834140001</v>
      </c>
      <c r="M26" s="5">
        <f t="shared" si="6"/>
        <v>500.66114177611303</v>
      </c>
      <c r="N26" s="5">
        <f t="shared" si="6"/>
        <v>1349.746119784</v>
      </c>
      <c r="O26" s="5">
        <f t="shared" si="6"/>
        <v>2855.94621382899</v>
      </c>
      <c r="P26" s="5">
        <f t="shared" si="6"/>
        <v>4758.7274802247402</v>
      </c>
      <c r="Q26" s="5">
        <f t="shared" si="6"/>
        <v>6117.7535690228397</v>
      </c>
      <c r="R26" s="5">
        <f t="shared" si="6"/>
        <v>5985.03125035622</v>
      </c>
      <c r="S26" s="5">
        <f t="shared" si="6"/>
        <v>5322.0888001269504</v>
      </c>
      <c r="T26" s="5">
        <f t="shared" si="6"/>
        <v>4463.6607852958596</v>
      </c>
      <c r="U26" s="5">
        <f t="shared" si="6"/>
        <v>3668.8722839864299</v>
      </c>
      <c r="V26" s="5">
        <f t="shared" si="6"/>
        <v>3055.7965675742898</v>
      </c>
      <c r="W26" s="5">
        <f t="shared" si="6"/>
        <v>2557.2935718741801</v>
      </c>
      <c r="X26" s="5">
        <f t="shared" si="6"/>
        <v>2129.08777731793</v>
      </c>
      <c r="Y26" s="5">
        <f t="shared" si="6"/>
        <v>1788.5634157058701</v>
      </c>
      <c r="Z26" s="5">
        <f t="shared" si="6"/>
        <v>1526.6886241288801</v>
      </c>
      <c r="AA26" s="5">
        <f t="shared" si="6"/>
        <v>1001.59828134331</v>
      </c>
      <c r="AB26" s="5">
        <f t="shared" si="6"/>
        <v>771.30424976703898</v>
      </c>
      <c r="AC26" s="5">
        <f t="shared" si="6"/>
        <v>607.95457804422904</v>
      </c>
      <c r="AD26" s="5">
        <f t="shared" si="6"/>
        <v>490.114588592377</v>
      </c>
      <c r="AE26" s="5">
        <f t="shared" si="6"/>
        <v>401.50371772657502</v>
      </c>
    </row>
    <row r="27" spans="1:31" x14ac:dyDescent="0.2">
      <c r="A27" t="s">
        <v>7</v>
      </c>
      <c r="B27" s="5">
        <f t="shared" ref="B27:AE27" si="7">IMAGINARY(B25)</f>
        <v>283.05351611557302</v>
      </c>
      <c r="C27" s="5">
        <f t="shared" si="7"/>
        <v>341.19635770090503</v>
      </c>
      <c r="D27" s="5">
        <f t="shared" si="7"/>
        <v>518.766144147163</v>
      </c>
      <c r="E27" s="5">
        <f t="shared" si="7"/>
        <v>578.36443543880205</v>
      </c>
      <c r="F27" s="5">
        <f t="shared" si="7"/>
        <v>731.10327313193898</v>
      </c>
      <c r="G27" s="5">
        <f t="shared" si="7"/>
        <v>896.48697158765697</v>
      </c>
      <c r="H27" s="5">
        <f t="shared" si="7"/>
        <v>1102.5423761750301</v>
      </c>
      <c r="I27" s="5">
        <f t="shared" si="7"/>
        <v>1333.75424817765</v>
      </c>
      <c r="J27" s="5">
        <f t="shared" si="7"/>
        <v>1605.98858516358</v>
      </c>
      <c r="K27" s="5">
        <f t="shared" si="7"/>
        <v>1915.2345928234299</v>
      </c>
      <c r="L27" s="5">
        <f t="shared" si="7"/>
        <v>2238.4589713157802</v>
      </c>
      <c r="M27" s="5">
        <f t="shared" si="7"/>
        <v>2625.2312701883602</v>
      </c>
      <c r="N27" s="5">
        <f t="shared" si="7"/>
        <v>3413.6545151700702</v>
      </c>
      <c r="O27" s="5">
        <f t="shared" si="7"/>
        <v>3912.14942103556</v>
      </c>
      <c r="P27" s="5">
        <f t="shared" si="7"/>
        <v>3175.1145526299101</v>
      </c>
      <c r="Q27" s="5">
        <f t="shared" si="7"/>
        <v>1562.55498266874</v>
      </c>
      <c r="R27" s="5">
        <f t="shared" si="7"/>
        <v>-374.92512367056702</v>
      </c>
      <c r="S27" s="5">
        <f t="shared" si="7"/>
        <v>-1611.2467271185401</v>
      </c>
      <c r="T27" s="5">
        <f t="shared" si="7"/>
        <v>-2346.0595392927598</v>
      </c>
      <c r="U27" s="5">
        <f t="shared" si="7"/>
        <v>-2673.8151271215902</v>
      </c>
      <c r="V27" s="5">
        <f t="shared" si="7"/>
        <v>-2782.4799967467302</v>
      </c>
      <c r="W27" s="5">
        <f t="shared" si="7"/>
        <v>-2786.3327861607299</v>
      </c>
      <c r="X27" s="5">
        <f t="shared" si="7"/>
        <v>-2726.9845910680701</v>
      </c>
      <c r="Y27" s="5">
        <f t="shared" si="7"/>
        <v>-2631.3712098277101</v>
      </c>
      <c r="Z27" s="5">
        <f t="shared" si="7"/>
        <v>-2523.3771058124298</v>
      </c>
      <c r="AA27" s="5">
        <f t="shared" si="7"/>
        <v>-2204.1294843700398</v>
      </c>
      <c r="AB27" s="5">
        <f t="shared" si="7"/>
        <v>-2009.81043549269</v>
      </c>
      <c r="AC27" s="5">
        <f t="shared" si="7"/>
        <v>-1836.02340403723</v>
      </c>
      <c r="AD27" s="5">
        <f t="shared" si="7"/>
        <v>-1684.9599727421501</v>
      </c>
      <c r="AE27" s="5">
        <f t="shared" si="7"/>
        <v>-1555.2832627615301</v>
      </c>
    </row>
    <row r="28" spans="1:31" x14ac:dyDescent="0.2">
      <c r="A28" t="s">
        <v>15</v>
      </c>
      <c r="B28" s="5">
        <f t="shared" ref="B28:AE28" si="8">IMABS(B25)</f>
        <v>283.07158708559683</v>
      </c>
      <c r="C28" s="5">
        <f t="shared" si="8"/>
        <v>341.22180397417083</v>
      </c>
      <c r="D28" s="5">
        <f t="shared" si="8"/>
        <v>518.82378812085244</v>
      </c>
      <c r="E28" s="5">
        <f t="shared" si="8"/>
        <v>578.43626193056639</v>
      </c>
      <c r="F28" s="5">
        <f t="shared" si="8"/>
        <v>731.22373502123958</v>
      </c>
      <c r="G28" s="5">
        <f t="shared" si="8"/>
        <v>896.72039745368636</v>
      </c>
      <c r="H28" s="5">
        <f t="shared" si="8"/>
        <v>1103.007921864353</v>
      </c>
      <c r="I28" s="5">
        <f t="shared" si="8"/>
        <v>1334.7991278861075</v>
      </c>
      <c r="J28" s="5">
        <f t="shared" si="8"/>
        <v>1608.4931113985742</v>
      </c>
      <c r="K28" s="5">
        <f t="shared" si="8"/>
        <v>1922.1813048679805</v>
      </c>
      <c r="L28" s="5">
        <f t="shared" si="8"/>
        <v>2257.286466840932</v>
      </c>
      <c r="M28" s="5">
        <f t="shared" si="8"/>
        <v>2672.5457528093607</v>
      </c>
      <c r="N28" s="5">
        <f t="shared" si="8"/>
        <v>3670.8107737682385</v>
      </c>
      <c r="O28" s="5">
        <f t="shared" si="8"/>
        <v>4843.6909344830219</v>
      </c>
      <c r="P28" s="5">
        <f t="shared" si="8"/>
        <v>5720.7376843697648</v>
      </c>
      <c r="Q28" s="5">
        <f t="shared" si="8"/>
        <v>6314.1497293899038</v>
      </c>
      <c r="R28" s="5">
        <f t="shared" si="8"/>
        <v>5996.7631198922581</v>
      </c>
      <c r="S28" s="5">
        <f t="shared" si="8"/>
        <v>5560.6425179188536</v>
      </c>
      <c r="T28" s="5">
        <f t="shared" si="8"/>
        <v>5042.6444419663985</v>
      </c>
      <c r="U28" s="5">
        <f t="shared" si="8"/>
        <v>4539.814001721662</v>
      </c>
      <c r="V28" s="5">
        <f t="shared" si="8"/>
        <v>4132.8062614517139</v>
      </c>
      <c r="W28" s="5">
        <f t="shared" si="8"/>
        <v>3781.9837133418782</v>
      </c>
      <c r="X28" s="5">
        <f t="shared" si="8"/>
        <v>3459.6906976559758</v>
      </c>
      <c r="Y28" s="5">
        <f t="shared" si="8"/>
        <v>3181.6777863120578</v>
      </c>
      <c r="Z28" s="5">
        <f t="shared" si="8"/>
        <v>2949.2728210836735</v>
      </c>
      <c r="AA28" s="5">
        <f t="shared" si="8"/>
        <v>2421.0299256843582</v>
      </c>
      <c r="AB28" s="5">
        <f t="shared" si="8"/>
        <v>2152.7304132947097</v>
      </c>
      <c r="AC28" s="5">
        <f t="shared" si="8"/>
        <v>1934.0606787630511</v>
      </c>
      <c r="AD28" s="5">
        <f t="shared" si="8"/>
        <v>1754.7941245896345</v>
      </c>
      <c r="AE28" s="5">
        <f t="shared" si="8"/>
        <v>1606.272474636359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topLeftCell="A4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2*340</f>
        <v>680</v>
      </c>
    </row>
    <row r="8" spans="1:2" x14ac:dyDescent="0.2">
      <c r="A8" t="s">
        <v>5</v>
      </c>
      <c r="B8" s="3">
        <v>9</v>
      </c>
    </row>
    <row r="9" spans="1:2" x14ac:dyDescent="0.2">
      <c r="A9" t="s">
        <v>8</v>
      </c>
      <c r="B9" s="3">
        <v>5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3.4607784671945163E-4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csinterpolate(CSTableU2,'FT240-52x2'!B18*1000000)</f>
        <v>3.0499000000000001</v>
      </c>
      <c r="C19" s="7">
        <f>csinterpolate(CSTableU2,'FT240-52x2'!C18*1000000)</f>
        <v>3.2904831190109389</v>
      </c>
      <c r="D19" s="7">
        <f>csinterpolate(CSTableU2,'FT240-52x2'!D18*1000000)</f>
        <v>3.967018516752479</v>
      </c>
      <c r="E19" s="7">
        <f>csinterpolate(CSTableU2,'FT240-52x2'!E18*1000000)</f>
        <v>4.1624213685595173</v>
      </c>
      <c r="F19" s="7">
        <f>csinterpolate(CSTableU2,'FT240-52x2'!F18*1000000)</f>
        <v>4.6934474029834936</v>
      </c>
      <c r="G19" s="7">
        <f>csinterpolate(CSTableU2,'FT240-52x2'!G18*1000000)</f>
        <v>5.7869745969032644</v>
      </c>
      <c r="H19" s="7">
        <f>csinterpolate(CSTableU2,'FT240-52x2'!H18*1000000)</f>
        <v>7.3580620226877942</v>
      </c>
      <c r="I19" s="7">
        <f>csinterpolate(CSTableU2,'FT240-52x2'!I18*1000000)</f>
        <v>9.926754908090583</v>
      </c>
      <c r="J19" s="7">
        <f>csinterpolate(CSTableU2,'FT240-52x2'!J18*1000000)</f>
        <v>13.81033892745144</v>
      </c>
      <c r="K19" s="7">
        <f>csinterpolate(CSTableU2,'FT240-52x2'!K18*1000000)</f>
        <v>20.511611514548019</v>
      </c>
      <c r="L19" s="7">
        <f>csinterpolate(CSTableU2,'FT240-52x2'!L18*1000000)</f>
        <v>29.809955391832062</v>
      </c>
      <c r="M19" s="7">
        <f>csinterpolate(CSTableU2,'FT240-52x2'!M18*1000000)</f>
        <v>41.297758756922754</v>
      </c>
      <c r="N19" s="7">
        <f>csinterpolate(CSTableU2,'FT240-52x2'!N18*1000000)</f>
        <v>71.227829783683418</v>
      </c>
      <c r="O19" s="7">
        <f>csinterpolate(CSTableU2,'FT240-52x2'!O18*1000000)</f>
        <v>98.042432892117944</v>
      </c>
      <c r="P19" s="7">
        <f>csinterpolate(CSTableU2,'FT240-52x2'!P18*1000000)</f>
        <v>124.39851411420072</v>
      </c>
      <c r="Q19" s="7">
        <f>csinterpolate(CSTableU2,'FT240-52x2'!Q18*1000000)</f>
        <v>137.48080431574027</v>
      </c>
      <c r="R19" s="7">
        <f>csinterpolate(CSTableU2,'FT240-52x2'!R18*1000000)</f>
        <v>148.59943423102928</v>
      </c>
      <c r="S19" s="7">
        <f>csinterpolate(CSTableU2,'FT240-52x2'!S18*1000000)</f>
        <v>151.00249371940657</v>
      </c>
      <c r="T19" s="7">
        <f>csinterpolate(CSTableU2,'FT240-52x2'!T18*1000000)</f>
        <v>152.23128862750124</v>
      </c>
      <c r="U19" s="7">
        <f>csinterpolate(CSTableU2,'FT240-52x2'!U18*1000000)</f>
        <v>151.77044049308</v>
      </c>
      <c r="V19" s="7">
        <f>csinterpolate(CSTableU2,'FT240-52x2'!V18*1000000)</f>
        <v>148.19510684679508</v>
      </c>
      <c r="W19" s="7">
        <f>csinterpolate(CSTableU2,'FT240-52x2'!W18*1000000)</f>
        <v>144.19751813493576</v>
      </c>
      <c r="X19" s="7">
        <f>csinterpolate(CSTableU2,'FT240-52x2'!X18*1000000)</f>
        <v>141.70879370829715</v>
      </c>
      <c r="Y19" s="7">
        <f>csinterpolate(CSTableU2,'FT240-52x2'!Y18*1000000)</f>
        <v>139.08719283420325</v>
      </c>
      <c r="Z19" s="7">
        <f>csinterpolate(CSTableU2,'FT240-52x2'!Z18*1000000)</f>
        <v>135.50786137417444</v>
      </c>
      <c r="AA19" s="7">
        <f>csinterpolate(CSTableU2,'FT240-52x2'!AA18*1000000)</f>
        <v>124.19703145370912</v>
      </c>
      <c r="AB19" s="7">
        <f>csinterpolate(CSTableU2,'FT240-52x2'!AB18*1000000)</f>
        <v>118.85411849931367</v>
      </c>
      <c r="AC19" s="7">
        <f>csinterpolate(CSTableU2,'FT240-52x2'!AC18*1000000)</f>
        <v>114.37628656816462</v>
      </c>
      <c r="AD19" s="7">
        <f>csinterpolate(CSTableU2,'FT240-52x2'!AD18*1000000)</f>
        <v>110.32031789018907</v>
      </c>
      <c r="AE19" s="7">
        <f>csinterpolate(CSTableU2,'FT240-52x2'!AE18*1000000)</f>
        <v>106.57469008666072</v>
      </c>
    </row>
    <row r="20" spans="1:31" x14ac:dyDescent="0.2">
      <c r="A20" t="s">
        <v>3</v>
      </c>
      <c r="B20" s="7">
        <f>csinterpolate(CSTableU1,'FT240-52x2'!B18*1000000)</f>
        <v>271.82299999999998</v>
      </c>
      <c r="C20" s="7">
        <f>csinterpolate(CSTableU1,'FT240-52x2'!C18*1000000)</f>
        <v>272.19082946678634</v>
      </c>
      <c r="D20" s="7">
        <f>csinterpolate(CSTableU1,'FT240-52x2'!D18*1000000)</f>
        <v>272.34705648423068</v>
      </c>
      <c r="E20" s="7">
        <f>csinterpolate(CSTableU1,'FT240-52x2'!E18*1000000)</f>
        <v>271.78453117064919</v>
      </c>
      <c r="F20" s="7">
        <f>csinterpolate(CSTableU1,'FT240-52x2'!F18*1000000)</f>
        <v>270.41777375176463</v>
      </c>
      <c r="G20" s="7">
        <f>csinterpolate(CSTableU1,'FT240-52x2'!G18*1000000)</f>
        <v>270.72356701062466</v>
      </c>
      <c r="H20" s="7">
        <f>csinterpolate(CSTableU1,'FT240-52x2'!H18*1000000)</f>
        <v>277.74873858288925</v>
      </c>
      <c r="I20" s="7">
        <f>csinterpolate(CSTableU1,'FT240-52x2'!I18*1000000)</f>
        <v>284.40522241788904</v>
      </c>
      <c r="J20" s="7">
        <f>csinterpolate(CSTableU1,'FT240-52x2'!J18*1000000)</f>
        <v>292.22641370148841</v>
      </c>
      <c r="K20" s="7">
        <f>csinterpolate(CSTableU1,'FT240-52x2'!K18*1000000)</f>
        <v>298.93908294056735</v>
      </c>
      <c r="L20" s="7">
        <f>csinterpolate(CSTableU1,'FT240-52x2'!L18*1000000)</f>
        <v>301.5249441802431</v>
      </c>
      <c r="M20" s="7">
        <f>csinterpolate(CSTableU1,'FT240-52x2'!M18*1000000)</f>
        <v>305.38916179553797</v>
      </c>
      <c r="N20" s="7">
        <f>csinterpolate(CSTableU1,'FT240-52x2'!N18*1000000)</f>
        <v>305.24355321471819</v>
      </c>
      <c r="O20" s="7">
        <f>csinterpolate(CSTableU1,'FT240-52x2'!O18*1000000)</f>
        <v>296.23832150305083</v>
      </c>
      <c r="P20" s="7">
        <f>csinterpolate(CSTableU1,'FT240-52x2'!P18*1000000)</f>
        <v>276.51437232303493</v>
      </c>
      <c r="Q20" s="7">
        <f>csinterpolate(CSTableU1,'FT240-52x2'!Q18*1000000)</f>
        <v>260.28916563413679</v>
      </c>
      <c r="R20" s="7">
        <f>csinterpolate(CSTableU1,'FT240-52x2'!R18*1000000)</f>
        <v>237.53203498823027</v>
      </c>
      <c r="S20" s="7">
        <f>csinterpolate(CSTableU1,'FT240-52x2'!S18*1000000)</f>
        <v>218.87421660185237</v>
      </c>
      <c r="T20" s="7">
        <f>csinterpolate(CSTableU1,'FT240-52x2'!T18*1000000)</f>
        <v>203.33172189960433</v>
      </c>
      <c r="U20" s="7">
        <f>csinterpolate(CSTableU1,'FT240-52x2'!U18*1000000)</f>
        <v>189.37650548986889</v>
      </c>
      <c r="V20" s="7">
        <f>csinterpolate(CSTableU1,'FT240-52x2'!V18*1000000)</f>
        <v>177.33002992245264</v>
      </c>
      <c r="W20" s="7">
        <f>csinterpolate(CSTableU1,'FT240-52x2'!W18*1000000)</f>
        <v>167.20965609439202</v>
      </c>
      <c r="X20" s="7">
        <f>csinterpolate(CSTableU1,'FT240-52x2'!X18*1000000)</f>
        <v>158.87810019508268</v>
      </c>
      <c r="Y20" s="7">
        <f>csinterpolate(CSTableU1,'FT240-52x2'!Y18*1000000)</f>
        <v>151.50124323103856</v>
      </c>
      <c r="Z20" s="7">
        <f>csinterpolate(CSTableU1,'FT240-52x2'!Z18*1000000)</f>
        <v>144.69637942438118</v>
      </c>
      <c r="AA20" s="7">
        <f>csinterpolate(CSTableU1,'FT240-52x2'!AA18*1000000)</f>
        <v>128.55578016848358</v>
      </c>
      <c r="AB20" s="7">
        <f>csinterpolate(CSTableU1,'FT240-52x2'!AB18*1000000)</f>
        <v>121.04195811736874</v>
      </c>
      <c r="AC20" s="7">
        <f>csinterpolate(CSTableU1,'FT240-52x2'!AC18*1000000)</f>
        <v>114.435694181161</v>
      </c>
      <c r="AD20" s="7">
        <f>csinterpolate(CSTableU1,'FT240-52x2'!AD18*1000000)</f>
        <v>108.49306247968192</v>
      </c>
      <c r="AE20" s="7">
        <f>csinterpolate(CSTableU1,'FT240-52x2'!AE18*1000000)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4.2220112988386225</v>
      </c>
      <c r="C21" s="5">
        <f t="shared" si="1"/>
        <v>5.4660638999712523</v>
      </c>
      <c r="D21" s="5">
        <f t="shared" si="1"/>
        <v>9.8848600284520121</v>
      </c>
      <c r="E21" s="5">
        <f t="shared" si="1"/>
        <v>11.524174594960886</v>
      </c>
      <c r="F21" s="5">
        <f t="shared" si="1"/>
        <v>16.242981709155302</v>
      </c>
      <c r="G21" s="5">
        <f t="shared" si="1"/>
        <v>24.032924490197381</v>
      </c>
      <c r="H21" s="5">
        <f t="shared" si="1"/>
        <v>35.650471651759503</v>
      </c>
      <c r="I21" s="5">
        <f t="shared" si="1"/>
        <v>54.96687941605979</v>
      </c>
      <c r="J21" s="5">
        <f t="shared" si="1"/>
        <v>86.03014245260789</v>
      </c>
      <c r="K21" s="5">
        <f t="shared" si="1"/>
        <v>141.97228691401375</v>
      </c>
      <c r="L21" s="5">
        <f t="shared" si="1"/>
        <v>226.96443380177922</v>
      </c>
      <c r="M21" s="5">
        <f t="shared" si="1"/>
        <v>343.01374619844484</v>
      </c>
      <c r="N21" s="5">
        <f t="shared" si="1"/>
        <v>690.21047082502992</v>
      </c>
      <c r="O21" s="5">
        <f t="shared" si="1"/>
        <v>1085.7700499980965</v>
      </c>
      <c r="P21" s="5">
        <f t="shared" si="1"/>
        <v>1549.8565163907083</v>
      </c>
      <c r="Q21" s="5">
        <f t="shared" si="1"/>
        <v>1903.1624289139875</v>
      </c>
      <c r="R21" s="5">
        <f t="shared" si="1"/>
        <v>2262.7867777857491</v>
      </c>
      <c r="S21" s="5">
        <f t="shared" si="1"/>
        <v>2508.4136580326276</v>
      </c>
      <c r="T21" s="5">
        <f t="shared" si="1"/>
        <v>2739.5615817197145</v>
      </c>
      <c r="U21" s="5">
        <f t="shared" si="1"/>
        <v>2941.3656855244362</v>
      </c>
      <c r="V21" s="5">
        <f t="shared" si="1"/>
        <v>3077.2226083138744</v>
      </c>
      <c r="W21" s="5">
        <f t="shared" si="1"/>
        <v>3193.8282610193692</v>
      </c>
      <c r="X21" s="5">
        <f t="shared" si="1"/>
        <v>3334.8746447689341</v>
      </c>
      <c r="Y21" s="5">
        <f t="shared" si="1"/>
        <v>3465.7197265666227</v>
      </c>
      <c r="Z21" s="5">
        <f t="shared" si="1"/>
        <v>3564.116434722851</v>
      </c>
      <c r="AA21" s="5">
        <f t="shared" si="1"/>
        <v>3782.4020268713939</v>
      </c>
      <c r="AB21" s="5">
        <f t="shared" si="1"/>
        <v>3948.7466307821778</v>
      </c>
      <c r="AC21" s="5">
        <f t="shared" si="1"/>
        <v>4116.6422930128447</v>
      </c>
      <c r="AD21" s="5">
        <f t="shared" si="1"/>
        <v>4276.0948232623077</v>
      </c>
      <c r="AE21" s="5">
        <f t="shared" si="1"/>
        <v>4425.9767111981319</v>
      </c>
    </row>
    <row r="22" spans="1:31" x14ac:dyDescent="0.2">
      <c r="A22" t="s">
        <v>11</v>
      </c>
      <c r="B22" s="5">
        <f t="shared" ref="B22:AE22" si="2">B20/$B$13*$B$16*B18*1000000</f>
        <v>376.28767411528599</v>
      </c>
      <c r="C22" s="5">
        <f t="shared" si="2"/>
        <v>452.15623756150501</v>
      </c>
      <c r="D22" s="5">
        <f t="shared" si="2"/>
        <v>678.6236366527927</v>
      </c>
      <c r="E22" s="5">
        <f t="shared" si="2"/>
        <v>752.46884255355178</v>
      </c>
      <c r="F22" s="5">
        <f t="shared" si="2"/>
        <v>935.85600854678546</v>
      </c>
      <c r="G22" s="5">
        <f t="shared" si="2"/>
        <v>1124.2971495269539</v>
      </c>
      <c r="H22" s="5">
        <f t="shared" si="2"/>
        <v>1345.7175952893426</v>
      </c>
      <c r="I22" s="5">
        <f t="shared" si="2"/>
        <v>1574.8215515223958</v>
      </c>
      <c r="J22" s="5">
        <f t="shared" si="2"/>
        <v>1820.3955841504576</v>
      </c>
      <c r="K22" s="5">
        <f t="shared" si="2"/>
        <v>2069.1238824871821</v>
      </c>
      <c r="L22" s="5">
        <f t="shared" si="2"/>
        <v>2295.7242751102303</v>
      </c>
      <c r="M22" s="5">
        <f t="shared" si="2"/>
        <v>2536.522164615792</v>
      </c>
      <c r="N22" s="5">
        <f t="shared" si="2"/>
        <v>2957.8648854032322</v>
      </c>
      <c r="O22" s="5">
        <f t="shared" si="2"/>
        <v>3280.6886534899349</v>
      </c>
      <c r="P22" s="5">
        <f t="shared" si="2"/>
        <v>3445.0379481793198</v>
      </c>
      <c r="Q22" s="5">
        <f t="shared" si="2"/>
        <v>3603.2125586825905</v>
      </c>
      <c r="R22" s="5">
        <f t="shared" si="2"/>
        <v>3617.0013086071122</v>
      </c>
      <c r="S22" s="5">
        <f t="shared" si="2"/>
        <v>3635.8808440308435</v>
      </c>
      <c r="T22" s="5">
        <f t="shared" si="2"/>
        <v>3659.1674332082184</v>
      </c>
      <c r="U22" s="5">
        <f t="shared" si="2"/>
        <v>3670.1847413945411</v>
      </c>
      <c r="V22" s="5">
        <f t="shared" si="2"/>
        <v>3682.1996948555002</v>
      </c>
      <c r="W22" s="5">
        <f t="shared" si="2"/>
        <v>3703.5236948382221</v>
      </c>
      <c r="X22" s="5">
        <f t="shared" si="2"/>
        <v>3738.9249748346224</v>
      </c>
      <c r="Y22" s="5">
        <f t="shared" si="2"/>
        <v>3775.0481303556762</v>
      </c>
      <c r="Z22" s="5">
        <f t="shared" si="2"/>
        <v>3805.7920678660862</v>
      </c>
      <c r="AA22" s="5">
        <f t="shared" si="2"/>
        <v>3915.1470673962222</v>
      </c>
      <c r="AB22" s="5">
        <f t="shared" si="2"/>
        <v>4021.4342618846422</v>
      </c>
      <c r="AC22" s="5">
        <f t="shared" si="2"/>
        <v>4118.7804975264353</v>
      </c>
      <c r="AD22" s="5">
        <f t="shared" si="2"/>
        <v>4205.269090060332</v>
      </c>
      <c r="AE22" s="5">
        <f t="shared" si="2"/>
        <v>4299.990006438371</v>
      </c>
    </row>
    <row r="23" spans="1:31" x14ac:dyDescent="0.2">
      <c r="A23" t="s">
        <v>12</v>
      </c>
      <c r="B23" s="5" t="str">
        <f t="shared" ref="B23:AE23" si="3">IMDIV(1,COMPLEX(B21,B22))</f>
        <v>0.000029814308107599-0.00265720668636083i</v>
      </c>
      <c r="C23" s="5" t="str">
        <f t="shared" si="3"/>
        <v>0.0000267321683833814-0.00221130175191584i</v>
      </c>
      <c r="D23" s="5" t="str">
        <f t="shared" si="3"/>
        <v>0.000021459540841437-0.00147325825603984i</v>
      </c>
      <c r="E23" s="5" t="str">
        <f t="shared" si="3"/>
        <v>0.0000203484312040715-0.00132864704103003i</v>
      </c>
      <c r="F23" s="5" t="str">
        <f t="shared" si="3"/>
        <v>0.0000185403053201824-0.00106821865867181i</v>
      </c>
      <c r="G23" s="5" t="str">
        <f t="shared" si="3"/>
        <v>0.0000190040430386146-0.000889038345146747i</v>
      </c>
      <c r="H23" s="5" t="str">
        <f t="shared" si="3"/>
        <v>0.000019672190922538-0.000742576808546767i</v>
      </c>
      <c r="I23" s="5" t="str">
        <f t="shared" si="3"/>
        <v>0.0000221365339573112-0.000634219936120218i</v>
      </c>
      <c r="J23" s="5" t="str">
        <f t="shared" si="3"/>
        <v>0.0000259030089973277-0.000548106998903564i</v>
      </c>
      <c r="K23" s="5" t="str">
        <f t="shared" si="3"/>
        <v>0.0000330058363059366-0.000481031655166884i</v>
      </c>
      <c r="L23" s="5" t="str">
        <f t="shared" si="3"/>
        <v>0.0000426475544871326-0.000431376072762591i</v>
      </c>
      <c r="M23" s="5" t="str">
        <f t="shared" si="3"/>
        <v>0.0000523556967399304-0.00038716053422508i</v>
      </c>
      <c r="N23" s="5" t="str">
        <f t="shared" si="3"/>
        <v>0.0000748166826947734-0.000320623415522372i</v>
      </c>
      <c r="O23" s="5" t="str">
        <f t="shared" si="3"/>
        <v>0.000090921696785-0.000274722791441082i</v>
      </c>
      <c r="P23" s="5" t="str">
        <f t="shared" si="3"/>
        <v>0.000108606825997274-0.0002414124359481i</v>
      </c>
      <c r="Q23" s="5" t="str">
        <f t="shared" si="3"/>
        <v>0.000114612657451459-0.000216993442303682i</v>
      </c>
      <c r="R23" s="5" t="str">
        <f t="shared" si="3"/>
        <v>0.000124309119479178-0.000198704646961021i</v>
      </c>
      <c r="S23" s="5" t="str">
        <f t="shared" si="3"/>
        <v>0.000128559010231776-0.000186342966652432i</v>
      </c>
      <c r="T23" s="5" t="str">
        <f t="shared" si="3"/>
        <v>0.000131112725329932-0.000175124157751293i</v>
      </c>
      <c r="U23" s="5" t="str">
        <f t="shared" si="3"/>
        <v>0.000132961782827066-0.000165907390883804i</v>
      </c>
      <c r="V23" s="5" t="str">
        <f t="shared" si="3"/>
        <v>0.000133630225380233-0.000159901715848949i</v>
      </c>
      <c r="W23" s="5" t="str">
        <f t="shared" si="3"/>
        <v>0.000133540080653049-0.000154851423586352i</v>
      </c>
      <c r="X23" s="5" t="str">
        <f t="shared" si="3"/>
        <v>0.000132858509169073-0.000148955523359998i</v>
      </c>
      <c r="Y23" s="5" t="str">
        <f t="shared" si="3"/>
        <v>0.000131966077257505-0.000143744541545732i</v>
      </c>
      <c r="Z23" s="5" t="str">
        <f t="shared" si="3"/>
        <v>0.000131096448978201-0.000139985837944558i</v>
      </c>
      <c r="AA23" s="5" t="str">
        <f t="shared" si="3"/>
        <v>0.000127633186231962-0.000132112528289816i</v>
      </c>
      <c r="AB23" s="5" t="str">
        <f t="shared" si="3"/>
        <v>0.000124313068651538-0.000126601395384106i</v>
      </c>
      <c r="AC23" s="5" t="str">
        <f t="shared" si="3"/>
        <v>0.000121395139384077-0.000121458192624189i</v>
      </c>
      <c r="AD23" s="5" t="str">
        <f t="shared" si="3"/>
        <v>0.000118881873945047-0.000116912811930618i</v>
      </c>
      <c r="AE23" s="5" t="str">
        <f t="shared" si="3"/>
        <v>0.000116230870976909-0.000112922325681429i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0.0000314159265358979i</v>
      </c>
      <c r="C24" s="6" t="str">
        <f t="shared" si="4"/>
        <v>0.0000376991118430775i</v>
      </c>
      <c r="D24" s="6" t="str">
        <f t="shared" si="4"/>
        <v>0.0000565486677646163i</v>
      </c>
      <c r="E24" s="6" t="str">
        <f t="shared" si="4"/>
        <v>0.0000628318530717959i</v>
      </c>
      <c r="F24" s="6" t="str">
        <f t="shared" si="4"/>
        <v>0.0000785398163397448i</v>
      </c>
      <c r="G24" s="6" t="str">
        <f t="shared" si="4"/>
        <v>0.0000942477796076938i</v>
      </c>
      <c r="H24" s="6" t="str">
        <f t="shared" si="4"/>
        <v>0.000109955742875643i</v>
      </c>
      <c r="I24" s="6" t="str">
        <f t="shared" si="4"/>
        <v>0.000125663706143592i</v>
      </c>
      <c r="J24" s="6" t="str">
        <f t="shared" si="4"/>
        <v>0.000141371669411541i</v>
      </c>
      <c r="K24" s="6" t="str">
        <f t="shared" si="4"/>
        <v>0.00015707963267949i</v>
      </c>
      <c r="L24" s="6" t="str">
        <f t="shared" si="4"/>
        <v>0.000172787595947439i</v>
      </c>
      <c r="M24" s="6" t="str">
        <f t="shared" si="4"/>
        <v>0.000188495559215388i</v>
      </c>
      <c r="N24" s="6" t="str">
        <f t="shared" si="4"/>
        <v>0.000219911485751286i</v>
      </c>
      <c r="O24" s="6" t="str">
        <f t="shared" si="4"/>
        <v>0.000251327412287183i</v>
      </c>
      <c r="P24" s="6" t="str">
        <f t="shared" si="4"/>
        <v>0.000282743338823081i</v>
      </c>
      <c r="Q24" s="6" t="str">
        <f t="shared" si="4"/>
        <v>0.000314159265358979i</v>
      </c>
      <c r="R24" s="6" t="str">
        <f t="shared" si="4"/>
        <v>0.000345575191894877i</v>
      </c>
      <c r="S24" s="6" t="str">
        <f t="shared" si="4"/>
        <v>0.000376991118430775i</v>
      </c>
      <c r="T24" s="6" t="str">
        <f t="shared" si="4"/>
        <v>0.000408407044966673i</v>
      </c>
      <c r="U24" s="6" t="str">
        <f t="shared" si="4"/>
        <v>0.000439822971502571i</v>
      </c>
      <c r="V24" s="6" t="str">
        <f t="shared" si="4"/>
        <v>0.000471238898038469i</v>
      </c>
      <c r="W24" s="6" t="str">
        <f t="shared" si="4"/>
        <v>0.000502654824574367i</v>
      </c>
      <c r="X24" s="6" t="str">
        <f t="shared" si="4"/>
        <v>0.000534070751110265i</v>
      </c>
      <c r="Y24" s="6" t="str">
        <f t="shared" si="4"/>
        <v>0.000565486677646163i</v>
      </c>
      <c r="Z24" s="6" t="str">
        <f t="shared" si="4"/>
        <v>0.000596902604182061i</v>
      </c>
      <c r="AA24" s="6" t="str">
        <f t="shared" si="4"/>
        <v>0.000691150383789754i</v>
      </c>
      <c r="AB24" s="6" t="str">
        <f t="shared" si="4"/>
        <v>0.00075398223686155i</v>
      </c>
      <c r="AC24" s="6" t="str">
        <f t="shared" si="4"/>
        <v>0.000816814089933346i</v>
      </c>
      <c r="AD24" s="6" t="str">
        <f t="shared" si="4"/>
        <v>0.000879645943005142i</v>
      </c>
      <c r="AE24" s="6" t="str">
        <f t="shared" si="4"/>
        <v>0.000942477796076938i</v>
      </c>
    </row>
    <row r="25" spans="1:31" x14ac:dyDescent="0.2">
      <c r="A25" t="s">
        <v>14</v>
      </c>
      <c r="B25" s="6" t="str">
        <f t="shared" ref="B25:AE25" si="5">IMDIV(1,IMSUM(B23,B24))</f>
        <v>4.32362995478909+380.788564444125i</v>
      </c>
      <c r="C25" s="6" t="str">
        <f t="shared" si="5"/>
        <v>5.65728682710712+459.996114295516i</v>
      </c>
      <c r="D25" s="6" t="str">
        <f t="shared" si="5"/>
        <v>10.689542628473+705.699047707134i</v>
      </c>
      <c r="E25" s="6" t="str">
        <f t="shared" si="5"/>
        <v>12.6963273995394+789.800643226566i</v>
      </c>
      <c r="F25" s="6" t="str">
        <f t="shared" si="5"/>
        <v>18.9223870318083+1010.07430937039i</v>
      </c>
      <c r="G25" s="6" t="str">
        <f t="shared" si="5"/>
        <v>30.0671575386118+1257.47416461372i</v>
      </c>
      <c r="H25" s="6" t="str">
        <f t="shared" si="5"/>
        <v>49.1072574246724+1579.19804898754i</v>
      </c>
      <c r="I25" s="6" t="str">
        <f t="shared" si="5"/>
        <v>85.4298380927086+1962.63229246836i</v>
      </c>
      <c r="J25" s="6" t="str">
        <f t="shared" si="5"/>
        <v>155.943964901582+2448.66995772888i</v>
      </c>
      <c r="K25" s="6" t="str">
        <f t="shared" si="5"/>
        <v>311.27509585235+3055.16260568707i</v>
      </c>
      <c r="L25" s="6" t="str">
        <f t="shared" si="5"/>
        <v>620.898711866558+3764.74698464846i</v>
      </c>
      <c r="M25" s="6" t="str">
        <f t="shared" si="5"/>
        <v>1240.3949773682+4706.70915535846i</v>
      </c>
      <c r="N25" s="6" t="str">
        <f t="shared" si="5"/>
        <v>4753.15403468126+6398.29645060451i</v>
      </c>
      <c r="O25" s="6" t="str">
        <f t="shared" si="5"/>
        <v>10315.4842889412+2654.3132676741i</v>
      </c>
      <c r="P25" s="6" t="str">
        <f t="shared" si="5"/>
        <v>8042.75399354147-3060.71263110821i</v>
      </c>
      <c r="Q25" s="6" t="str">
        <f t="shared" si="5"/>
        <v>5076.46479164987-4303.70336627787i</v>
      </c>
      <c r="R25" s="6" t="str">
        <f t="shared" si="5"/>
        <v>3357.55399793871-3966.931689229i</v>
      </c>
      <c r="S25" s="6" t="str">
        <f t="shared" si="5"/>
        <v>2431.41576955541-3605.69766237888i</v>
      </c>
      <c r="T25" s="6" t="str">
        <f t="shared" si="5"/>
        <v>1830.89046907805-3257.6198361132i</v>
      </c>
      <c r="U25" s="6" t="str">
        <f t="shared" si="5"/>
        <v>1434.19068003586-2954.58713389092i</v>
      </c>
      <c r="V25" s="6" t="str">
        <f t="shared" si="5"/>
        <v>1164.14927721647-2712.2827532861i</v>
      </c>
      <c r="W25" s="6" t="str">
        <f t="shared" si="5"/>
        <v>962.1032261846-2505.78532326882i</v>
      </c>
      <c r="X25" s="6" t="str">
        <f t="shared" si="5"/>
        <v>800.520660515672-2320.45879802068i</v>
      </c>
      <c r="Y25" s="6" t="str">
        <f t="shared" si="5"/>
        <v>675.773661166814-2159.66279595306i</v>
      </c>
      <c r="Z25" s="6" t="str">
        <f t="shared" si="5"/>
        <v>580.177496903352-2022.12056691885i</v>
      </c>
      <c r="AA25" s="6" t="str">
        <f t="shared" si="5"/>
        <v>388.162789023544-1700.1667008941i</v>
      </c>
      <c r="AB25" s="6" t="str">
        <f t="shared" si="5"/>
        <v>303.899010105137-1533.7117710316i</v>
      </c>
      <c r="AC25" s="6" t="str">
        <f t="shared" si="5"/>
        <v>243.639800177255-1395.57788501292i</v>
      </c>
      <c r="AD25" s="6" t="str">
        <f t="shared" si="5"/>
        <v>199.501469171169-1279.97965699323i</v>
      </c>
      <c r="AE25" s="6" t="str">
        <f t="shared" si="5"/>
        <v>165.648463332744-1182.2555209759i</v>
      </c>
    </row>
    <row r="26" spans="1:31" x14ac:dyDescent="0.2">
      <c r="A26" t="s">
        <v>6</v>
      </c>
      <c r="B26" s="5">
        <f t="shared" ref="B26:AE26" si="6">IMREAL(B25)</f>
        <v>4.32362995478909</v>
      </c>
      <c r="C26" s="5">
        <f t="shared" si="6"/>
        <v>5.6572868271071197</v>
      </c>
      <c r="D26" s="5">
        <f t="shared" si="6"/>
        <v>10.689542628472999</v>
      </c>
      <c r="E26" s="5">
        <f t="shared" si="6"/>
        <v>12.696327399539401</v>
      </c>
      <c r="F26" s="5">
        <f t="shared" si="6"/>
        <v>18.922387031808299</v>
      </c>
      <c r="G26" s="5">
        <f t="shared" si="6"/>
        <v>30.067157538611799</v>
      </c>
      <c r="H26" s="5">
        <f t="shared" si="6"/>
        <v>49.107257424672397</v>
      </c>
      <c r="I26" s="5">
        <f t="shared" si="6"/>
        <v>85.429838092708593</v>
      </c>
      <c r="J26" s="5">
        <f t="shared" si="6"/>
        <v>155.94396490158201</v>
      </c>
      <c r="K26" s="5">
        <f t="shared" si="6"/>
        <v>311.27509585234998</v>
      </c>
      <c r="L26" s="5">
        <f t="shared" si="6"/>
        <v>620.89871186655796</v>
      </c>
      <c r="M26" s="5">
        <f t="shared" si="6"/>
        <v>1240.3949773682</v>
      </c>
      <c r="N26" s="5">
        <f t="shared" si="6"/>
        <v>4753.1540346812599</v>
      </c>
      <c r="O26" s="5">
        <f t="shared" si="6"/>
        <v>10315.484288941199</v>
      </c>
      <c r="P26" s="5">
        <f t="shared" si="6"/>
        <v>8042.7539935414698</v>
      </c>
      <c r="Q26" s="5">
        <f t="shared" si="6"/>
        <v>5076.4647916498698</v>
      </c>
      <c r="R26" s="5">
        <f t="shared" si="6"/>
        <v>3357.5539979387099</v>
      </c>
      <c r="S26" s="5">
        <f t="shared" si="6"/>
        <v>2431.41576955541</v>
      </c>
      <c r="T26" s="5">
        <f t="shared" si="6"/>
        <v>1830.89046907805</v>
      </c>
      <c r="U26" s="5">
        <f t="shared" si="6"/>
        <v>1434.1906800358599</v>
      </c>
      <c r="V26" s="5">
        <f t="shared" si="6"/>
        <v>1164.14927721647</v>
      </c>
      <c r="W26" s="5">
        <f t="shared" si="6"/>
        <v>962.10322618459998</v>
      </c>
      <c r="X26" s="5">
        <f t="shared" si="6"/>
        <v>800.52066051567203</v>
      </c>
      <c r="Y26" s="5">
        <f t="shared" si="6"/>
        <v>675.77366116681401</v>
      </c>
      <c r="Z26" s="5">
        <f t="shared" si="6"/>
        <v>580.17749690335199</v>
      </c>
      <c r="AA26" s="5">
        <f t="shared" si="6"/>
        <v>388.16278902354401</v>
      </c>
      <c r="AB26" s="5">
        <f t="shared" si="6"/>
        <v>303.89901010513699</v>
      </c>
      <c r="AC26" s="5">
        <f t="shared" si="6"/>
        <v>243.63980017725501</v>
      </c>
      <c r="AD26" s="5">
        <f t="shared" si="6"/>
        <v>199.50146917116899</v>
      </c>
      <c r="AE26" s="5">
        <f t="shared" si="6"/>
        <v>165.648463332744</v>
      </c>
    </row>
    <row r="27" spans="1:31" x14ac:dyDescent="0.2">
      <c r="A27" t="s">
        <v>7</v>
      </c>
      <c r="B27" s="5">
        <f t="shared" ref="B27:AE27" si="7">IMAGINARY(B25)</f>
        <v>380.78856444412497</v>
      </c>
      <c r="C27" s="5">
        <f t="shared" si="7"/>
        <v>459.99611429551601</v>
      </c>
      <c r="D27" s="5">
        <f t="shared" si="7"/>
        <v>705.69904770713401</v>
      </c>
      <c r="E27" s="5">
        <f t="shared" si="7"/>
        <v>789.80064322656597</v>
      </c>
      <c r="F27" s="5">
        <f t="shared" si="7"/>
        <v>1010.07430937039</v>
      </c>
      <c r="G27" s="5">
        <f t="shared" si="7"/>
        <v>1257.4741646137199</v>
      </c>
      <c r="H27" s="5">
        <f t="shared" si="7"/>
        <v>1579.19804898754</v>
      </c>
      <c r="I27" s="5">
        <f t="shared" si="7"/>
        <v>1962.63229246836</v>
      </c>
      <c r="J27" s="5">
        <f t="shared" si="7"/>
        <v>2448.66995772888</v>
      </c>
      <c r="K27" s="5">
        <f t="shared" si="7"/>
        <v>3055.16260568707</v>
      </c>
      <c r="L27" s="5">
        <f t="shared" si="7"/>
        <v>3764.7469846484601</v>
      </c>
      <c r="M27" s="5">
        <f t="shared" si="7"/>
        <v>4706.7091553584596</v>
      </c>
      <c r="N27" s="5">
        <f t="shared" si="7"/>
        <v>6398.29645060451</v>
      </c>
      <c r="O27" s="5">
        <f t="shared" si="7"/>
        <v>2654.3132676741002</v>
      </c>
      <c r="P27" s="5">
        <f t="shared" si="7"/>
        <v>-3060.7126311082102</v>
      </c>
      <c r="Q27" s="5">
        <f t="shared" si="7"/>
        <v>-4303.7033662778704</v>
      </c>
      <c r="R27" s="5">
        <f t="shared" si="7"/>
        <v>-3966.9316892289999</v>
      </c>
      <c r="S27" s="5">
        <f t="shared" si="7"/>
        <v>-3605.6976623788801</v>
      </c>
      <c r="T27" s="5">
        <f t="shared" si="7"/>
        <v>-3257.6198361132001</v>
      </c>
      <c r="U27" s="5">
        <f t="shared" si="7"/>
        <v>-2954.5871338909201</v>
      </c>
      <c r="V27" s="5">
        <f t="shared" si="7"/>
        <v>-2712.2827532861002</v>
      </c>
      <c r="W27" s="5">
        <f t="shared" si="7"/>
        <v>-2505.7853232688199</v>
      </c>
      <c r="X27" s="5">
        <f t="shared" si="7"/>
        <v>-2320.4587980206802</v>
      </c>
      <c r="Y27" s="5">
        <f t="shared" si="7"/>
        <v>-2159.6627959530601</v>
      </c>
      <c r="Z27" s="5">
        <f t="shared" si="7"/>
        <v>-2022.12056691885</v>
      </c>
      <c r="AA27" s="5">
        <f t="shared" si="7"/>
        <v>-1700.1667008940999</v>
      </c>
      <c r="AB27" s="5">
        <f t="shared" si="7"/>
        <v>-1533.7117710315999</v>
      </c>
      <c r="AC27" s="5">
        <f t="shared" si="7"/>
        <v>-1395.57788501292</v>
      </c>
      <c r="AD27" s="5">
        <f t="shared" si="7"/>
        <v>-1279.97965699323</v>
      </c>
      <c r="AE27" s="5">
        <f t="shared" si="7"/>
        <v>-1182.2555209759</v>
      </c>
    </row>
    <row r="28" spans="1:31" x14ac:dyDescent="0.2">
      <c r="A28" t="s">
        <v>15</v>
      </c>
      <c r="B28" s="5">
        <f t="shared" ref="B28:AE28" si="8">IMABS(B25)</f>
        <v>380.81310978930787</v>
      </c>
      <c r="C28" s="5">
        <f t="shared" si="8"/>
        <v>460.0309012025362</v>
      </c>
      <c r="D28" s="5">
        <f t="shared" si="8"/>
        <v>705.78000273198575</v>
      </c>
      <c r="E28" s="5">
        <f t="shared" si="8"/>
        <v>789.90268563319478</v>
      </c>
      <c r="F28" s="5">
        <f t="shared" si="8"/>
        <v>1010.251536589305</v>
      </c>
      <c r="G28" s="5">
        <f t="shared" si="8"/>
        <v>1257.8335774789225</v>
      </c>
      <c r="H28" s="5">
        <f t="shared" si="8"/>
        <v>1579.9613921415378</v>
      </c>
      <c r="I28" s="5">
        <f t="shared" si="8"/>
        <v>1964.4907158538967</v>
      </c>
      <c r="J28" s="5">
        <f t="shared" si="8"/>
        <v>2453.6305920152654</v>
      </c>
      <c r="K28" s="5">
        <f t="shared" si="8"/>
        <v>3070.9787906279162</v>
      </c>
      <c r="L28" s="5">
        <f t="shared" si="8"/>
        <v>3815.6041551525259</v>
      </c>
      <c r="M28" s="5">
        <f t="shared" si="8"/>
        <v>4867.4110955430306</v>
      </c>
      <c r="N28" s="5">
        <f t="shared" si="8"/>
        <v>7970.6129467704686</v>
      </c>
      <c r="O28" s="5">
        <f t="shared" si="8"/>
        <v>10651.506702731942</v>
      </c>
      <c r="P28" s="5">
        <f t="shared" si="8"/>
        <v>8605.4548753016297</v>
      </c>
      <c r="Q28" s="5">
        <f t="shared" si="8"/>
        <v>6655.2503668736781</v>
      </c>
      <c r="R28" s="5">
        <f t="shared" si="8"/>
        <v>5197.0872492275385</v>
      </c>
      <c r="S28" s="5">
        <f t="shared" si="8"/>
        <v>4348.88931532262</v>
      </c>
      <c r="T28" s="5">
        <f t="shared" si="8"/>
        <v>3736.8766244551125</v>
      </c>
      <c r="U28" s="5">
        <f t="shared" si="8"/>
        <v>3284.2789221464559</v>
      </c>
      <c r="V28" s="5">
        <f t="shared" si="8"/>
        <v>2951.5625138927444</v>
      </c>
      <c r="W28" s="5">
        <f t="shared" si="8"/>
        <v>2684.139099254031</v>
      </c>
      <c r="X28" s="5">
        <f t="shared" si="8"/>
        <v>2454.6613536746827</v>
      </c>
      <c r="Y28" s="5">
        <f t="shared" si="8"/>
        <v>2262.9214377327794</v>
      </c>
      <c r="Z28" s="5">
        <f t="shared" si="8"/>
        <v>2103.7056626508497</v>
      </c>
      <c r="AA28" s="5">
        <f t="shared" si="8"/>
        <v>1743.9143217519788</v>
      </c>
      <c r="AB28" s="5">
        <f t="shared" si="8"/>
        <v>1563.5301100214758</v>
      </c>
      <c r="AC28" s="5">
        <f t="shared" si="8"/>
        <v>1416.6855633370265</v>
      </c>
      <c r="AD28" s="5">
        <f t="shared" si="8"/>
        <v>1295.4338109366922</v>
      </c>
      <c r="AE28" s="5">
        <f t="shared" si="8"/>
        <v>1193.8038072826273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opLeftCell="A22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510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4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3.8773536530605228E-4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csinterpolate(CSTableU2,'FT150-52 (2)'!B18*1000000)</f>
        <v>3.0499000000000001</v>
      </c>
      <c r="C19" s="7">
        <f>csinterpolate(CSTableU2,'FT150-52 (2)'!C18*1000000)</f>
        <v>3.2904831190109389</v>
      </c>
      <c r="D19" s="7">
        <f>csinterpolate(CSTableU2,'FT150-52 (2)'!D18*1000000)</f>
        <v>3.967018516752479</v>
      </c>
      <c r="E19" s="7">
        <f>csinterpolate(CSTableU2,'FT150-52 (2)'!E18*1000000)</f>
        <v>4.1624213685595173</v>
      </c>
      <c r="F19" s="7">
        <f>csinterpolate(CSTableU2,'FT150-52 (2)'!F18*1000000)</f>
        <v>4.6934474029834936</v>
      </c>
      <c r="G19" s="7">
        <f>csinterpolate(CSTableU2,'FT150-52 (2)'!G18*1000000)</f>
        <v>5.7869745969032644</v>
      </c>
      <c r="H19" s="7">
        <f>csinterpolate(CSTableU2,'FT150-52 (2)'!H18*1000000)</f>
        <v>7.3580620226877942</v>
      </c>
      <c r="I19" s="7">
        <f>csinterpolate(CSTableU2,'FT150-52 (2)'!I18*1000000)</f>
        <v>9.926754908090583</v>
      </c>
      <c r="J19" s="7">
        <f>csinterpolate(CSTableU2,'FT150-52 (2)'!J18*1000000)</f>
        <v>13.81033892745144</v>
      </c>
      <c r="K19" s="7">
        <f>csinterpolate(CSTableU2,'FT150-52 (2)'!K18*1000000)</f>
        <v>20.511611514548019</v>
      </c>
      <c r="L19" s="7">
        <f>csinterpolate(CSTableU2,'FT150-52 (2)'!L18*1000000)</f>
        <v>29.809955391832062</v>
      </c>
      <c r="M19" s="7">
        <f>csinterpolate(CSTableU2,'FT150-52 (2)'!M18*1000000)</f>
        <v>41.297758756922754</v>
      </c>
      <c r="N19" s="7">
        <f>csinterpolate(CSTableU2,'FT150-52 (2)'!N18*1000000)</f>
        <v>71.227829783683418</v>
      </c>
      <c r="O19" s="7">
        <f>csinterpolate(CSTableU2,'FT150-52 (2)'!O18*1000000)</f>
        <v>98.042432892117944</v>
      </c>
      <c r="P19" s="7">
        <f>csinterpolate(CSTableU2,'FT150-52 (2)'!P18*1000000)</f>
        <v>124.39851411420072</v>
      </c>
      <c r="Q19" s="7">
        <f>csinterpolate(CSTableU2,'FT150-52 (2)'!Q18*1000000)</f>
        <v>137.48080431574027</v>
      </c>
      <c r="R19" s="7">
        <f>csinterpolate(CSTableU2,'FT150-52 (2)'!R18*1000000)</f>
        <v>148.59943423102928</v>
      </c>
      <c r="S19" s="7">
        <f>csinterpolate(CSTableU2,'FT150-52 (2)'!S18*1000000)</f>
        <v>151.00249371940657</v>
      </c>
      <c r="T19" s="7">
        <f>csinterpolate(CSTableU2,'FT150-52 (2)'!T18*1000000)</f>
        <v>152.23128862750124</v>
      </c>
      <c r="U19" s="7">
        <f>csinterpolate(CSTableU2,'FT150-52 (2)'!U18*1000000)</f>
        <v>151.77044049308</v>
      </c>
      <c r="V19" s="7">
        <f>csinterpolate(CSTableU2,'FT150-52 (2)'!V18*1000000)</f>
        <v>148.19510684679508</v>
      </c>
      <c r="W19" s="7">
        <f>csinterpolate(CSTableU2,'FT150-52 (2)'!W18*1000000)</f>
        <v>144.19751813493576</v>
      </c>
      <c r="X19" s="7">
        <f>csinterpolate(CSTableU2,'FT150-52 (2)'!X18*1000000)</f>
        <v>141.70879370829715</v>
      </c>
      <c r="Y19" s="7">
        <f>csinterpolate(CSTableU2,'FT150-52 (2)'!Y18*1000000)</f>
        <v>139.08719283420325</v>
      </c>
      <c r="Z19" s="7">
        <f>csinterpolate(CSTableU2,'FT150-52 (2)'!Z18*1000000)</f>
        <v>135.50786137417444</v>
      </c>
      <c r="AA19" s="7">
        <f>csinterpolate(CSTableU2,'FT150-52 (2)'!AA18*1000000)</f>
        <v>124.19703145370912</v>
      </c>
      <c r="AB19" s="7">
        <f>csinterpolate(CSTableU2,'FT150-52 (2)'!AB18*1000000)</f>
        <v>118.85411849931367</v>
      </c>
      <c r="AC19" s="7">
        <f>csinterpolate(CSTableU2,'FT150-52 (2)'!AC18*1000000)</f>
        <v>114.37628656816462</v>
      </c>
      <c r="AD19" s="7">
        <f>csinterpolate(CSTableU2,'FT150-52 (2)'!AD18*1000000)</f>
        <v>110.32031789018907</v>
      </c>
      <c r="AE19" s="7">
        <f>csinterpolate(CSTableU2,'FT150-52 (2)'!AE18*1000000)</f>
        <v>106.57469008666072</v>
      </c>
    </row>
    <row r="20" spans="1:31" x14ac:dyDescent="0.2">
      <c r="A20" t="s">
        <v>3</v>
      </c>
      <c r="B20" s="7">
        <f>csinterpolate(CSTableU1,'FT150-52 (2)'!B18*1000000)</f>
        <v>271.82299999999998</v>
      </c>
      <c r="C20" s="7">
        <f>csinterpolate(CSTableU1,'FT150-52 (2)'!C18*1000000)</f>
        <v>272.19082946678634</v>
      </c>
      <c r="D20" s="7">
        <f>csinterpolate(CSTableU1,'FT150-52 (2)'!D18*1000000)</f>
        <v>272.34705648423068</v>
      </c>
      <c r="E20" s="7">
        <f>csinterpolate(CSTableU1,'FT150-52 (2)'!E18*1000000)</f>
        <v>271.78453117064919</v>
      </c>
      <c r="F20" s="7">
        <f>csinterpolate(CSTableU1,'FT150-52 (2)'!F18*1000000)</f>
        <v>270.41777375176463</v>
      </c>
      <c r="G20" s="7">
        <f>csinterpolate(CSTableU1,'FT150-52 (2)'!G18*1000000)</f>
        <v>270.72356701062466</v>
      </c>
      <c r="H20" s="7">
        <f>csinterpolate(CSTableU1,'FT150-52 (2)'!H18*1000000)</f>
        <v>277.74873858288925</v>
      </c>
      <c r="I20" s="7">
        <f>csinterpolate(CSTableU1,'FT150-52 (2)'!I18*1000000)</f>
        <v>284.40522241788904</v>
      </c>
      <c r="J20" s="7">
        <f>csinterpolate(CSTableU1,'FT150-52 (2)'!J18*1000000)</f>
        <v>292.22641370148841</v>
      </c>
      <c r="K20" s="7">
        <f>csinterpolate(CSTableU1,'FT150-52 (2)'!K18*1000000)</f>
        <v>298.93908294056735</v>
      </c>
      <c r="L20" s="7">
        <f>csinterpolate(CSTableU1,'FT150-52 (2)'!L18*1000000)</f>
        <v>301.5249441802431</v>
      </c>
      <c r="M20" s="7">
        <f>csinterpolate(CSTableU1,'FT150-52 (2)'!M18*1000000)</f>
        <v>305.38916179553797</v>
      </c>
      <c r="N20" s="7">
        <f>csinterpolate(CSTableU1,'FT150-52 (2)'!N18*1000000)</f>
        <v>305.24355321471819</v>
      </c>
      <c r="O20" s="7">
        <f>csinterpolate(CSTableU1,'FT150-52 (2)'!O18*1000000)</f>
        <v>296.23832150305083</v>
      </c>
      <c r="P20" s="7">
        <f>csinterpolate(CSTableU1,'FT150-52 (2)'!P18*1000000)</f>
        <v>276.51437232303493</v>
      </c>
      <c r="Q20" s="7">
        <f>csinterpolate(CSTableU1,'FT150-52 (2)'!Q18*1000000)</f>
        <v>260.28916563413679</v>
      </c>
      <c r="R20" s="7">
        <f>csinterpolate(CSTableU1,'FT150-52 (2)'!R18*1000000)</f>
        <v>237.53203498823027</v>
      </c>
      <c r="S20" s="7">
        <f>csinterpolate(CSTableU1,'FT150-52 (2)'!S18*1000000)</f>
        <v>218.87421660185237</v>
      </c>
      <c r="T20" s="7">
        <f>csinterpolate(CSTableU1,'FT150-52 (2)'!T18*1000000)</f>
        <v>203.33172189960433</v>
      </c>
      <c r="U20" s="7">
        <f>csinterpolate(CSTableU1,'FT150-52 (2)'!U18*1000000)</f>
        <v>189.37650548986889</v>
      </c>
      <c r="V20" s="7">
        <f>csinterpolate(CSTableU1,'FT150-52 (2)'!V18*1000000)</f>
        <v>177.33002992245264</v>
      </c>
      <c r="W20" s="7">
        <f>csinterpolate(CSTableU1,'FT150-52 (2)'!W18*1000000)</f>
        <v>167.20965609439202</v>
      </c>
      <c r="X20" s="7">
        <f>csinterpolate(CSTableU1,'FT150-52 (2)'!X18*1000000)</f>
        <v>158.87810019508268</v>
      </c>
      <c r="Y20" s="7">
        <f>csinterpolate(CSTableU1,'FT150-52 (2)'!Y18*1000000)</f>
        <v>151.50124323103856</v>
      </c>
      <c r="Z20" s="7">
        <f>csinterpolate(CSTableU1,'FT150-52 (2)'!Z18*1000000)</f>
        <v>144.69637942438118</v>
      </c>
      <c r="AA20" s="7">
        <f>csinterpolate(CSTableU1,'FT150-52 (2)'!AA18*1000000)</f>
        <v>128.55578016848358</v>
      </c>
      <c r="AB20" s="7">
        <f>csinterpolate(CSTableU1,'FT150-52 (2)'!AB18*1000000)</f>
        <v>121.04195811736874</v>
      </c>
      <c r="AC20" s="7">
        <f>csinterpolate(CSTableU1,'FT150-52 (2)'!AC18*1000000)</f>
        <v>114.435694181161</v>
      </c>
      <c r="AD20" s="7">
        <f>csinterpolate(CSTableU1,'FT150-52 (2)'!AD18*1000000)</f>
        <v>108.49306247968192</v>
      </c>
      <c r="AE20" s="7">
        <f>csinterpolate(CSTableU1,'FT150-52 (2)'!AE18*1000000)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4.7302163625877158</v>
      </c>
      <c r="C21" s="5">
        <f t="shared" si="1"/>
        <v>6.1240160360789035</v>
      </c>
      <c r="D21" s="5">
        <f t="shared" si="1"/>
        <v>11.074704291136051</v>
      </c>
      <c r="E21" s="5">
        <f t="shared" si="1"/>
        <v>12.91134375916914</v>
      </c>
      <c r="F21" s="5">
        <f t="shared" si="1"/>
        <v>18.198155433405471</v>
      </c>
      <c r="G21" s="5">
        <f t="shared" si="1"/>
        <v>26.92577651216558</v>
      </c>
      <c r="H21" s="5">
        <f t="shared" si="1"/>
        <v>39.941732128360186</v>
      </c>
      <c r="I21" s="5">
        <f t="shared" si="1"/>
        <v>61.583263049474397</v>
      </c>
      <c r="J21" s="5">
        <f t="shared" si="1"/>
        <v>96.385622562644002</v>
      </c>
      <c r="K21" s="5">
        <f t="shared" si="1"/>
        <v>159.06154367218207</v>
      </c>
      <c r="L21" s="5">
        <f t="shared" si="1"/>
        <v>254.28422675940078</v>
      </c>
      <c r="M21" s="5">
        <f t="shared" si="1"/>
        <v>384.30243787047988</v>
      </c>
      <c r="N21" s="5">
        <f t="shared" si="1"/>
        <v>773.29136083174637</v>
      </c>
      <c r="O21" s="5">
        <f t="shared" si="1"/>
        <v>1216.464593053423</v>
      </c>
      <c r="P21" s="5">
        <f t="shared" si="1"/>
        <v>1736.4133192895897</v>
      </c>
      <c r="Q21" s="5">
        <f t="shared" si="1"/>
        <v>2132.2467953573378</v>
      </c>
      <c r="R21" s="5">
        <f t="shared" si="1"/>
        <v>2535.1592602969968</v>
      </c>
      <c r="S21" s="5">
        <f t="shared" si="1"/>
        <v>2810.3523390921105</v>
      </c>
      <c r="T21" s="5">
        <f t="shared" si="1"/>
        <v>3069.3236239637545</v>
      </c>
      <c r="U21" s="5">
        <f t="shared" si="1"/>
        <v>3295.4189624857113</v>
      </c>
      <c r="V21" s="5">
        <f t="shared" si="1"/>
        <v>3447.6290333886923</v>
      </c>
      <c r="W21" s="5">
        <f t="shared" si="1"/>
        <v>3578.2705516976266</v>
      </c>
      <c r="X21" s="5">
        <f t="shared" si="1"/>
        <v>3736.2947408985287</v>
      </c>
      <c r="Y21" s="5">
        <f t="shared" si="1"/>
        <v>3882.8896936533456</v>
      </c>
      <c r="Z21" s="5">
        <f t="shared" si="1"/>
        <v>3993.1304500135639</v>
      </c>
      <c r="AA21" s="5">
        <f t="shared" si="1"/>
        <v>4237.6911597355429</v>
      </c>
      <c r="AB21" s="5">
        <f t="shared" si="1"/>
        <v>4424.0587252281803</v>
      </c>
      <c r="AC21" s="5">
        <f t="shared" si="1"/>
        <v>4612.1640505051309</v>
      </c>
      <c r="AD21" s="5">
        <f t="shared" si="1"/>
        <v>4790.809940877215</v>
      </c>
      <c r="AE21" s="5">
        <f t="shared" si="1"/>
        <v>4958.7331671756847</v>
      </c>
    </row>
    <row r="22" spans="1:31" x14ac:dyDescent="0.2">
      <c r="A22" t="s">
        <v>11</v>
      </c>
      <c r="B22" s="5">
        <f t="shared" ref="B22:AE22" si="2">B20/$B$13*$B$16*B18*1000000</f>
        <v>421.58156081434817</v>
      </c>
      <c r="C22" s="5">
        <f t="shared" si="2"/>
        <v>506.58245134205663</v>
      </c>
      <c r="D22" s="5">
        <f t="shared" si="2"/>
        <v>760.30981513877691</v>
      </c>
      <c r="E22" s="5">
        <f t="shared" si="2"/>
        <v>843.04379582388663</v>
      </c>
      <c r="F22" s="5">
        <f t="shared" si="2"/>
        <v>1048.5053429088985</v>
      </c>
      <c r="G22" s="5">
        <f t="shared" si="2"/>
        <v>1259.6292138218651</v>
      </c>
      <c r="H22" s="5">
        <f t="shared" si="2"/>
        <v>1507.7021206482448</v>
      </c>
      <c r="I22" s="5">
        <f t="shared" si="2"/>
        <v>1764.3834049463878</v>
      </c>
      <c r="J22" s="5">
        <f t="shared" si="2"/>
        <v>2039.5172748352347</v>
      </c>
      <c r="K22" s="5">
        <f t="shared" si="2"/>
        <v>2318.1850905643428</v>
      </c>
      <c r="L22" s="5">
        <f t="shared" si="2"/>
        <v>2572.0614563734989</v>
      </c>
      <c r="M22" s="5">
        <f t="shared" si="2"/>
        <v>2841.8442770232487</v>
      </c>
      <c r="N22" s="5">
        <f t="shared" si="2"/>
        <v>3313.904177164733</v>
      </c>
      <c r="O22" s="5">
        <f t="shared" si="2"/>
        <v>3675.5863617803898</v>
      </c>
      <c r="P22" s="5">
        <f t="shared" si="2"/>
        <v>3859.7184419416453</v>
      </c>
      <c r="Q22" s="5">
        <f t="shared" si="2"/>
        <v>4036.9325888943831</v>
      </c>
      <c r="R22" s="5">
        <f t="shared" si="2"/>
        <v>4052.3810957542646</v>
      </c>
      <c r="S22" s="5">
        <f t="shared" si="2"/>
        <v>4073.5331678493712</v>
      </c>
      <c r="T22" s="5">
        <f t="shared" si="2"/>
        <v>4099.6227723906886</v>
      </c>
      <c r="U22" s="5">
        <f t="shared" si="2"/>
        <v>4111.9662380438849</v>
      </c>
      <c r="V22" s="5">
        <f t="shared" si="2"/>
        <v>4125.4274359029214</v>
      </c>
      <c r="W22" s="5">
        <f t="shared" si="2"/>
        <v>4149.3182136613414</v>
      </c>
      <c r="X22" s="5">
        <f t="shared" si="2"/>
        <v>4188.9807588424937</v>
      </c>
      <c r="Y22" s="5">
        <f t="shared" si="2"/>
        <v>4229.4520719725624</v>
      </c>
      <c r="Z22" s="5">
        <f t="shared" si="2"/>
        <v>4263.8966686277436</v>
      </c>
      <c r="AA22" s="5">
        <f t="shared" si="2"/>
        <v>4386.4147699531741</v>
      </c>
      <c r="AB22" s="5">
        <f t="shared" si="2"/>
        <v>4505.4957934077938</v>
      </c>
      <c r="AC22" s="5">
        <f t="shared" si="2"/>
        <v>4614.5596314879504</v>
      </c>
      <c r="AD22" s="5">
        <f t="shared" si="2"/>
        <v>4711.4588879379644</v>
      </c>
      <c r="AE22" s="5">
        <f t="shared" si="2"/>
        <v>4817.5813961022477</v>
      </c>
    </row>
    <row r="23" spans="1:31" x14ac:dyDescent="0.2">
      <c r="A23" t="s">
        <v>12</v>
      </c>
      <c r="B23" s="5" t="str">
        <f t="shared" ref="B23:AE23" si="3">IMDIV(1,COMPLEX(B21,B22))</f>
        <v>0.0000266111179803364-0.00237172167047082i</v>
      </c>
      <c r="C23" s="5" t="str">
        <f t="shared" si="3"/>
        <v>0.0000238601172347536-0.00197372387774306i</v>
      </c>
      <c r="D23" s="5" t="str">
        <f t="shared" si="3"/>
        <v>0.0000191539703378117-0.00131497431117606i</v>
      </c>
      <c r="E23" s="5" t="str">
        <f t="shared" si="3"/>
        <v>0.0000181622361160307-0.00118589983827474i</v>
      </c>
      <c r="F23" s="5" t="str">
        <f t="shared" si="3"/>
        <v>0.0000165483716907413-0.000953451364764921i</v>
      </c>
      <c r="G23" s="5" t="str">
        <f t="shared" si="3"/>
        <v>0.0000169622863485152-0.000793521828726016i</v>
      </c>
      <c r="H23" s="5" t="str">
        <f t="shared" si="3"/>
        <v>0.0000175586497490422-0.000662795829116124i</v>
      </c>
      <c r="I23" s="5" t="str">
        <f t="shared" si="3"/>
        <v>0.0000197582286561126-0.000566080604140361i</v>
      </c>
      <c r="J23" s="5" t="str">
        <f t="shared" si="3"/>
        <v>0.0000231200410885241-0.000489219470095745i</v>
      </c>
      <c r="K23" s="5" t="str">
        <f t="shared" si="3"/>
        <v>0.0000294597547193483-0.000429350568248128i</v>
      </c>
      <c r="L23" s="5" t="str">
        <f t="shared" si="3"/>
        <v>0.0000380655858232258-0.000385029883126941i</v>
      </c>
      <c r="M23" s="5" t="str">
        <f t="shared" si="3"/>
        <v>0.0000467307045282022-0.000345564774349658i</v>
      </c>
      <c r="N23" s="5" t="str">
        <f t="shared" si="3"/>
        <v>0.0000667785267027729-0.000286176271705919i</v>
      </c>
      <c r="O23" s="5" t="str">
        <f t="shared" si="3"/>
        <v>0.0000811532500229746-0.000245207119633363i</v>
      </c>
      <c r="P23" s="5" t="str">
        <f t="shared" si="3"/>
        <v>0.0000969383240306245-0.000215475562664419i</v>
      </c>
      <c r="Q23" s="5" t="str">
        <f t="shared" si="3"/>
        <v>0.000102298900865765-0.000193680097262791i</v>
      </c>
      <c r="R23" s="5" t="str">
        <f t="shared" si="3"/>
        <v>0.000110953594245878-0.000177356213816449i</v>
      </c>
      <c r="S23" s="5" t="str">
        <f t="shared" si="3"/>
        <v>0.000114746885165552-0.000166322647921179i</v>
      </c>
      <c r="T23" s="5" t="str">
        <f t="shared" si="3"/>
        <v>0.000117026234178783-0.000156309165596195i</v>
      </c>
      <c r="U23" s="5" t="str">
        <f t="shared" si="3"/>
        <v>0.000118676632605976-0.000148082629879759i</v>
      </c>
      <c r="V23" s="5" t="str">
        <f t="shared" si="3"/>
        <v>0.000119273259017067-0.000142722192658566i</v>
      </c>
      <c r="W23" s="5" t="str">
        <f t="shared" si="3"/>
        <v>0.000119192799260573-0.000138214493779554i</v>
      </c>
      <c r="X23" s="5" t="str">
        <f t="shared" si="3"/>
        <v>0.000118584454464958-0.000132952037379171i</v>
      </c>
      <c r="Y23" s="5" t="str">
        <f t="shared" si="3"/>
        <v>0.000117787903667856-0.000128300913115199i</v>
      </c>
      <c r="Z23" s="5" t="str">
        <f t="shared" si="3"/>
        <v>0.000117011706525998-0.000124946037173655i</v>
      </c>
      <c r="AA23" s="5" t="str">
        <f t="shared" si="3"/>
        <v>0.000113920529859933-0.000117918620291736i</v>
      </c>
      <c r="AB23" s="5" t="str">
        <f t="shared" si="3"/>
        <v>0.000110957119126992-0.000112999592574243i</v>
      </c>
      <c r="AC23" s="5" t="str">
        <f t="shared" si="3"/>
        <v>0.000108352686392399-0.000108408965317458i</v>
      </c>
      <c r="AD23" s="5" t="str">
        <f t="shared" si="3"/>
        <v>0.000106109441207149-0.000104351931309973i</v>
      </c>
      <c r="AE23" s="5" t="str">
        <f t="shared" si="3"/>
        <v>0.000103743256739721-0.000100790174988383i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0.0000251327412287183i</v>
      </c>
      <c r="C24" s="6" t="str">
        <f t="shared" si="4"/>
        <v>0.000030159289474462i</v>
      </c>
      <c r="D24" s="6" t="str">
        <f t="shared" si="4"/>
        <v>0.000045238934211693i</v>
      </c>
      <c r="E24" s="6" t="str">
        <f t="shared" si="4"/>
        <v>0.0000502654824574367i</v>
      </c>
      <c r="F24" s="6" t="str">
        <f t="shared" si="4"/>
        <v>0.0000628318530717959i</v>
      </c>
      <c r="G24" s="6" t="str">
        <f t="shared" si="4"/>
        <v>0.000075398223686155i</v>
      </c>
      <c r="H24" s="6" t="str">
        <f t="shared" si="4"/>
        <v>0.0000879645943005142i</v>
      </c>
      <c r="I24" s="6" t="str">
        <f t="shared" si="4"/>
        <v>0.000100530964914873i</v>
      </c>
      <c r="J24" s="6" t="str">
        <f t="shared" si="4"/>
        <v>0.000113097335529233i</v>
      </c>
      <c r="K24" s="6" t="str">
        <f t="shared" si="4"/>
        <v>0.000125663706143592i</v>
      </c>
      <c r="L24" s="6" t="str">
        <f t="shared" si="4"/>
        <v>0.000138230076757951i</v>
      </c>
      <c r="M24" s="6" t="str">
        <f t="shared" si="4"/>
        <v>0.00015079644737231i</v>
      </c>
      <c r="N24" s="6" t="str">
        <f t="shared" si="4"/>
        <v>0.000175929188601028i</v>
      </c>
      <c r="O24" s="6" t="str">
        <f t="shared" si="4"/>
        <v>0.000201061929829747i</v>
      </c>
      <c r="P24" s="6" t="str">
        <f t="shared" si="4"/>
        <v>0.000226194671058465i</v>
      </c>
      <c r="Q24" s="6" t="str">
        <f t="shared" si="4"/>
        <v>0.000251327412287183i</v>
      </c>
      <c r="R24" s="6" t="str">
        <f t="shared" si="4"/>
        <v>0.000276460153515902i</v>
      </c>
      <c r="S24" s="6" t="str">
        <f t="shared" si="4"/>
        <v>0.00030159289474462i</v>
      </c>
      <c r="T24" s="6" t="str">
        <f t="shared" si="4"/>
        <v>0.000326725635973338i</v>
      </c>
      <c r="U24" s="6" t="str">
        <f t="shared" si="4"/>
        <v>0.000351858377202057i</v>
      </c>
      <c r="V24" s="6" t="str">
        <f t="shared" si="4"/>
        <v>0.000376991118430775i</v>
      </c>
      <c r="W24" s="6" t="str">
        <f t="shared" si="4"/>
        <v>0.000402123859659493i</v>
      </c>
      <c r="X24" s="6" t="str">
        <f t="shared" si="4"/>
        <v>0.000427256600888212i</v>
      </c>
      <c r="Y24" s="6" t="str">
        <f t="shared" si="4"/>
        <v>0.00045238934211693i</v>
      </c>
      <c r="Z24" s="6" t="str">
        <f t="shared" si="4"/>
        <v>0.000477522083345648i</v>
      </c>
      <c r="AA24" s="6" t="str">
        <f t="shared" si="4"/>
        <v>0.000552920307031803i</v>
      </c>
      <c r="AB24" s="6" t="str">
        <f t="shared" si="4"/>
        <v>0.00060318578948924i</v>
      </c>
      <c r="AC24" s="6" t="str">
        <f t="shared" si="4"/>
        <v>0.000653451271946677i</v>
      </c>
      <c r="AD24" s="6" t="str">
        <f t="shared" si="4"/>
        <v>0.000703716754404114i</v>
      </c>
      <c r="AE24" s="6" t="str">
        <f t="shared" si="4"/>
        <v>0.00075398223686155i</v>
      </c>
    </row>
    <row r="25" spans="1:31" x14ac:dyDescent="0.2">
      <c r="A25" t="s">
        <v>14</v>
      </c>
      <c r="B25" s="6" t="str">
        <f t="shared" ref="B25:AE25" si="5">IMDIV(1,IMSUM(B23,B24))</f>
        <v>4.8320702265641+426.095683291257i</v>
      </c>
      <c r="C25" s="6" t="str">
        <f t="shared" si="5"/>
        <v>6.31552079697937+514.441000298369i</v>
      </c>
      <c r="D25" s="6" t="str">
        <f t="shared" si="5"/>
        <v>11.8777329016149+787.386499891447i</v>
      </c>
      <c r="E25" s="6" t="str">
        <f t="shared" si="5"/>
        <v>14.0793045698537+880.339946766185i</v>
      </c>
      <c r="F25" s="6" t="str">
        <f t="shared" si="5"/>
        <v>20.8555162379375+1122.42642569674i</v>
      </c>
      <c r="G25" s="6" t="str">
        <f t="shared" si="5"/>
        <v>32.8733340163848+1391.74145798996i</v>
      </c>
      <c r="H25" s="6" t="str">
        <f t="shared" si="5"/>
        <v>53.0891011559378+1738.01938126724i</v>
      </c>
      <c r="I25" s="6" t="str">
        <f t="shared" si="5"/>
        <v>90.9985488920473+2144.13661994084i</v>
      </c>
      <c r="J25" s="6" t="str">
        <f t="shared" si="5"/>
        <v>162.814443086152+2648.70272666676i</v>
      </c>
      <c r="K25" s="6" t="str">
        <f t="shared" si="5"/>
        <v>316.45310438482+3262.16735982353i</v>
      </c>
      <c r="L25" s="6" t="str">
        <f t="shared" si="5"/>
        <v>610.425190997127+3957.71707390678i</v>
      </c>
      <c r="M25" s="6" t="str">
        <f t="shared" si="5"/>
        <v>1164.81800644781+4854.83060098128i</v>
      </c>
      <c r="N25" s="6" t="str">
        <f t="shared" si="5"/>
        <v>4019.46352019229+6635.87758861587i</v>
      </c>
      <c r="O25" s="6" t="str">
        <f t="shared" si="5"/>
        <v>9508.68180973727+5172.46768495664i</v>
      </c>
      <c r="P25" s="6" t="str">
        <f t="shared" si="5"/>
        <v>10191.2275430905-1126.91109316335i</v>
      </c>
      <c r="Q25" s="6" t="str">
        <f t="shared" si="5"/>
        <v>7419.2658800933-4180.89298926763i</v>
      </c>
      <c r="R25" s="6" t="str">
        <f t="shared" si="5"/>
        <v>5013.19969751486-4477.79852379398i</v>
      </c>
      <c r="S25" s="6" t="str">
        <f t="shared" si="5"/>
        <v>3646.82332909455-4299.08568878694i</v>
      </c>
      <c r="T25" s="6" t="str">
        <f t="shared" si="5"/>
        <v>2738.29404938585-3987.57090686316i</v>
      </c>
      <c r="U25" s="6" t="str">
        <f t="shared" si="5"/>
        <v>2134.1379349626-3664.45814172832i</v>
      </c>
      <c r="V25" s="6" t="str">
        <f t="shared" si="5"/>
        <v>1725.89555703436-3389.89394163878i</v>
      </c>
      <c r="W25" s="6" t="str">
        <f t="shared" si="5"/>
        <v>1421.41422817317-3147.20796840946i</v>
      </c>
      <c r="X25" s="6" t="str">
        <f t="shared" si="5"/>
        <v>1177.86510991253-2923.2421619629i</v>
      </c>
      <c r="Y25" s="6" t="str">
        <f t="shared" si="5"/>
        <v>990.58597415948-2725.55535975725i</v>
      </c>
      <c r="Z25" s="6" t="str">
        <f t="shared" si="5"/>
        <v>847.901038203363-2554.8691192573i</v>
      </c>
      <c r="AA25" s="6" t="str">
        <f t="shared" si="5"/>
        <v>563.393058921858-2151.29732305476i</v>
      </c>
      <c r="AB25" s="6" t="str">
        <f t="shared" si="5"/>
        <v>439.270622223925-1940.6091057392i</v>
      </c>
      <c r="AC25" s="6" t="str">
        <f t="shared" si="5"/>
        <v>350.870075204372-1764.96810078143i</v>
      </c>
      <c r="AD25" s="6" t="str">
        <f t="shared" si="5"/>
        <v>286.397259111577-1617.73015284235i</v>
      </c>
      <c r="AE25" s="6" t="str">
        <f t="shared" si="5"/>
        <v>237.169438952104-1493.27483742963i</v>
      </c>
    </row>
    <row r="26" spans="1:31" x14ac:dyDescent="0.2">
      <c r="A26" t="s">
        <v>6</v>
      </c>
      <c r="B26" s="5">
        <f t="shared" ref="B26:AE26" si="6">IMREAL(B25)</f>
        <v>4.8320702265640998</v>
      </c>
      <c r="C26" s="5">
        <f t="shared" si="6"/>
        <v>6.3155207969793699</v>
      </c>
      <c r="D26" s="5">
        <f t="shared" si="6"/>
        <v>11.8777329016149</v>
      </c>
      <c r="E26" s="5">
        <f t="shared" si="6"/>
        <v>14.079304569853701</v>
      </c>
      <c r="F26" s="5">
        <f t="shared" si="6"/>
        <v>20.855516237937501</v>
      </c>
      <c r="G26" s="5">
        <f t="shared" si="6"/>
        <v>32.873334016384803</v>
      </c>
      <c r="H26" s="5">
        <f t="shared" si="6"/>
        <v>53.089101155937797</v>
      </c>
      <c r="I26" s="5">
        <f t="shared" si="6"/>
        <v>90.998548892047296</v>
      </c>
      <c r="J26" s="5">
        <f t="shared" si="6"/>
        <v>162.81444308615201</v>
      </c>
      <c r="K26" s="5">
        <f t="shared" si="6"/>
        <v>316.45310438481999</v>
      </c>
      <c r="L26" s="5">
        <f t="shared" si="6"/>
        <v>610.42519099712695</v>
      </c>
      <c r="M26" s="5">
        <f t="shared" si="6"/>
        <v>1164.8180064478099</v>
      </c>
      <c r="N26" s="5">
        <f t="shared" si="6"/>
        <v>4019.4635201922902</v>
      </c>
      <c r="O26" s="5">
        <f t="shared" si="6"/>
        <v>9508.6818097372707</v>
      </c>
      <c r="P26" s="5">
        <f t="shared" si="6"/>
        <v>10191.227543090499</v>
      </c>
      <c r="Q26" s="5">
        <f t="shared" si="6"/>
        <v>7419.2658800933004</v>
      </c>
      <c r="R26" s="5">
        <f t="shared" si="6"/>
        <v>5013.1996975148604</v>
      </c>
      <c r="S26" s="5">
        <f t="shared" si="6"/>
        <v>3646.82332909455</v>
      </c>
      <c r="T26" s="5">
        <f t="shared" si="6"/>
        <v>2738.29404938585</v>
      </c>
      <c r="U26" s="5">
        <f t="shared" si="6"/>
        <v>2134.1379349626</v>
      </c>
      <c r="V26" s="5">
        <f t="shared" si="6"/>
        <v>1725.8955570343601</v>
      </c>
      <c r="W26" s="5">
        <f t="shared" si="6"/>
        <v>1421.4142281731699</v>
      </c>
      <c r="X26" s="5">
        <f t="shared" si="6"/>
        <v>1177.86510991253</v>
      </c>
      <c r="Y26" s="5">
        <f t="shared" si="6"/>
        <v>990.58597415947997</v>
      </c>
      <c r="Z26" s="5">
        <f t="shared" si="6"/>
        <v>847.90103820336299</v>
      </c>
      <c r="AA26" s="5">
        <f t="shared" si="6"/>
        <v>563.39305892185803</v>
      </c>
      <c r="AB26" s="5">
        <f t="shared" si="6"/>
        <v>439.27062222392499</v>
      </c>
      <c r="AC26" s="5">
        <f t="shared" si="6"/>
        <v>350.87007520437197</v>
      </c>
      <c r="AD26" s="5">
        <f t="shared" si="6"/>
        <v>286.397259111577</v>
      </c>
      <c r="AE26" s="5">
        <f t="shared" si="6"/>
        <v>237.169438952104</v>
      </c>
    </row>
    <row r="27" spans="1:31" x14ac:dyDescent="0.2">
      <c r="A27" t="s">
        <v>7</v>
      </c>
      <c r="B27" s="5">
        <f t="shared" ref="B27:AE27" si="7">IMAGINARY(B25)</f>
        <v>426.09568329125699</v>
      </c>
      <c r="C27" s="5">
        <f t="shared" si="7"/>
        <v>514.44100029836898</v>
      </c>
      <c r="D27" s="5">
        <f t="shared" si="7"/>
        <v>787.38649989144699</v>
      </c>
      <c r="E27" s="5">
        <f t="shared" si="7"/>
        <v>880.33994676618499</v>
      </c>
      <c r="F27" s="5">
        <f t="shared" si="7"/>
        <v>1122.4264256967399</v>
      </c>
      <c r="G27" s="5">
        <f t="shared" si="7"/>
        <v>1391.7414579899601</v>
      </c>
      <c r="H27" s="5">
        <f t="shared" si="7"/>
        <v>1738.0193812672401</v>
      </c>
      <c r="I27" s="5">
        <f t="shared" si="7"/>
        <v>2144.1366199408399</v>
      </c>
      <c r="J27" s="5">
        <f t="shared" si="7"/>
        <v>2648.7027266667601</v>
      </c>
      <c r="K27" s="5">
        <f t="shared" si="7"/>
        <v>3262.1673598235302</v>
      </c>
      <c r="L27" s="5">
        <f t="shared" si="7"/>
        <v>3957.7170739067801</v>
      </c>
      <c r="M27" s="5">
        <f t="shared" si="7"/>
        <v>4854.8306009812804</v>
      </c>
      <c r="N27" s="5">
        <f t="shared" si="7"/>
        <v>6635.8775886158701</v>
      </c>
      <c r="O27" s="5">
        <f t="shared" si="7"/>
        <v>5172.4676849566404</v>
      </c>
      <c r="P27" s="5">
        <f t="shared" si="7"/>
        <v>-1126.91109316335</v>
      </c>
      <c r="Q27" s="5">
        <f t="shared" si="7"/>
        <v>-4180.8929892676297</v>
      </c>
      <c r="R27" s="5">
        <f t="shared" si="7"/>
        <v>-4477.7985237939802</v>
      </c>
      <c r="S27" s="5">
        <f t="shared" si="7"/>
        <v>-4299.0856887869404</v>
      </c>
      <c r="T27" s="5">
        <f t="shared" si="7"/>
        <v>-3987.57090686316</v>
      </c>
      <c r="U27" s="5">
        <f t="shared" si="7"/>
        <v>-3664.4581417283198</v>
      </c>
      <c r="V27" s="5">
        <f t="shared" si="7"/>
        <v>-3389.8939416387798</v>
      </c>
      <c r="W27" s="5">
        <f t="shared" si="7"/>
        <v>-3147.2079684094601</v>
      </c>
      <c r="X27" s="5">
        <f t="shared" si="7"/>
        <v>-2923.2421619628999</v>
      </c>
      <c r="Y27" s="5">
        <f t="shared" si="7"/>
        <v>-2725.5553597572498</v>
      </c>
      <c r="Z27" s="5">
        <f t="shared" si="7"/>
        <v>-2554.8691192573001</v>
      </c>
      <c r="AA27" s="5">
        <f t="shared" si="7"/>
        <v>-2151.29732305476</v>
      </c>
      <c r="AB27" s="5">
        <f t="shared" si="7"/>
        <v>-1940.6091057392</v>
      </c>
      <c r="AC27" s="5">
        <f t="shared" si="7"/>
        <v>-1764.9681007814299</v>
      </c>
      <c r="AD27" s="5">
        <f t="shared" si="7"/>
        <v>-1617.73015284235</v>
      </c>
      <c r="AE27" s="5">
        <f t="shared" si="7"/>
        <v>-1493.27483742963</v>
      </c>
    </row>
    <row r="28" spans="1:31" x14ac:dyDescent="0.2">
      <c r="A28" t="s">
        <v>15</v>
      </c>
      <c r="B28" s="5">
        <f t="shared" ref="B28:AE28" si="8">IMABS(B25)</f>
        <v>426.12308107179274</v>
      </c>
      <c r="C28" s="5">
        <f t="shared" si="8"/>
        <v>514.47976499656772</v>
      </c>
      <c r="D28" s="5">
        <f t="shared" si="8"/>
        <v>787.47608265279143</v>
      </c>
      <c r="E28" s="5">
        <f t="shared" si="8"/>
        <v>880.45252494922181</v>
      </c>
      <c r="F28" s="5">
        <f t="shared" si="8"/>
        <v>1122.620164463435</v>
      </c>
      <c r="G28" s="5">
        <f t="shared" si="8"/>
        <v>1392.129642661693</v>
      </c>
      <c r="H28" s="5">
        <f t="shared" si="8"/>
        <v>1738.8300153615089</v>
      </c>
      <c r="I28" s="5">
        <f t="shared" si="8"/>
        <v>2146.0667699006449</v>
      </c>
      <c r="J28" s="5">
        <f t="shared" si="8"/>
        <v>2653.7020701520705</v>
      </c>
      <c r="K28" s="5">
        <f t="shared" si="8"/>
        <v>3277.4805034924029</v>
      </c>
      <c r="L28" s="5">
        <f t="shared" si="8"/>
        <v>4004.5153702910325</v>
      </c>
      <c r="M28" s="5">
        <f t="shared" si="8"/>
        <v>4992.6126579546817</v>
      </c>
      <c r="N28" s="5">
        <f t="shared" si="8"/>
        <v>7758.2832096573384</v>
      </c>
      <c r="O28" s="5">
        <f t="shared" si="8"/>
        <v>10824.483900433737</v>
      </c>
      <c r="P28" s="5">
        <f t="shared" si="8"/>
        <v>10253.343232670066</v>
      </c>
      <c r="Q28" s="5">
        <f t="shared" si="8"/>
        <v>8516.1829705111322</v>
      </c>
      <c r="R28" s="5">
        <f t="shared" si="8"/>
        <v>6721.819011759736</v>
      </c>
      <c r="S28" s="5">
        <f t="shared" si="8"/>
        <v>5637.5046033826829</v>
      </c>
      <c r="T28" s="5">
        <f t="shared" si="8"/>
        <v>4837.2488087923948</v>
      </c>
      <c r="U28" s="5">
        <f t="shared" si="8"/>
        <v>4240.6129507331125</v>
      </c>
      <c r="V28" s="5">
        <f t="shared" si="8"/>
        <v>3803.9579925848611</v>
      </c>
      <c r="W28" s="5">
        <f t="shared" si="8"/>
        <v>3453.3080378780473</v>
      </c>
      <c r="X28" s="5">
        <f t="shared" si="8"/>
        <v>3151.6203696871207</v>
      </c>
      <c r="Y28" s="5">
        <f t="shared" si="8"/>
        <v>2899.984929495834</v>
      </c>
      <c r="Z28" s="5">
        <f t="shared" si="8"/>
        <v>2691.8938290952178</v>
      </c>
      <c r="AA28" s="5">
        <f t="shared" si="8"/>
        <v>2223.8461976998101</v>
      </c>
      <c r="AB28" s="5">
        <f t="shared" si="8"/>
        <v>1989.7040937855288</v>
      </c>
      <c r="AC28" s="5">
        <f t="shared" si="8"/>
        <v>1799.5061006981693</v>
      </c>
      <c r="AD28" s="5">
        <f t="shared" si="8"/>
        <v>1642.8859477888161</v>
      </c>
      <c r="AE28" s="5">
        <f t="shared" si="8"/>
        <v>1511.991760186987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5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180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4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1.3684777599037141E-4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csinterpolate(CSTableU2,'FT94-52'!B18*1000000)</f>
        <v>3.0499000000000001</v>
      </c>
      <c r="C19" s="7">
        <f>csinterpolate(CSTableU2,'FT94-52'!C18*1000000)</f>
        <v>3.2904831190109389</v>
      </c>
      <c r="D19" s="7">
        <f>csinterpolate(CSTableU2,'FT94-52'!D18*1000000)</f>
        <v>3.967018516752479</v>
      </c>
      <c r="E19" s="7">
        <f>csinterpolate(CSTableU2,'FT94-52'!E18*1000000)</f>
        <v>4.1624213685595173</v>
      </c>
      <c r="F19" s="7">
        <f>csinterpolate(CSTableU2,'FT94-52'!F18*1000000)</f>
        <v>4.6934474029834936</v>
      </c>
      <c r="G19" s="7">
        <f>csinterpolate(CSTableU2,'FT94-52'!G18*1000000)</f>
        <v>5.7869745969032644</v>
      </c>
      <c r="H19" s="7">
        <f>csinterpolate(CSTableU2,'FT94-52'!H18*1000000)</f>
        <v>7.3580620226877942</v>
      </c>
      <c r="I19" s="7">
        <f>csinterpolate(CSTableU2,'FT94-52'!I18*1000000)</f>
        <v>9.926754908090583</v>
      </c>
      <c r="J19" s="7">
        <f>csinterpolate(CSTableU2,'FT94-52'!J18*1000000)</f>
        <v>13.81033892745144</v>
      </c>
      <c r="K19" s="7">
        <f>csinterpolate(CSTableU2,'FT94-52'!K18*1000000)</f>
        <v>20.511611514548019</v>
      </c>
      <c r="L19" s="7">
        <f>csinterpolate(CSTableU2,'FT94-52'!L18*1000000)</f>
        <v>29.809955391832062</v>
      </c>
      <c r="M19" s="7">
        <f>csinterpolate(CSTableU2,'FT94-52'!M18*1000000)</f>
        <v>41.297758756922754</v>
      </c>
      <c r="N19" s="7">
        <f>csinterpolate(CSTableU2,'FT94-52'!N18*1000000)</f>
        <v>71.227829783683418</v>
      </c>
      <c r="O19" s="7">
        <f>csinterpolate(CSTableU2,'FT94-52'!O18*1000000)</f>
        <v>98.042432892117944</v>
      </c>
      <c r="P19" s="7">
        <f>csinterpolate(CSTableU2,'FT94-52'!P18*1000000)</f>
        <v>124.39851411420072</v>
      </c>
      <c r="Q19" s="7">
        <f>csinterpolate(CSTableU2,'FT94-52'!Q18*1000000)</f>
        <v>137.48080431574027</v>
      </c>
      <c r="R19" s="7">
        <f>csinterpolate(CSTableU2,'FT94-52'!R18*1000000)</f>
        <v>148.59943423102928</v>
      </c>
      <c r="S19" s="7">
        <f>csinterpolate(CSTableU2,'FT94-52'!S18*1000000)</f>
        <v>151.00249371940657</v>
      </c>
      <c r="T19" s="7">
        <f>csinterpolate(CSTableU2,'FT94-52'!T18*1000000)</f>
        <v>152.23128862750124</v>
      </c>
      <c r="U19" s="7">
        <f>csinterpolate(CSTableU2,'FT94-52'!U18*1000000)</f>
        <v>151.77044049308</v>
      </c>
      <c r="V19" s="7">
        <f>csinterpolate(CSTableU2,'FT94-52'!V18*1000000)</f>
        <v>148.19510684679508</v>
      </c>
      <c r="W19" s="7">
        <f>csinterpolate(CSTableU2,'FT94-52'!W18*1000000)</f>
        <v>144.19751813493576</v>
      </c>
      <c r="X19" s="7">
        <f>csinterpolate(CSTableU2,'FT94-52'!X18*1000000)</f>
        <v>141.70879370829715</v>
      </c>
      <c r="Y19" s="7">
        <f>csinterpolate(CSTableU2,'FT94-52'!Y18*1000000)</f>
        <v>139.08719283420325</v>
      </c>
      <c r="Z19" s="7">
        <f>csinterpolate(CSTableU2,'FT94-52'!Z18*1000000)</f>
        <v>135.50786137417444</v>
      </c>
      <c r="AA19" s="7">
        <f>csinterpolate(CSTableU2,'FT94-52'!AA18*1000000)</f>
        <v>124.19703145370912</v>
      </c>
      <c r="AB19" s="7">
        <f>csinterpolate(CSTableU2,'FT94-52'!AB18*1000000)</f>
        <v>118.85411849931367</v>
      </c>
      <c r="AC19" s="7">
        <f>csinterpolate(CSTableU2,'FT94-52'!AC18*1000000)</f>
        <v>114.37628656816462</v>
      </c>
      <c r="AD19" s="7">
        <f>csinterpolate(CSTableU2,'FT94-52'!AD18*1000000)</f>
        <v>110.32031789018907</v>
      </c>
      <c r="AE19" s="7">
        <f>csinterpolate(CSTableU2,'FT94-52'!AE18*1000000)</f>
        <v>106.57469008666072</v>
      </c>
    </row>
    <row r="20" spans="1:31" x14ac:dyDescent="0.2">
      <c r="A20" t="s">
        <v>3</v>
      </c>
      <c r="B20" s="7">
        <f>csinterpolate(CSTableU1,'FT94-52'!B18*1000000)</f>
        <v>271.82299999999998</v>
      </c>
      <c r="C20" s="7">
        <f>csinterpolate(CSTableU1,'FT94-52'!C18*1000000)</f>
        <v>272.19082946678634</v>
      </c>
      <c r="D20" s="7">
        <f>csinterpolate(CSTableU1,'FT94-52'!D18*1000000)</f>
        <v>272.34705648423068</v>
      </c>
      <c r="E20" s="7">
        <f>csinterpolate(CSTableU1,'FT94-52'!E18*1000000)</f>
        <v>271.78453117064919</v>
      </c>
      <c r="F20" s="7">
        <f>csinterpolate(CSTableU1,'FT94-52'!F18*1000000)</f>
        <v>270.41777375176463</v>
      </c>
      <c r="G20" s="7">
        <f>csinterpolate(CSTableU1,'FT94-52'!G18*1000000)</f>
        <v>270.72356701062466</v>
      </c>
      <c r="H20" s="7">
        <f>csinterpolate(CSTableU1,'FT94-52'!H18*1000000)</f>
        <v>277.74873858288925</v>
      </c>
      <c r="I20" s="7">
        <f>csinterpolate(CSTableU1,'FT94-52'!I18*1000000)</f>
        <v>284.40522241788904</v>
      </c>
      <c r="J20" s="7">
        <f>csinterpolate(CSTableU1,'FT94-52'!J18*1000000)</f>
        <v>292.22641370148841</v>
      </c>
      <c r="K20" s="7">
        <f>csinterpolate(CSTableU1,'FT94-52'!K18*1000000)</f>
        <v>298.93908294056735</v>
      </c>
      <c r="L20" s="7">
        <f>csinterpolate(CSTableU1,'FT94-52'!L18*1000000)</f>
        <v>301.5249441802431</v>
      </c>
      <c r="M20" s="7">
        <f>csinterpolate(CSTableU1,'FT94-52'!M18*1000000)</f>
        <v>305.38916179553797</v>
      </c>
      <c r="N20" s="7">
        <f>csinterpolate(CSTableU1,'FT94-52'!N18*1000000)</f>
        <v>305.24355321471819</v>
      </c>
      <c r="O20" s="7">
        <f>csinterpolate(CSTableU1,'FT94-52'!O18*1000000)</f>
        <v>296.23832150305083</v>
      </c>
      <c r="P20" s="7">
        <f>csinterpolate(CSTableU1,'FT94-52'!P18*1000000)</f>
        <v>276.51437232303493</v>
      </c>
      <c r="Q20" s="7">
        <f>csinterpolate(CSTableU1,'FT94-52'!Q18*1000000)</f>
        <v>260.28916563413679</v>
      </c>
      <c r="R20" s="7">
        <f>csinterpolate(CSTableU1,'FT94-52'!R18*1000000)</f>
        <v>237.53203498823027</v>
      </c>
      <c r="S20" s="7">
        <f>csinterpolate(CSTableU1,'FT94-52'!S18*1000000)</f>
        <v>218.87421660185237</v>
      </c>
      <c r="T20" s="7">
        <f>csinterpolate(CSTableU1,'FT94-52'!T18*1000000)</f>
        <v>203.33172189960433</v>
      </c>
      <c r="U20" s="7">
        <f>csinterpolate(CSTableU1,'FT94-52'!U18*1000000)</f>
        <v>189.37650548986889</v>
      </c>
      <c r="V20" s="7">
        <f>csinterpolate(CSTableU1,'FT94-52'!V18*1000000)</f>
        <v>177.33002992245264</v>
      </c>
      <c r="W20" s="7">
        <f>csinterpolate(CSTableU1,'FT94-52'!W18*1000000)</f>
        <v>167.20965609439202</v>
      </c>
      <c r="X20" s="7">
        <f>csinterpolate(CSTableU1,'FT94-52'!X18*1000000)</f>
        <v>158.87810019508268</v>
      </c>
      <c r="Y20" s="7">
        <f>csinterpolate(CSTableU1,'FT94-52'!Y18*1000000)</f>
        <v>151.50124323103856</v>
      </c>
      <c r="Z20" s="7">
        <f>csinterpolate(CSTableU1,'FT94-52'!Z18*1000000)</f>
        <v>144.69637942438118</v>
      </c>
      <c r="AA20" s="7">
        <f>csinterpolate(CSTableU1,'FT94-52'!AA18*1000000)</f>
        <v>128.55578016848358</v>
      </c>
      <c r="AB20" s="7">
        <f>csinterpolate(CSTableU1,'FT94-52'!AB18*1000000)</f>
        <v>121.04195811736874</v>
      </c>
      <c r="AC20" s="7">
        <f>csinterpolate(CSTableU1,'FT94-52'!AC18*1000000)</f>
        <v>114.435694181161</v>
      </c>
      <c r="AD20" s="7">
        <f>csinterpolate(CSTableU1,'FT94-52'!AD18*1000000)</f>
        <v>108.49306247968192</v>
      </c>
      <c r="AE20" s="7">
        <f>csinterpolate(CSTableU1,'FT94-52'!AE18*1000000)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1.669488127972135</v>
      </c>
      <c r="C21" s="5">
        <f t="shared" si="1"/>
        <v>2.1614174244984365</v>
      </c>
      <c r="D21" s="5">
        <f t="shared" si="1"/>
        <v>3.9087191615774297</v>
      </c>
      <c r="E21" s="5">
        <f t="shared" si="1"/>
        <v>4.5569448561773447</v>
      </c>
      <c r="F21" s="5">
        <f t="shared" si="1"/>
        <v>6.4228783882607559</v>
      </c>
      <c r="G21" s="5">
        <f t="shared" si="1"/>
        <v>9.5032152395878526</v>
      </c>
      <c r="H21" s="5">
        <f t="shared" si="1"/>
        <v>14.097081927656538</v>
      </c>
      <c r="I21" s="5">
        <f t="shared" si="1"/>
        <v>21.735269311579199</v>
      </c>
      <c r="J21" s="5">
        <f t="shared" si="1"/>
        <v>34.018455022109656</v>
      </c>
      <c r="K21" s="5">
        <f t="shared" si="1"/>
        <v>56.139368354887793</v>
      </c>
      <c r="L21" s="5">
        <f t="shared" si="1"/>
        <v>89.747374150376771</v>
      </c>
      <c r="M21" s="5">
        <f t="shared" si="1"/>
        <v>135.63615454252235</v>
      </c>
      <c r="N21" s="5">
        <f t="shared" si="1"/>
        <v>272.92636264649877</v>
      </c>
      <c r="O21" s="5">
        <f t="shared" si="1"/>
        <v>429.34044460709049</v>
      </c>
      <c r="P21" s="5">
        <f t="shared" si="1"/>
        <v>612.8517597492671</v>
      </c>
      <c r="Q21" s="5">
        <f t="shared" si="1"/>
        <v>752.55769247906051</v>
      </c>
      <c r="R21" s="5">
        <f t="shared" si="1"/>
        <v>894.76209186952826</v>
      </c>
      <c r="S21" s="5">
        <f t="shared" si="1"/>
        <v>991.88906085603912</v>
      </c>
      <c r="T21" s="5">
        <f t="shared" si="1"/>
        <v>1083.2906908107368</v>
      </c>
      <c r="U21" s="5">
        <f t="shared" si="1"/>
        <v>1163.0890455831923</v>
      </c>
      <c r="V21" s="5">
        <f t="shared" si="1"/>
        <v>1216.8102470783622</v>
      </c>
      <c r="W21" s="5">
        <f t="shared" si="1"/>
        <v>1262.9190182462214</v>
      </c>
      <c r="X21" s="5">
        <f t="shared" si="1"/>
        <v>1318.6922614935984</v>
      </c>
      <c r="Y21" s="5">
        <f t="shared" si="1"/>
        <v>1370.4316565835338</v>
      </c>
      <c r="Z21" s="5">
        <f t="shared" si="1"/>
        <v>1409.3401588283168</v>
      </c>
      <c r="AA21" s="5">
        <f t="shared" si="1"/>
        <v>1495.655703436074</v>
      </c>
      <c r="AB21" s="5">
        <f t="shared" si="1"/>
        <v>1561.4324912570048</v>
      </c>
      <c r="AC21" s="5">
        <f t="shared" si="1"/>
        <v>1627.8226060606346</v>
      </c>
      <c r="AD21" s="5">
        <f t="shared" si="1"/>
        <v>1690.8740967801937</v>
      </c>
      <c r="AE21" s="5">
        <f t="shared" si="1"/>
        <v>1750.1411178267122</v>
      </c>
    </row>
    <row r="22" spans="1:31" x14ac:dyDescent="0.2">
      <c r="A22" t="s">
        <v>11</v>
      </c>
      <c r="B22" s="5">
        <f t="shared" ref="B22:AE22" si="2">B20/$B$13*$B$16*B18*1000000</f>
        <v>148.7934920521229</v>
      </c>
      <c r="C22" s="5">
        <f t="shared" si="2"/>
        <v>178.79380635601996</v>
      </c>
      <c r="D22" s="5">
        <f t="shared" si="2"/>
        <v>268.34464063721543</v>
      </c>
      <c r="E22" s="5">
        <f t="shared" si="2"/>
        <v>297.54486911431297</v>
      </c>
      <c r="F22" s="5">
        <f t="shared" si="2"/>
        <v>370.06070926196418</v>
      </c>
      <c r="G22" s="5">
        <f t="shared" si="2"/>
        <v>444.57501664301117</v>
      </c>
      <c r="H22" s="5">
        <f t="shared" si="2"/>
        <v>532.13016022879231</v>
      </c>
      <c r="I22" s="5">
        <f t="shared" si="2"/>
        <v>622.72355468696048</v>
      </c>
      <c r="J22" s="5">
        <f t="shared" si="2"/>
        <v>719.82962641243591</v>
      </c>
      <c r="K22" s="5">
        <f t="shared" si="2"/>
        <v>818.18297314035635</v>
      </c>
      <c r="L22" s="5">
        <f t="shared" si="2"/>
        <v>907.78639636711728</v>
      </c>
      <c r="M22" s="5">
        <f t="shared" si="2"/>
        <v>1003.0038624787938</v>
      </c>
      <c r="N22" s="5">
        <f t="shared" si="2"/>
        <v>1169.6132389993174</v>
      </c>
      <c r="O22" s="5">
        <f t="shared" si="2"/>
        <v>1297.26577474602</v>
      </c>
      <c r="P22" s="5">
        <f t="shared" si="2"/>
        <v>1362.2535677441103</v>
      </c>
      <c r="Q22" s="5">
        <f t="shared" si="2"/>
        <v>1424.7997372568411</v>
      </c>
      <c r="R22" s="5">
        <f t="shared" si="2"/>
        <v>1430.2521514426815</v>
      </c>
      <c r="S22" s="5">
        <f t="shared" si="2"/>
        <v>1437.7175886527193</v>
      </c>
      <c r="T22" s="5">
        <f t="shared" si="2"/>
        <v>1446.9256843731846</v>
      </c>
      <c r="U22" s="5">
        <f t="shared" si="2"/>
        <v>1451.2822016625475</v>
      </c>
      <c r="V22" s="5">
        <f t="shared" si="2"/>
        <v>1456.0332126716196</v>
      </c>
      <c r="W22" s="5">
        <f t="shared" si="2"/>
        <v>1464.4652518804735</v>
      </c>
      <c r="X22" s="5">
        <f t="shared" si="2"/>
        <v>1478.4637972385274</v>
      </c>
      <c r="Y22" s="5">
        <f t="shared" si="2"/>
        <v>1492.7477901079635</v>
      </c>
      <c r="Z22" s="5">
        <f t="shared" si="2"/>
        <v>1504.9047065744983</v>
      </c>
      <c r="AA22" s="5">
        <f t="shared" si="2"/>
        <v>1548.1463893952382</v>
      </c>
      <c r="AB22" s="5">
        <f t="shared" si="2"/>
        <v>1590.1749859086331</v>
      </c>
      <c r="AC22" s="5">
        <f t="shared" si="2"/>
        <v>1628.6681052310416</v>
      </c>
      <c r="AD22" s="5">
        <f t="shared" si="2"/>
        <v>1662.8678428016347</v>
      </c>
      <c r="AE22" s="5">
        <f t="shared" si="2"/>
        <v>1700.3228456831469</v>
      </c>
    </row>
    <row r="23" spans="1:31" x14ac:dyDescent="0.2">
      <c r="A23" t="s">
        <v>12</v>
      </c>
      <c r="B23" s="5" t="str">
        <f t="shared" ref="B23:AE23" si="3">IMDIV(1,COMPLEX(B21,B22))</f>
        <v>0.0000753981676109526-0.00671987806633399i</v>
      </c>
      <c r="C23" s="5" t="str">
        <f t="shared" si="3"/>
        <v>0.0000676036654984688-0.00559221765360535i</v>
      </c>
      <c r="D23" s="5" t="str">
        <f t="shared" si="3"/>
        <v>0.0000542695826237996-0.00372576054833216i</v>
      </c>
      <c r="E23" s="5" t="str">
        <f t="shared" si="3"/>
        <v>0.0000514596689954205-0.00336004954177843i</v>
      </c>
      <c r="F23" s="5" t="str">
        <f t="shared" si="3"/>
        <v>0.0000468870531237671-0.00270144553350061i</v>
      </c>
      <c r="G23" s="5" t="str">
        <f t="shared" si="3"/>
        <v>0.0000480598113207935-0.00224831184805706i</v>
      </c>
      <c r="H23" s="5" t="str">
        <f t="shared" si="3"/>
        <v>0.0000497495076222858-0.00187792151582901i</v>
      </c>
      <c r="I23" s="5" t="str">
        <f t="shared" si="3"/>
        <v>0.0000559816478589858-0.00160389504506436i</v>
      </c>
      <c r="J23" s="5" t="str">
        <f t="shared" si="3"/>
        <v>0.0000655067830841513-0.00138612183193794i</v>
      </c>
      <c r="K23" s="5" t="str">
        <f t="shared" si="3"/>
        <v>0.0000834693050381535-0.00121649327670303i</v>
      </c>
      <c r="L23" s="5" t="str">
        <f t="shared" si="3"/>
        <v>0.000107852493165807-0.001090918002193i</v>
      </c>
      <c r="M23" s="5" t="str">
        <f t="shared" si="3"/>
        <v>0.000132403662829907-0.000979100193990702i</v>
      </c>
      <c r="N23" s="5" t="str">
        <f t="shared" si="3"/>
        <v>0.000189205825657856-0.000810832769833435i</v>
      </c>
      <c r="O23" s="5" t="str">
        <f t="shared" si="3"/>
        <v>0.000229934208398428-0.00069475350562786i</v>
      </c>
      <c r="P23" s="5" t="str">
        <f t="shared" si="3"/>
        <v>0.000274658584753437-0.000610514094215856i</v>
      </c>
      <c r="Q23" s="5" t="str">
        <f t="shared" si="3"/>
        <v>0.000289846885786335-0.000548760275577908i</v>
      </c>
      <c r="R23" s="5" t="str">
        <f t="shared" si="3"/>
        <v>0.000314368517029987-0.000502509272479938i</v>
      </c>
      <c r="S23" s="5" t="str">
        <f t="shared" si="3"/>
        <v>0.000325116174635731-0.000471247502443341i</v>
      </c>
      <c r="T23" s="5" t="str">
        <f t="shared" si="3"/>
        <v>0.000331574330173219-0.000442875969189218i</v>
      </c>
      <c r="U23" s="5" t="str">
        <f t="shared" si="3"/>
        <v>0.000336250459050264-0.000419567451325984i</v>
      </c>
      <c r="V23" s="5" t="str">
        <f t="shared" si="3"/>
        <v>0.000337940900548357-0.000404379545865936i</v>
      </c>
      <c r="W23" s="5" t="str">
        <f t="shared" si="3"/>
        <v>0.00033771293123829-0.000391607732375404i</v>
      </c>
      <c r="X23" s="5" t="str">
        <f t="shared" si="3"/>
        <v>0.000335989287650713-0.000376697439240985i</v>
      </c>
      <c r="Y23" s="5" t="str">
        <f t="shared" si="3"/>
        <v>0.000333732393725593-0.000363519253826397i</v>
      </c>
      <c r="Z23" s="5" t="str">
        <f t="shared" si="3"/>
        <v>0.000331533168490327-0.000354013771992022i</v>
      </c>
      <c r="AA23" s="5" t="str">
        <f t="shared" si="3"/>
        <v>0.000322774834603144-0.000334102757493253i</v>
      </c>
      <c r="AB23" s="5" t="str">
        <f t="shared" si="3"/>
        <v>0.000314378504193145-0.00032016551229369i</v>
      </c>
      <c r="AC23" s="5" t="str">
        <f t="shared" si="3"/>
        <v>0.000306999278111798-0.000307158735066133i</v>
      </c>
      <c r="AD23" s="5" t="str">
        <f t="shared" si="3"/>
        <v>0.00030064341675359-0.000295663805378257i</v>
      </c>
      <c r="AE23" s="5" t="str">
        <f t="shared" si="3"/>
        <v>0.000293939227429208-0.000285572162467086i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0.0000251327412287183i</v>
      </c>
      <c r="C24" s="6" t="str">
        <f t="shared" si="4"/>
        <v>0.000030159289474462i</v>
      </c>
      <c r="D24" s="6" t="str">
        <f t="shared" si="4"/>
        <v>0.000045238934211693i</v>
      </c>
      <c r="E24" s="6" t="str">
        <f t="shared" si="4"/>
        <v>0.0000502654824574367i</v>
      </c>
      <c r="F24" s="6" t="str">
        <f t="shared" si="4"/>
        <v>0.0000628318530717959i</v>
      </c>
      <c r="G24" s="6" t="str">
        <f t="shared" si="4"/>
        <v>0.000075398223686155i</v>
      </c>
      <c r="H24" s="6" t="str">
        <f t="shared" si="4"/>
        <v>0.0000879645943005142i</v>
      </c>
      <c r="I24" s="6" t="str">
        <f t="shared" si="4"/>
        <v>0.000100530964914873i</v>
      </c>
      <c r="J24" s="6" t="str">
        <f t="shared" si="4"/>
        <v>0.000113097335529233i</v>
      </c>
      <c r="K24" s="6" t="str">
        <f t="shared" si="4"/>
        <v>0.000125663706143592i</v>
      </c>
      <c r="L24" s="6" t="str">
        <f t="shared" si="4"/>
        <v>0.000138230076757951i</v>
      </c>
      <c r="M24" s="6" t="str">
        <f t="shared" si="4"/>
        <v>0.00015079644737231i</v>
      </c>
      <c r="N24" s="6" t="str">
        <f t="shared" si="4"/>
        <v>0.000175929188601028i</v>
      </c>
      <c r="O24" s="6" t="str">
        <f t="shared" si="4"/>
        <v>0.000201061929829747i</v>
      </c>
      <c r="P24" s="6" t="str">
        <f t="shared" si="4"/>
        <v>0.000226194671058465i</v>
      </c>
      <c r="Q24" s="6" t="str">
        <f t="shared" si="4"/>
        <v>0.000251327412287183i</v>
      </c>
      <c r="R24" s="6" t="str">
        <f t="shared" si="4"/>
        <v>0.000276460153515902i</v>
      </c>
      <c r="S24" s="6" t="str">
        <f t="shared" si="4"/>
        <v>0.00030159289474462i</v>
      </c>
      <c r="T24" s="6" t="str">
        <f t="shared" si="4"/>
        <v>0.000326725635973338i</v>
      </c>
      <c r="U24" s="6" t="str">
        <f t="shared" si="4"/>
        <v>0.000351858377202057i</v>
      </c>
      <c r="V24" s="6" t="str">
        <f t="shared" si="4"/>
        <v>0.000376991118430775i</v>
      </c>
      <c r="W24" s="6" t="str">
        <f t="shared" si="4"/>
        <v>0.000402123859659493i</v>
      </c>
      <c r="X24" s="6" t="str">
        <f t="shared" si="4"/>
        <v>0.000427256600888212i</v>
      </c>
      <c r="Y24" s="6" t="str">
        <f t="shared" si="4"/>
        <v>0.00045238934211693i</v>
      </c>
      <c r="Z24" s="6" t="str">
        <f t="shared" si="4"/>
        <v>0.000477522083345648i</v>
      </c>
      <c r="AA24" s="6" t="str">
        <f t="shared" si="4"/>
        <v>0.000552920307031803i</v>
      </c>
      <c r="AB24" s="6" t="str">
        <f t="shared" si="4"/>
        <v>0.00060318578948924i</v>
      </c>
      <c r="AC24" s="6" t="str">
        <f t="shared" si="4"/>
        <v>0.000653451271946677i</v>
      </c>
      <c r="AD24" s="6" t="str">
        <f t="shared" si="4"/>
        <v>0.000703716754404114i</v>
      </c>
      <c r="AE24" s="6" t="str">
        <f t="shared" si="4"/>
        <v>0.00075398223686155i</v>
      </c>
    </row>
    <row r="25" spans="1:31" x14ac:dyDescent="0.2">
      <c r="A25" t="s">
        <v>14</v>
      </c>
      <c r="B25" s="6" t="str">
        <f t="shared" ref="B25:AE25" si="5">IMDIV(1,IMSUM(B23,B24))</f>
        <v>1.6820449134842+149.351936233655i</v>
      </c>
      <c r="C25" s="6" t="str">
        <f t="shared" si="5"/>
        <v>2.1849173185337+179.762998897745i</v>
      </c>
      <c r="D25" s="6" t="str">
        <f t="shared" si="5"/>
        <v>4.00537629885859+271.641559192127i</v>
      </c>
      <c r="E25" s="6" t="str">
        <f t="shared" si="5"/>
        <v>4.69637424946282+302.061496525772i</v>
      </c>
      <c r="F25" s="6" t="str">
        <f t="shared" si="5"/>
        <v>6.73231158952258+378.867262443055i</v>
      </c>
      <c r="G25" s="6" t="str">
        <f t="shared" si="5"/>
        <v>10.1738360348366+459.986552686433i</v>
      </c>
      <c r="H25" s="6" t="str">
        <f t="shared" si="5"/>
        <v>15.5155891293518+558.241427523894i</v>
      </c>
      <c r="I25" s="6" t="str">
        <f t="shared" si="5"/>
        <v>24.7352068884056+664.253786254461i</v>
      </c>
      <c r="J25" s="6" t="str">
        <f t="shared" si="5"/>
        <v>40.314781406319+783.45633660071i</v>
      </c>
      <c r="K25" s="6" t="str">
        <f t="shared" si="5"/>
        <v>69.7392927320873+911.397102291542i</v>
      </c>
      <c r="L25" s="6" t="str">
        <f t="shared" si="5"/>
        <v>117.327071453312+1036.37923444557i</v>
      </c>
      <c r="M25" s="6" t="str">
        <f t="shared" si="5"/>
        <v>188.175537665171+1177.20688037329i</v>
      </c>
      <c r="N25" s="6" t="str">
        <f t="shared" si="5"/>
        <v>431.089590573596+1446.57451183414i</v>
      </c>
      <c r="O25" s="6" t="str">
        <f t="shared" si="5"/>
        <v>775.230432173356+1664.4967111772i</v>
      </c>
      <c r="P25" s="6" t="str">
        <f t="shared" si="5"/>
        <v>1230.88695216525+1722.33379798695i</v>
      </c>
      <c r="Q25" s="6" t="str">
        <f t="shared" si="5"/>
        <v>1680.49074899676+1724.4731605505i</v>
      </c>
      <c r="R25" s="6" t="str">
        <f t="shared" si="5"/>
        <v>2096.82778210382+1507.74027005595i</v>
      </c>
      <c r="S25" s="6" t="str">
        <f t="shared" si="5"/>
        <v>2417.5223625974+1261.53000074169i</v>
      </c>
      <c r="T25" s="6" t="str">
        <f t="shared" si="5"/>
        <v>2686.28198564181+941.003326708409i</v>
      </c>
      <c r="U25" s="6" t="str">
        <f t="shared" si="5"/>
        <v>2858.08441753819+575.51817245432i</v>
      </c>
      <c r="V25" s="6" t="str">
        <f t="shared" si="5"/>
        <v>2939.78788573683+238.255171400146i</v>
      </c>
      <c r="W25" s="6" t="str">
        <f t="shared" si="5"/>
        <v>2958.22633377542-92.1169484006986i</v>
      </c>
      <c r="X25" s="6" t="str">
        <f t="shared" si="5"/>
        <v>2910.3832962314-437.950092273547i</v>
      </c>
      <c r="Y25" s="6" t="str">
        <f t="shared" si="5"/>
        <v>2798.00314508954-745.084358654596i</v>
      </c>
      <c r="Z25" s="6" t="str">
        <f t="shared" si="5"/>
        <v>2648.69395954067-986.736017168558i</v>
      </c>
      <c r="AA25" s="6" t="str">
        <f t="shared" si="5"/>
        <v>2122.61494763724-1438.97649897937i</v>
      </c>
      <c r="AB25" s="6" t="str">
        <f t="shared" si="5"/>
        <v>1756.94915363525-1581.69922513162i</v>
      </c>
      <c r="AC25" s="6" t="str">
        <f t="shared" si="5"/>
        <v>1433.4569121404-1616.92702884233i</v>
      </c>
      <c r="AD25" s="6" t="str">
        <f t="shared" si="5"/>
        <v>1170.30292320874-1588.4118276247i</v>
      </c>
      <c r="AE25" s="6" t="str">
        <f t="shared" si="5"/>
        <v>961.187969524973-1531.71161348544i</v>
      </c>
    </row>
    <row r="26" spans="1:31" x14ac:dyDescent="0.2">
      <c r="A26" t="s">
        <v>6</v>
      </c>
      <c r="B26" s="5">
        <f t="shared" ref="B26:AE26" si="6">IMREAL(B25)</f>
        <v>1.6820449134841999</v>
      </c>
      <c r="C26" s="5">
        <f t="shared" si="6"/>
        <v>2.1849173185336999</v>
      </c>
      <c r="D26" s="5">
        <f t="shared" si="6"/>
        <v>4.0053762988585904</v>
      </c>
      <c r="E26" s="5">
        <f t="shared" si="6"/>
        <v>4.6963742494628198</v>
      </c>
      <c r="F26" s="5">
        <f t="shared" si="6"/>
        <v>6.7323115895225802</v>
      </c>
      <c r="G26" s="5">
        <f t="shared" si="6"/>
        <v>10.173836034836601</v>
      </c>
      <c r="H26" s="5">
        <f t="shared" si="6"/>
        <v>15.515589129351801</v>
      </c>
      <c r="I26" s="5">
        <f t="shared" si="6"/>
        <v>24.7352068884056</v>
      </c>
      <c r="J26" s="5">
        <f t="shared" si="6"/>
        <v>40.314781406319</v>
      </c>
      <c r="K26" s="5">
        <f t="shared" si="6"/>
        <v>69.739292732087307</v>
      </c>
      <c r="L26" s="5">
        <f t="shared" si="6"/>
        <v>117.327071453312</v>
      </c>
      <c r="M26" s="5">
        <f t="shared" si="6"/>
        <v>188.17553766517099</v>
      </c>
      <c r="N26" s="5">
        <f t="shared" si="6"/>
        <v>431.08959057359601</v>
      </c>
      <c r="O26" s="5">
        <f t="shared" si="6"/>
        <v>775.23043217335601</v>
      </c>
      <c r="P26" s="5">
        <f t="shared" si="6"/>
        <v>1230.88695216525</v>
      </c>
      <c r="Q26" s="5">
        <f t="shared" si="6"/>
        <v>1680.49074899676</v>
      </c>
      <c r="R26" s="5">
        <f t="shared" si="6"/>
        <v>2096.82778210382</v>
      </c>
      <c r="S26" s="5">
        <f t="shared" si="6"/>
        <v>2417.5223625973999</v>
      </c>
      <c r="T26" s="5">
        <f t="shared" si="6"/>
        <v>2686.28198564181</v>
      </c>
      <c r="U26" s="5">
        <f t="shared" si="6"/>
        <v>2858.0844175381899</v>
      </c>
      <c r="V26" s="5">
        <f t="shared" si="6"/>
        <v>2939.78788573683</v>
      </c>
      <c r="W26" s="5">
        <f t="shared" si="6"/>
        <v>2958.2263337754198</v>
      </c>
      <c r="X26" s="5">
        <f t="shared" si="6"/>
        <v>2910.3832962314</v>
      </c>
      <c r="Y26" s="5">
        <f t="shared" si="6"/>
        <v>2798.0031450895399</v>
      </c>
      <c r="Z26" s="5">
        <f t="shared" si="6"/>
        <v>2648.6939595406702</v>
      </c>
      <c r="AA26" s="5">
        <f t="shared" si="6"/>
        <v>2122.6149476372402</v>
      </c>
      <c r="AB26" s="5">
        <f t="shared" si="6"/>
        <v>1756.94915363525</v>
      </c>
      <c r="AC26" s="5">
        <f t="shared" si="6"/>
        <v>1433.4569121403999</v>
      </c>
      <c r="AD26" s="5">
        <f t="shared" si="6"/>
        <v>1170.3029232087399</v>
      </c>
      <c r="AE26" s="5">
        <f t="shared" si="6"/>
        <v>961.18796952497303</v>
      </c>
    </row>
    <row r="27" spans="1:31" x14ac:dyDescent="0.2">
      <c r="A27" t="s">
        <v>7</v>
      </c>
      <c r="B27" s="5">
        <f t="shared" ref="B27:AE27" si="7">IMAGINARY(B25)</f>
        <v>149.35193623365501</v>
      </c>
      <c r="C27" s="5">
        <f t="shared" si="7"/>
        <v>179.76299889774501</v>
      </c>
      <c r="D27" s="5">
        <f t="shared" si="7"/>
        <v>271.64155919212698</v>
      </c>
      <c r="E27" s="5">
        <f t="shared" si="7"/>
        <v>302.06149652577199</v>
      </c>
      <c r="F27" s="5">
        <f t="shared" si="7"/>
        <v>378.86726244305498</v>
      </c>
      <c r="G27" s="5">
        <f t="shared" si="7"/>
        <v>459.98655268643301</v>
      </c>
      <c r="H27" s="5">
        <f t="shared" si="7"/>
        <v>558.241427523894</v>
      </c>
      <c r="I27" s="5">
        <f t="shared" si="7"/>
        <v>664.25378625446103</v>
      </c>
      <c r="J27" s="5">
        <f t="shared" si="7"/>
        <v>783.45633660070996</v>
      </c>
      <c r="K27" s="5">
        <f t="shared" si="7"/>
        <v>911.39710229154196</v>
      </c>
      <c r="L27" s="5">
        <f t="shared" si="7"/>
        <v>1036.3792344455701</v>
      </c>
      <c r="M27" s="5">
        <f t="shared" si="7"/>
        <v>1177.20688037329</v>
      </c>
      <c r="N27" s="5">
        <f t="shared" si="7"/>
        <v>1446.5745118341399</v>
      </c>
      <c r="O27" s="5">
        <f t="shared" si="7"/>
        <v>1664.4967111772</v>
      </c>
      <c r="P27" s="5">
        <f t="shared" si="7"/>
        <v>1722.33379798695</v>
      </c>
      <c r="Q27" s="5">
        <f t="shared" si="7"/>
        <v>1724.4731605505001</v>
      </c>
      <c r="R27" s="5">
        <f t="shared" si="7"/>
        <v>1507.7402700559501</v>
      </c>
      <c r="S27" s="5">
        <f t="shared" si="7"/>
        <v>1261.5300007416899</v>
      </c>
      <c r="T27" s="5">
        <f t="shared" si="7"/>
        <v>941.00332670840896</v>
      </c>
      <c r="U27" s="5">
        <f t="shared" si="7"/>
        <v>575.51817245432005</v>
      </c>
      <c r="V27" s="5">
        <f t="shared" si="7"/>
        <v>238.255171400146</v>
      </c>
      <c r="W27" s="5">
        <f t="shared" si="7"/>
        <v>-92.116948400698604</v>
      </c>
      <c r="X27" s="5">
        <f t="shared" si="7"/>
        <v>-437.950092273547</v>
      </c>
      <c r="Y27" s="5">
        <f t="shared" si="7"/>
        <v>-745.08435865459603</v>
      </c>
      <c r="Z27" s="5">
        <f t="shared" si="7"/>
        <v>-986.73601716855796</v>
      </c>
      <c r="AA27" s="5">
        <f t="shared" si="7"/>
        <v>-1438.97649897937</v>
      </c>
      <c r="AB27" s="5">
        <f t="shared" si="7"/>
        <v>-1581.6992251316201</v>
      </c>
      <c r="AC27" s="5">
        <f t="shared" si="7"/>
        <v>-1616.9270288423299</v>
      </c>
      <c r="AD27" s="5">
        <f t="shared" si="7"/>
        <v>-1588.4118276247</v>
      </c>
      <c r="AE27" s="5">
        <f t="shared" si="7"/>
        <v>-1531.71161348544</v>
      </c>
    </row>
    <row r="28" spans="1:31" x14ac:dyDescent="0.2">
      <c r="A28" t="s">
        <v>15</v>
      </c>
      <c r="B28" s="5">
        <f t="shared" ref="B28:AE28" si="8">IMABS(B25)</f>
        <v>149.36140777266641</v>
      </c>
      <c r="C28" s="5">
        <f t="shared" si="8"/>
        <v>179.77627662291681</v>
      </c>
      <c r="D28" s="5">
        <f t="shared" si="8"/>
        <v>271.67108738256496</v>
      </c>
      <c r="E28" s="5">
        <f t="shared" si="8"/>
        <v>302.09800332752945</v>
      </c>
      <c r="F28" s="5">
        <f t="shared" si="8"/>
        <v>378.92707289191299</v>
      </c>
      <c r="G28" s="5">
        <f t="shared" si="8"/>
        <v>460.09904976212721</v>
      </c>
      <c r="H28" s="5">
        <f t="shared" si="8"/>
        <v>558.45700363586263</v>
      </c>
      <c r="I28" s="5">
        <f t="shared" si="8"/>
        <v>664.71416640026519</v>
      </c>
      <c r="J28" s="5">
        <f t="shared" si="8"/>
        <v>784.49290179047784</v>
      </c>
      <c r="K28" s="5">
        <f t="shared" si="8"/>
        <v>914.06140221332566</v>
      </c>
      <c r="L28" s="5">
        <f t="shared" si="8"/>
        <v>1042.9993093409969</v>
      </c>
      <c r="M28" s="5">
        <f t="shared" si="8"/>
        <v>1192.1518662375991</v>
      </c>
      <c r="N28" s="5">
        <f t="shared" si="8"/>
        <v>1509.4422987941907</v>
      </c>
      <c r="O28" s="5">
        <f t="shared" si="8"/>
        <v>1836.1730649607632</v>
      </c>
      <c r="P28" s="5">
        <f t="shared" si="8"/>
        <v>2116.9592345387309</v>
      </c>
      <c r="Q28" s="5">
        <f t="shared" si="8"/>
        <v>2407.8739250473068</v>
      </c>
      <c r="R28" s="5">
        <f t="shared" si="8"/>
        <v>2582.6280161399191</v>
      </c>
      <c r="S28" s="5">
        <f t="shared" si="8"/>
        <v>2726.8795933135443</v>
      </c>
      <c r="T28" s="5">
        <f t="shared" si="8"/>
        <v>2846.3306496716077</v>
      </c>
      <c r="U28" s="5">
        <f t="shared" si="8"/>
        <v>2915.4532588604084</v>
      </c>
      <c r="V28" s="5">
        <f t="shared" si="8"/>
        <v>2949.426781566875</v>
      </c>
      <c r="W28" s="5">
        <f t="shared" si="8"/>
        <v>2959.6602125962054</v>
      </c>
      <c r="X28" s="5">
        <f t="shared" si="8"/>
        <v>2943.1498796876044</v>
      </c>
      <c r="Y28" s="5">
        <f t="shared" si="8"/>
        <v>2895.5089883201344</v>
      </c>
      <c r="Z28" s="5">
        <f t="shared" si="8"/>
        <v>2826.5221843963832</v>
      </c>
      <c r="AA28" s="5">
        <f t="shared" si="8"/>
        <v>2564.4000430018655</v>
      </c>
      <c r="AB28" s="5">
        <f t="shared" si="8"/>
        <v>2364.0310419369684</v>
      </c>
      <c r="AC28" s="5">
        <f t="shared" si="8"/>
        <v>2160.8451438184957</v>
      </c>
      <c r="AD28" s="5">
        <f t="shared" si="8"/>
        <v>1972.9827840629937</v>
      </c>
      <c r="AE28" s="5">
        <f t="shared" si="8"/>
        <v>1808.3204305779743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8"/>
  <sheetViews>
    <sheetView workbookViewId="0">
      <selection activeCell="R13" sqref="R1:V6553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>
        <v>52</v>
      </c>
    </row>
    <row r="2" spans="1:16" x14ac:dyDescent="0.2">
      <c r="A2" t="s">
        <v>28</v>
      </c>
      <c r="B2">
        <v>250</v>
      </c>
    </row>
    <row r="5" spans="1:16" x14ac:dyDescent="0.2">
      <c r="A5" t="s">
        <v>27</v>
      </c>
      <c r="E5" s="14" t="s">
        <v>0</v>
      </c>
      <c r="F5" s="14"/>
      <c r="G5" s="14"/>
      <c r="J5" t="s">
        <v>30</v>
      </c>
      <c r="N5" s="14" t="s">
        <v>0</v>
      </c>
      <c r="O5" s="14"/>
      <c r="P5" s="14"/>
    </row>
    <row r="6" spans="1:16" x14ac:dyDescent="0.2">
      <c r="A6" s="1">
        <v>1000000</v>
      </c>
      <c r="B6">
        <v>271.82299999999998</v>
      </c>
      <c r="E6">
        <f t="array" ref="E6:G47">cstable(A6:A47,B6:B47)</f>
        <v>1000000</v>
      </c>
      <c r="F6">
        <v>271.82299999999998</v>
      </c>
      <c r="G6">
        <v>0</v>
      </c>
      <c r="J6">
        <v>1000000</v>
      </c>
      <c r="K6">
        <v>3.0499000000000001</v>
      </c>
      <c r="N6">
        <f t="array" ref="N6:P47">cstable(J6:J47,K6:K47)</f>
        <v>1000000</v>
      </c>
      <c r="O6">
        <v>3.0499000000000001</v>
      </c>
      <c r="P6">
        <v>0</v>
      </c>
    </row>
    <row r="7" spans="1:16" x14ac:dyDescent="0.2">
      <c r="A7" s="1">
        <v>1912110</v>
      </c>
      <c r="B7">
        <v>272.07499999999999</v>
      </c>
      <c r="E7">
        <v>1912110</v>
      </c>
      <c r="F7">
        <v>272.07499999999999</v>
      </c>
      <c r="G7">
        <v>-1.0799851344515032E-11</v>
      </c>
      <c r="J7">
        <v>1912110</v>
      </c>
      <c r="K7">
        <v>4.0790499999999996</v>
      </c>
      <c r="N7">
        <v>1912110</v>
      </c>
      <c r="O7">
        <v>4.0790499999999996</v>
      </c>
      <c r="P7">
        <v>-5.1549871432020845E-13</v>
      </c>
    </row>
    <row r="8" spans="1:16" x14ac:dyDescent="0.2">
      <c r="A8" s="1">
        <v>2026390</v>
      </c>
      <c r="B8">
        <v>271.69499999999999</v>
      </c>
      <c r="E8">
        <v>2026390</v>
      </c>
      <c r="F8">
        <v>271.69499999999999</v>
      </c>
      <c r="G8">
        <v>4.9092273147741232E-12</v>
      </c>
      <c r="J8">
        <v>2026390</v>
      </c>
      <c r="K8">
        <v>4.1866500000000002</v>
      </c>
      <c r="N8">
        <v>2026390</v>
      </c>
      <c r="O8">
        <v>4.1866500000000002</v>
      </c>
      <c r="P8">
        <v>-5.4619551529505063E-13</v>
      </c>
    </row>
    <row r="9" spans="1:16" x14ac:dyDescent="0.2">
      <c r="A9" s="1">
        <v>2735110</v>
      </c>
      <c r="B9">
        <v>269.74</v>
      </c>
      <c r="E9">
        <v>2735110</v>
      </c>
      <c r="F9">
        <v>269.74</v>
      </c>
      <c r="G9">
        <v>-4.8627789801421826E-12</v>
      </c>
      <c r="J9">
        <v>2735110</v>
      </c>
      <c r="K9">
        <v>5.1529100000000003</v>
      </c>
      <c r="N9">
        <v>2735110</v>
      </c>
      <c r="O9">
        <v>5.1529100000000003</v>
      </c>
      <c r="P9">
        <v>4.922947906437755E-12</v>
      </c>
    </row>
    <row r="10" spans="1:16" x14ac:dyDescent="0.2">
      <c r="A10" s="1">
        <v>2815660</v>
      </c>
      <c r="B10">
        <v>269.55200000000002</v>
      </c>
      <c r="E10">
        <v>2815660</v>
      </c>
      <c r="F10">
        <v>269.55200000000002</v>
      </c>
      <c r="G10">
        <v>8.3725192727728786E-11</v>
      </c>
      <c r="J10">
        <v>2815660</v>
      </c>
      <c r="K10">
        <v>5.3582000000000001</v>
      </c>
      <c r="N10">
        <v>2815660</v>
      </c>
      <c r="O10">
        <v>5.3582000000000001</v>
      </c>
      <c r="P10">
        <v>-3.3851705030683696E-12</v>
      </c>
    </row>
    <row r="11" spans="1:16" x14ac:dyDescent="0.2">
      <c r="A11" s="1">
        <v>3383860</v>
      </c>
      <c r="B11">
        <v>276.44799999999998</v>
      </c>
      <c r="E11">
        <v>3383860</v>
      </c>
      <c r="F11">
        <v>276.44799999999998</v>
      </c>
      <c r="G11">
        <v>-3.7695506061855022E-11</v>
      </c>
      <c r="J11">
        <v>3383860</v>
      </c>
      <c r="K11">
        <v>6.8623099999999999</v>
      </c>
      <c r="N11">
        <v>3383860</v>
      </c>
      <c r="O11">
        <v>6.8623099999999999</v>
      </c>
      <c r="P11">
        <v>8.0728414458794529E-12</v>
      </c>
    </row>
    <row r="12" spans="1:16" x14ac:dyDescent="0.2">
      <c r="A12" s="1">
        <v>3763830</v>
      </c>
      <c r="B12">
        <v>280.52100000000002</v>
      </c>
      <c r="E12">
        <v>3763830</v>
      </c>
      <c r="F12">
        <v>280.52100000000002</v>
      </c>
      <c r="G12">
        <v>4.054797890006972E-11</v>
      </c>
      <c r="J12">
        <v>3763830</v>
      </c>
      <c r="K12">
        <v>8.6831899999999997</v>
      </c>
      <c r="N12">
        <v>3763830</v>
      </c>
      <c r="O12">
        <v>8.6831899999999997</v>
      </c>
      <c r="P12">
        <v>-1.3561196902936469E-12</v>
      </c>
    </row>
    <row r="13" spans="1:16" x14ac:dyDescent="0.2">
      <c r="A13" s="1">
        <v>4027560</v>
      </c>
      <c r="B13">
        <v>284.88799999999998</v>
      </c>
      <c r="E13">
        <v>4027560</v>
      </c>
      <c r="F13">
        <v>284.88799999999998</v>
      </c>
      <c r="G13">
        <v>-1.0777313390069482E-11</v>
      </c>
      <c r="J13">
        <v>4027560</v>
      </c>
      <c r="K13">
        <v>10.0861</v>
      </c>
      <c r="N13">
        <v>4027560</v>
      </c>
      <c r="O13">
        <v>10.0861</v>
      </c>
      <c r="P13">
        <v>6.9858743282075104E-12</v>
      </c>
    </row>
    <row r="14" spans="1:16" x14ac:dyDescent="0.2">
      <c r="A14" s="1">
        <v>4793720</v>
      </c>
      <c r="B14">
        <v>296.43200000000002</v>
      </c>
      <c r="E14">
        <v>4793720</v>
      </c>
      <c r="F14">
        <v>296.43200000000002</v>
      </c>
      <c r="G14">
        <v>3.3382839594461171E-12</v>
      </c>
      <c r="J14">
        <v>4793720</v>
      </c>
      <c r="K14">
        <v>17.3598</v>
      </c>
      <c r="N14">
        <v>4793720</v>
      </c>
      <c r="O14">
        <v>17.3598</v>
      </c>
      <c r="P14">
        <v>1.4375036558405222E-11</v>
      </c>
    </row>
    <row r="15" spans="1:16" x14ac:dyDescent="0.2">
      <c r="A15" s="1">
        <v>4887370</v>
      </c>
      <c r="B15">
        <v>297.74299999999999</v>
      </c>
      <c r="E15">
        <v>4887370</v>
      </c>
      <c r="F15">
        <v>297.74299999999999</v>
      </c>
      <c r="G15">
        <v>-4.1579641315313785E-11</v>
      </c>
      <c r="J15">
        <v>4887370</v>
      </c>
      <c r="K15">
        <v>18.7334</v>
      </c>
      <c r="N15">
        <v>4887370</v>
      </c>
      <c r="O15">
        <v>18.7334</v>
      </c>
      <c r="P15">
        <v>1.0358996962507135E-11</v>
      </c>
    </row>
    <row r="16" spans="1:16" x14ac:dyDescent="0.2">
      <c r="A16" s="1">
        <v>5489030</v>
      </c>
      <c r="B16">
        <v>301.46300000000002</v>
      </c>
      <c r="E16">
        <v>5489030</v>
      </c>
      <c r="F16">
        <v>301.46300000000002</v>
      </c>
      <c r="G16">
        <v>1.7638901217911855E-11</v>
      </c>
      <c r="J16">
        <v>5489030</v>
      </c>
      <c r="K16">
        <v>29.584</v>
      </c>
      <c r="N16">
        <v>5489030</v>
      </c>
      <c r="O16">
        <v>29.584</v>
      </c>
      <c r="P16">
        <v>7.3973782135391084E-12</v>
      </c>
    </row>
    <row r="17" spans="1:16" x14ac:dyDescent="0.2">
      <c r="A17" s="1">
        <v>6470300</v>
      </c>
      <c r="B17">
        <v>306.81200000000001</v>
      </c>
      <c r="E17">
        <v>6470300</v>
      </c>
      <c r="F17">
        <v>306.81200000000001</v>
      </c>
      <c r="G17">
        <v>-3.5888444832112986E-11</v>
      </c>
      <c r="J17">
        <v>6470300</v>
      </c>
      <c r="K17">
        <v>55.046500000000002</v>
      </c>
      <c r="N17">
        <v>6470300</v>
      </c>
      <c r="O17">
        <v>55.046500000000002</v>
      </c>
      <c r="P17">
        <v>1.8173191845658978E-11</v>
      </c>
    </row>
    <row r="18" spans="1:16" x14ac:dyDescent="0.2">
      <c r="A18" s="1">
        <v>6660850</v>
      </c>
      <c r="B18">
        <v>305.87</v>
      </c>
      <c r="E18">
        <v>6660850</v>
      </c>
      <c r="F18">
        <v>305.87</v>
      </c>
      <c r="G18">
        <v>2.3264075395440473E-11</v>
      </c>
      <c r="J18">
        <v>6660850</v>
      </c>
      <c r="K18">
        <v>61.421300000000002</v>
      </c>
      <c r="N18">
        <v>6660850</v>
      </c>
      <c r="O18">
        <v>61.421300000000002</v>
      </c>
      <c r="P18">
        <v>-2.5258048348946215E-11</v>
      </c>
    </row>
    <row r="19" spans="1:16" x14ac:dyDescent="0.2">
      <c r="A19" s="1">
        <v>7776000</v>
      </c>
      <c r="B19">
        <v>300.89499999999998</v>
      </c>
      <c r="E19">
        <v>7776000</v>
      </c>
      <c r="F19">
        <v>300.89499999999998</v>
      </c>
      <c r="G19">
        <v>-4.5751205282848544E-11</v>
      </c>
      <c r="J19">
        <v>7776000</v>
      </c>
      <c r="K19">
        <v>91.168300000000002</v>
      </c>
      <c r="N19">
        <v>7776000</v>
      </c>
      <c r="O19">
        <v>91.168300000000002</v>
      </c>
      <c r="P19">
        <v>1.9566478908087325E-11</v>
      </c>
    </row>
    <row r="20" spans="1:16" x14ac:dyDescent="0.2">
      <c r="A20" s="1">
        <v>8082820</v>
      </c>
      <c r="B20">
        <v>294.33300000000003</v>
      </c>
      <c r="E20">
        <v>8082820</v>
      </c>
      <c r="F20">
        <v>294.33300000000003</v>
      </c>
      <c r="G20">
        <v>8.5250419247046562E-12</v>
      </c>
      <c r="J20">
        <v>8082820</v>
      </c>
      <c r="K20">
        <v>100.629</v>
      </c>
      <c r="N20">
        <v>8082820</v>
      </c>
      <c r="O20">
        <v>100.629</v>
      </c>
      <c r="P20">
        <v>-8.2238519324280462E-12</v>
      </c>
    </row>
    <row r="21" spans="1:16" x14ac:dyDescent="0.2">
      <c r="A21" s="1">
        <v>9255220</v>
      </c>
      <c r="B21">
        <v>272.47300000000001</v>
      </c>
      <c r="E21">
        <v>9255220</v>
      </c>
      <c r="F21">
        <v>272.47300000000001</v>
      </c>
      <c r="G21">
        <v>4.4918748188004302E-12</v>
      </c>
      <c r="J21">
        <v>9255220</v>
      </c>
      <c r="K21">
        <v>128.81100000000001</v>
      </c>
      <c r="N21">
        <v>9255220</v>
      </c>
      <c r="O21">
        <v>128.81100000000001</v>
      </c>
      <c r="P21">
        <v>-1.91526240573259E-11</v>
      </c>
    </row>
    <row r="22" spans="1:16" x14ac:dyDescent="0.2">
      <c r="A22" s="1">
        <v>9903720</v>
      </c>
      <c r="B22">
        <v>262.15899999999999</v>
      </c>
      <c r="E22">
        <v>9903720</v>
      </c>
      <c r="F22">
        <v>262.15899999999999</v>
      </c>
      <c r="G22">
        <v>-1.5276108790512733E-11</v>
      </c>
      <c r="J22">
        <v>9903720</v>
      </c>
      <c r="K22">
        <v>136.364</v>
      </c>
      <c r="N22">
        <v>9903720</v>
      </c>
      <c r="O22">
        <v>136.364</v>
      </c>
      <c r="P22">
        <v>7.7805837337313757E-12</v>
      </c>
    </row>
    <row r="23" spans="1:16" x14ac:dyDescent="0.2">
      <c r="A23" s="1">
        <v>10909800</v>
      </c>
      <c r="B23">
        <v>239.51900000000001</v>
      </c>
      <c r="E23">
        <v>10909800</v>
      </c>
      <c r="F23">
        <v>239.51900000000001</v>
      </c>
      <c r="G23">
        <v>7.9967715475376955E-12</v>
      </c>
      <c r="J23">
        <v>10909800</v>
      </c>
      <c r="K23">
        <v>147.929</v>
      </c>
      <c r="N23">
        <v>10909800</v>
      </c>
      <c r="O23">
        <v>147.929</v>
      </c>
      <c r="P23">
        <v>-1.4151286007703187E-11</v>
      </c>
    </row>
    <row r="24" spans="1:16" x14ac:dyDescent="0.2">
      <c r="A24" s="1">
        <v>12492200</v>
      </c>
      <c r="B24">
        <v>211.06899999999999</v>
      </c>
      <c r="E24">
        <v>12492200</v>
      </c>
      <c r="F24">
        <v>211.06899999999999</v>
      </c>
      <c r="G24">
        <v>7.0461944055635881E-13</v>
      </c>
      <c r="J24">
        <v>12492200</v>
      </c>
      <c r="K24">
        <v>151.221</v>
      </c>
      <c r="N24">
        <v>12492200</v>
      </c>
      <c r="O24">
        <v>151.221</v>
      </c>
      <c r="P24">
        <v>5.6524259919164018E-12</v>
      </c>
    </row>
    <row r="25" spans="1:16" x14ac:dyDescent="0.2">
      <c r="A25" s="1">
        <v>13111300</v>
      </c>
      <c r="B25">
        <v>201.685</v>
      </c>
      <c r="E25">
        <v>13111300</v>
      </c>
      <c r="F25">
        <v>201.685</v>
      </c>
      <c r="G25">
        <v>1.8941439656394337E-12</v>
      </c>
      <c r="J25">
        <v>13111300</v>
      </c>
      <c r="K25">
        <v>152.41399999999999</v>
      </c>
      <c r="N25">
        <v>13111300</v>
      </c>
      <c r="O25">
        <v>152.41399999999999</v>
      </c>
      <c r="P25">
        <v>-5.5160672980884426E-12</v>
      </c>
    </row>
    <row r="26" spans="1:16" x14ac:dyDescent="0.2">
      <c r="A26" s="1">
        <v>16065100</v>
      </c>
      <c r="B26">
        <v>166.61799999999999</v>
      </c>
      <c r="E26">
        <v>16065100</v>
      </c>
      <c r="F26">
        <v>166.61799999999999</v>
      </c>
      <c r="G26">
        <v>1.9441260295934481E-12</v>
      </c>
      <c r="J26">
        <v>16065100</v>
      </c>
      <c r="K26">
        <v>143.98699999999999</v>
      </c>
      <c r="N26">
        <v>16065100</v>
      </c>
      <c r="O26">
        <v>143.98699999999999</v>
      </c>
      <c r="P26">
        <v>2.4503151181154747E-12</v>
      </c>
    </row>
    <row r="27" spans="1:16" x14ac:dyDescent="0.2">
      <c r="A27" s="1">
        <v>17357800</v>
      </c>
      <c r="B27">
        <v>156.17400000000001</v>
      </c>
      <c r="E27">
        <v>17357800</v>
      </c>
      <c r="F27">
        <v>156.17400000000001</v>
      </c>
      <c r="G27">
        <v>5.0227247618011921E-13</v>
      </c>
      <c r="J27">
        <v>17357800</v>
      </c>
      <c r="K27">
        <v>140.90100000000001</v>
      </c>
      <c r="N27">
        <v>17357800</v>
      </c>
      <c r="O27">
        <v>140.90100000000001</v>
      </c>
      <c r="P27">
        <v>-1.3329190339394158E-12</v>
      </c>
    </row>
    <row r="28" spans="1:16" x14ac:dyDescent="0.2">
      <c r="A28" s="1">
        <v>21063400</v>
      </c>
      <c r="B28">
        <v>132.83699999999999</v>
      </c>
      <c r="E28">
        <v>21063400</v>
      </c>
      <c r="F28">
        <v>132.83699999999999</v>
      </c>
      <c r="G28">
        <v>8.5127975782914024E-13</v>
      </c>
      <c r="J28">
        <v>21063400</v>
      </c>
      <c r="K28">
        <v>127.336</v>
      </c>
      <c r="N28">
        <v>21063400</v>
      </c>
      <c r="O28">
        <v>127.336</v>
      </c>
      <c r="P28">
        <v>6.7913174442286675E-13</v>
      </c>
    </row>
    <row r="29" spans="1:16" x14ac:dyDescent="0.2">
      <c r="A29" s="1">
        <v>24353100</v>
      </c>
      <c r="B29">
        <v>119.84099999999999</v>
      </c>
      <c r="E29">
        <v>24353100</v>
      </c>
      <c r="F29">
        <v>119.84099999999999</v>
      </c>
      <c r="G29">
        <v>9.4958375556873021E-14</v>
      </c>
      <c r="J29">
        <v>24353100</v>
      </c>
      <c r="K29">
        <v>118.027</v>
      </c>
      <c r="N29">
        <v>24353100</v>
      </c>
      <c r="O29">
        <v>118.027</v>
      </c>
      <c r="P29">
        <v>1.2870800073039487E-13</v>
      </c>
    </row>
    <row r="30" spans="1:16" x14ac:dyDescent="0.2">
      <c r="A30" s="1">
        <v>28985800</v>
      </c>
      <c r="B30">
        <v>105.91200000000001</v>
      </c>
      <c r="E30">
        <v>28985800</v>
      </c>
      <c r="F30">
        <v>105.91200000000001</v>
      </c>
      <c r="G30">
        <v>2.9313399990894952E-13</v>
      </c>
      <c r="J30">
        <v>28985800</v>
      </c>
      <c r="K30">
        <v>108.441</v>
      </c>
      <c r="N30">
        <v>28985800</v>
      </c>
      <c r="O30">
        <v>108.441</v>
      </c>
      <c r="P30">
        <v>6.2540943416185878E-14</v>
      </c>
    </row>
    <row r="31" spans="1:16" x14ac:dyDescent="0.2">
      <c r="A31" s="1">
        <v>38004200</v>
      </c>
      <c r="B31">
        <v>91.353200000000001</v>
      </c>
      <c r="E31">
        <v>38004200</v>
      </c>
      <c r="F31">
        <v>91.353200000000001</v>
      </c>
      <c r="G31">
        <v>-9.8865593413929725E-15</v>
      </c>
      <c r="J31">
        <v>38004200</v>
      </c>
      <c r="K31">
        <v>95.054199999999994</v>
      </c>
      <c r="N31">
        <v>38004200</v>
      </c>
      <c r="O31">
        <v>95.054199999999994</v>
      </c>
      <c r="P31">
        <v>1.3362974333806725E-13</v>
      </c>
    </row>
    <row r="32" spans="1:16" x14ac:dyDescent="0.2">
      <c r="A32" s="1">
        <v>43097700</v>
      </c>
      <c r="B32">
        <v>85.291600000000003</v>
      </c>
      <c r="E32">
        <v>43097700</v>
      </c>
      <c r="F32">
        <v>85.291600000000003</v>
      </c>
      <c r="G32">
        <v>3.5556304113761352E-14</v>
      </c>
      <c r="J32">
        <v>43097700</v>
      </c>
      <c r="K32">
        <v>91.211399999999998</v>
      </c>
      <c r="N32">
        <v>43097700</v>
      </c>
      <c r="O32">
        <v>91.211399999999998</v>
      </c>
      <c r="P32">
        <v>8.649443300404997E-15</v>
      </c>
    </row>
    <row r="33" spans="1:16" x14ac:dyDescent="0.2">
      <c r="A33" s="1">
        <v>67909900</v>
      </c>
      <c r="B33">
        <v>64.1066</v>
      </c>
      <c r="E33">
        <v>67909900</v>
      </c>
      <c r="F33">
        <v>64.1066</v>
      </c>
      <c r="G33">
        <v>-2.3699476507714991E-15</v>
      </c>
      <c r="J33">
        <v>67909900</v>
      </c>
      <c r="K33">
        <v>78.569599999999994</v>
      </c>
      <c r="N33">
        <v>67909900</v>
      </c>
      <c r="O33">
        <v>78.569599999999994</v>
      </c>
      <c r="P33">
        <v>1.0951707126812488E-14</v>
      </c>
    </row>
    <row r="34" spans="1:16" x14ac:dyDescent="0.2">
      <c r="A34" s="1">
        <v>71275600</v>
      </c>
      <c r="B34">
        <v>61.697299999999998</v>
      </c>
      <c r="E34">
        <v>71275600</v>
      </c>
      <c r="F34">
        <v>61.697299999999998</v>
      </c>
      <c r="G34">
        <v>2.3524989329921082E-14</v>
      </c>
      <c r="J34">
        <v>71275600</v>
      </c>
      <c r="K34">
        <v>77.332400000000007</v>
      </c>
      <c r="N34">
        <v>71275600</v>
      </c>
      <c r="O34">
        <v>77.332400000000007</v>
      </c>
      <c r="P34">
        <v>5.8377322444130093E-15</v>
      </c>
    </row>
    <row r="35" spans="1:16" x14ac:dyDescent="0.2">
      <c r="A35" s="1">
        <v>96204000</v>
      </c>
      <c r="B35">
        <v>48.654000000000003</v>
      </c>
      <c r="E35">
        <v>96204000</v>
      </c>
      <c r="F35">
        <v>48.654000000000003</v>
      </c>
      <c r="G35">
        <v>-6.723586500868673E-15</v>
      </c>
      <c r="J35">
        <v>96204000</v>
      </c>
      <c r="K35">
        <v>70.150899999999993</v>
      </c>
      <c r="N35">
        <v>96204000</v>
      </c>
      <c r="O35">
        <v>70.150899999999993</v>
      </c>
      <c r="P35">
        <v>4.4056895643763629E-15</v>
      </c>
    </row>
    <row r="36" spans="1:16" x14ac:dyDescent="0.2">
      <c r="A36" s="1">
        <v>115618000</v>
      </c>
      <c r="B36">
        <v>39.227400000000003</v>
      </c>
      <c r="E36">
        <v>115618000</v>
      </c>
      <c r="F36">
        <v>39.227400000000003</v>
      </c>
      <c r="G36">
        <v>1.2150091972152247E-14</v>
      </c>
      <c r="J36">
        <v>115618000</v>
      </c>
      <c r="K36">
        <v>66.082999999999998</v>
      </c>
      <c r="N36">
        <v>115618000</v>
      </c>
      <c r="O36">
        <v>66.082999999999998</v>
      </c>
      <c r="P36">
        <v>-3.3449422231061401E-15</v>
      </c>
    </row>
    <row r="37" spans="1:16" x14ac:dyDescent="0.2">
      <c r="A37" s="1">
        <v>141664000</v>
      </c>
      <c r="B37">
        <v>30.918299999999999</v>
      </c>
      <c r="E37">
        <v>141664000</v>
      </c>
      <c r="F37">
        <v>30.918299999999999</v>
      </c>
      <c r="G37">
        <v>9.632227661923526E-16</v>
      </c>
      <c r="J37">
        <v>141664000</v>
      </c>
      <c r="K37">
        <v>60.1599</v>
      </c>
      <c r="N37">
        <v>141664000</v>
      </c>
      <c r="O37">
        <v>60.1599</v>
      </c>
      <c r="P37">
        <v>4.2747844185456067E-15</v>
      </c>
    </row>
    <row r="38" spans="1:16" x14ac:dyDescent="0.2">
      <c r="A38" s="1">
        <v>196842000</v>
      </c>
      <c r="B38">
        <v>19.3384</v>
      </c>
      <c r="E38">
        <v>196842000</v>
      </c>
      <c r="F38">
        <v>19.3384</v>
      </c>
      <c r="G38">
        <v>3.297991849793848E-15</v>
      </c>
      <c r="J38">
        <v>196842000</v>
      </c>
      <c r="K38">
        <v>51.674599999999998</v>
      </c>
      <c r="N38">
        <v>196842000</v>
      </c>
      <c r="O38">
        <v>51.674599999999998</v>
      </c>
      <c r="P38">
        <v>-3.0000285036833306E-15</v>
      </c>
    </row>
    <row r="39" spans="1:16" x14ac:dyDescent="0.2">
      <c r="A39" s="1">
        <v>198756000</v>
      </c>
      <c r="B39">
        <v>19.0733</v>
      </c>
      <c r="E39">
        <v>198756000</v>
      </c>
      <c r="F39">
        <v>19.0733</v>
      </c>
      <c r="G39">
        <v>-8.2260061388190177E-16</v>
      </c>
      <c r="J39">
        <v>198756000</v>
      </c>
      <c r="K39">
        <v>51.347000000000001</v>
      </c>
      <c r="N39">
        <v>198756000</v>
      </c>
      <c r="O39">
        <v>51.347000000000001</v>
      </c>
      <c r="P39">
        <v>1.2564815674757952E-15</v>
      </c>
    </row>
    <row r="40" spans="1:16" x14ac:dyDescent="0.2">
      <c r="A40" s="1">
        <v>258086000</v>
      </c>
      <c r="B40">
        <v>10.6594</v>
      </c>
      <c r="E40">
        <v>258086000</v>
      </c>
      <c r="F40">
        <v>10.6594</v>
      </c>
      <c r="G40">
        <v>1.2571920988772611E-15</v>
      </c>
      <c r="J40">
        <v>258086000</v>
      </c>
      <c r="K40">
        <v>43.245899999999999</v>
      </c>
      <c r="N40">
        <v>258086000</v>
      </c>
      <c r="O40">
        <v>43.245899999999999</v>
      </c>
      <c r="P40">
        <v>1.0035227147382789E-15</v>
      </c>
    </row>
    <row r="41" spans="1:16" x14ac:dyDescent="0.2">
      <c r="A41" s="1">
        <v>313183000</v>
      </c>
      <c r="B41">
        <v>5.61409</v>
      </c>
      <c r="E41">
        <v>313183000</v>
      </c>
      <c r="F41">
        <v>5.61409</v>
      </c>
      <c r="G41">
        <v>1.1353542737414196E-15</v>
      </c>
      <c r="J41">
        <v>313183000</v>
      </c>
      <c r="K41">
        <v>38.081000000000003</v>
      </c>
      <c r="N41">
        <v>313183000</v>
      </c>
      <c r="O41">
        <v>38.081000000000003</v>
      </c>
      <c r="P41">
        <v>-8.60310535770078E-16</v>
      </c>
    </row>
    <row r="42" spans="1:16" x14ac:dyDescent="0.2">
      <c r="A42" s="1">
        <v>325541000</v>
      </c>
      <c r="B42">
        <v>4.9384399999999999</v>
      </c>
      <c r="E42">
        <v>325541000</v>
      </c>
      <c r="F42">
        <v>4.9384399999999999</v>
      </c>
      <c r="G42">
        <v>-8.4820615961386613E-17</v>
      </c>
      <c r="J42">
        <v>325541000</v>
      </c>
      <c r="K42">
        <v>36.816200000000002</v>
      </c>
      <c r="N42">
        <v>325541000</v>
      </c>
      <c r="O42">
        <v>36.816200000000002</v>
      </c>
      <c r="P42">
        <v>7.400170974217003E-16</v>
      </c>
    </row>
    <row r="43" spans="1:16" x14ac:dyDescent="0.2">
      <c r="A43" s="1">
        <v>372759000</v>
      </c>
      <c r="B43">
        <v>2.3563800000000001</v>
      </c>
      <c r="E43">
        <v>372759000</v>
      </c>
      <c r="F43">
        <v>2.3563800000000001</v>
      </c>
      <c r="G43">
        <v>-8.4469623001037622E-17</v>
      </c>
      <c r="J43">
        <v>372759000</v>
      </c>
      <c r="K43">
        <v>32.710999999999999</v>
      </c>
      <c r="N43">
        <v>372759000</v>
      </c>
      <c r="O43">
        <v>32.710999999999999</v>
      </c>
      <c r="P43">
        <v>3.1531671719946822E-16</v>
      </c>
    </row>
    <row r="44" spans="1:16" x14ac:dyDescent="0.2">
      <c r="A44" s="1">
        <v>398878000</v>
      </c>
      <c r="B44">
        <v>0.99868800000000002</v>
      </c>
      <c r="E44">
        <v>398878000</v>
      </c>
      <c r="F44">
        <v>0.99868800000000002</v>
      </c>
      <c r="G44">
        <v>1.2485676905179624E-15</v>
      </c>
      <c r="J44">
        <v>398878000</v>
      </c>
      <c r="K44">
        <v>30.833400000000001</v>
      </c>
      <c r="N44">
        <v>398878000</v>
      </c>
      <c r="O44">
        <v>30.833400000000001</v>
      </c>
      <c r="P44">
        <v>3.4991519210856727E-16</v>
      </c>
    </row>
    <row r="45" spans="1:16" x14ac:dyDescent="0.2">
      <c r="A45" s="1">
        <v>470185000</v>
      </c>
      <c r="B45">
        <v>0.124171</v>
      </c>
      <c r="E45">
        <v>470185000</v>
      </c>
      <c r="F45">
        <v>0.124171</v>
      </c>
      <c r="G45">
        <v>-3.8961935014908749E-17</v>
      </c>
      <c r="J45">
        <v>470185000</v>
      </c>
      <c r="K45">
        <v>26.71</v>
      </c>
      <c r="N45">
        <v>470185000</v>
      </c>
      <c r="O45">
        <v>26.71</v>
      </c>
      <c r="P45">
        <v>1.1141466919678081E-16</v>
      </c>
    </row>
    <row r="46" spans="1:16" x14ac:dyDescent="0.2">
      <c r="A46" s="1">
        <v>672560000</v>
      </c>
      <c r="B46">
        <v>1.3286999999999999E-3</v>
      </c>
      <c r="E46">
        <v>672560000</v>
      </c>
      <c r="F46">
        <v>1.3286999999999999E-3</v>
      </c>
      <c r="G46">
        <v>1.1055680712551782E-17</v>
      </c>
      <c r="J46">
        <v>672560000</v>
      </c>
      <c r="K46">
        <v>18.7332</v>
      </c>
      <c r="N46">
        <v>672560000</v>
      </c>
      <c r="O46">
        <v>18.7332</v>
      </c>
      <c r="P46">
        <v>1.2118454919956798E-16</v>
      </c>
    </row>
    <row r="47" spans="1:16" x14ac:dyDescent="0.2">
      <c r="A47" s="1">
        <v>990372000</v>
      </c>
      <c r="B47" s="1">
        <v>9.8413599999999992E-6</v>
      </c>
      <c r="E47">
        <v>990372000</v>
      </c>
      <c r="F47">
        <v>9.8413599999999992E-6</v>
      </c>
      <c r="G47">
        <v>0</v>
      </c>
      <c r="J47">
        <v>990372000</v>
      </c>
      <c r="K47">
        <v>14.078799999999999</v>
      </c>
      <c r="N47">
        <v>990372000</v>
      </c>
      <c r="O47">
        <v>14.078799999999999</v>
      </c>
      <c r="P47">
        <v>0</v>
      </c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0" x14ac:dyDescent="0.2">
      <c r="J65" s="1"/>
    </row>
    <row r="66" spans="10:10" x14ac:dyDescent="0.2">
      <c r="J66" s="1"/>
    </row>
    <row r="67" spans="10:10" x14ac:dyDescent="0.2">
      <c r="J67" s="1"/>
    </row>
    <row r="68" spans="10:10" x14ac:dyDescent="0.2">
      <c r="J68" s="1"/>
    </row>
    <row r="69" spans="10:10" x14ac:dyDescent="0.2">
      <c r="J69" s="1"/>
    </row>
    <row r="70" spans="10:10" x14ac:dyDescent="0.2">
      <c r="J70" s="1"/>
    </row>
    <row r="71" spans="10:10" x14ac:dyDescent="0.2">
      <c r="J71" s="1"/>
    </row>
    <row r="72" spans="10:10" x14ac:dyDescent="0.2">
      <c r="J72" s="1"/>
    </row>
    <row r="73" spans="10:10" x14ac:dyDescent="0.2">
      <c r="J73" s="1"/>
    </row>
    <row r="74" spans="10:10" x14ac:dyDescent="0.2">
      <c r="J74" s="1"/>
    </row>
    <row r="75" spans="10:10" x14ac:dyDescent="0.2">
      <c r="J75" s="1"/>
    </row>
    <row r="76" spans="10:10" x14ac:dyDescent="0.2">
      <c r="J76" s="1"/>
    </row>
    <row r="77" spans="10:10" x14ac:dyDescent="0.2">
      <c r="J77" s="1"/>
    </row>
    <row r="78" spans="10:10" x14ac:dyDescent="0.2">
      <c r="J78" s="1"/>
    </row>
  </sheetData>
  <dataConsolidate/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35"/>
  <sheetViews>
    <sheetView topLeftCell="A7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2*340</f>
        <v>680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1.1000000000000001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5.1698048707473645E-4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csinterpolate(CSTableU2,'FT240-52 (2)'!B18*1000000)</f>
        <v>3.0499000000000001</v>
      </c>
      <c r="C19" s="7">
        <f>csinterpolate(CSTableU2,'FT240-52 (2)'!C18*1000000)</f>
        <v>3.2904831190109389</v>
      </c>
      <c r="D19" s="7">
        <f>csinterpolate(CSTableU2,'FT240-52 (2)'!D18*1000000)</f>
        <v>3.967018516752479</v>
      </c>
      <c r="E19" s="7">
        <f>csinterpolate(CSTableU2,'FT240-52 (2)'!E18*1000000)</f>
        <v>4.1624213685595173</v>
      </c>
      <c r="F19" s="7">
        <f>csinterpolate(CSTableU2,'FT240-52 (2)'!F18*1000000)</f>
        <v>4.6934474029834936</v>
      </c>
      <c r="G19" s="7">
        <f>csinterpolate(CSTableU2,'FT240-52 (2)'!G18*1000000)</f>
        <v>5.7869745969032644</v>
      </c>
      <c r="H19" s="7">
        <f>csinterpolate(CSTableU2,'FT240-52 (2)'!H18*1000000)</f>
        <v>7.3580620226877942</v>
      </c>
      <c r="I19" s="7">
        <f>csinterpolate(CSTableU2,'FT240-52 (2)'!I18*1000000)</f>
        <v>9.926754908090583</v>
      </c>
      <c r="J19" s="7">
        <f>csinterpolate(CSTableU2,'FT240-52 (2)'!J18*1000000)</f>
        <v>13.81033892745144</v>
      </c>
      <c r="K19" s="7">
        <f>csinterpolate(CSTableU2,'FT240-52 (2)'!K18*1000000)</f>
        <v>20.511611514548019</v>
      </c>
      <c r="L19" s="7">
        <f>csinterpolate(CSTableU2,'FT240-52 (2)'!L18*1000000)</f>
        <v>29.809955391832062</v>
      </c>
      <c r="M19" s="7">
        <f>csinterpolate(CSTableU2,'FT240-52 (2)'!M18*1000000)</f>
        <v>41.297758756922754</v>
      </c>
      <c r="N19" s="7">
        <f>csinterpolate(CSTableU2,'FT240-52 (2)'!N18*1000000)</f>
        <v>71.227829783683418</v>
      </c>
      <c r="O19" s="7">
        <f>csinterpolate(CSTableU2,'FT240-52 (2)'!O18*1000000)</f>
        <v>98.042432892117944</v>
      </c>
      <c r="P19" s="7">
        <f>csinterpolate(CSTableU2,'FT240-52 (2)'!P18*1000000)</f>
        <v>124.39851411420072</v>
      </c>
      <c r="Q19" s="7">
        <f>csinterpolate(CSTableU2,'FT240-52 (2)'!Q18*1000000)</f>
        <v>137.48080431574027</v>
      </c>
      <c r="R19" s="7">
        <f>csinterpolate(CSTableU2,'FT240-52 (2)'!R18*1000000)</f>
        <v>148.59943423102928</v>
      </c>
      <c r="S19" s="7">
        <f>csinterpolate(CSTableU2,'FT240-52 (2)'!S18*1000000)</f>
        <v>151.00249371940657</v>
      </c>
      <c r="T19" s="7">
        <f>csinterpolate(CSTableU2,'FT240-52 (2)'!T18*1000000)</f>
        <v>152.23128862750124</v>
      </c>
      <c r="U19" s="7">
        <f>csinterpolate(CSTableU2,'FT240-52 (2)'!U18*1000000)</f>
        <v>151.77044049308</v>
      </c>
      <c r="V19" s="7">
        <f>csinterpolate(CSTableU2,'FT240-52 (2)'!V18*1000000)</f>
        <v>148.19510684679508</v>
      </c>
      <c r="W19" s="7">
        <f>csinterpolate(CSTableU2,'FT240-52 (2)'!W18*1000000)</f>
        <v>144.19751813493576</v>
      </c>
      <c r="X19" s="7">
        <f>csinterpolate(CSTableU2,'FT240-52 (2)'!X18*1000000)</f>
        <v>141.70879370829715</v>
      </c>
      <c r="Y19" s="7">
        <f>csinterpolate(CSTableU2,'FT240-52 (2)'!Y18*1000000)</f>
        <v>139.08719283420325</v>
      </c>
      <c r="Z19" s="7">
        <f>csinterpolate(CSTableU2,'FT240-52 (2)'!Z18*1000000)</f>
        <v>135.50786137417444</v>
      </c>
      <c r="AA19" s="7">
        <f>csinterpolate(CSTableU2,'FT240-52 (2)'!AA18*1000000)</f>
        <v>124.19703145370912</v>
      </c>
      <c r="AB19" s="7">
        <f>csinterpolate(CSTableU2,'FT240-52 (2)'!AB18*1000000)</f>
        <v>118.85411849931367</v>
      </c>
      <c r="AC19" s="7">
        <f>csinterpolate(CSTableU2,'FT240-52 (2)'!AC18*1000000)</f>
        <v>114.37628656816462</v>
      </c>
      <c r="AD19" s="7">
        <f>csinterpolate(CSTableU2,'FT240-52 (2)'!AD18*1000000)</f>
        <v>110.32031789018907</v>
      </c>
      <c r="AE19" s="7">
        <f>csinterpolate(CSTableU2,'FT240-52 (2)'!AE18*1000000)</f>
        <v>106.57469008666072</v>
      </c>
    </row>
    <row r="20" spans="1:31" x14ac:dyDescent="0.2">
      <c r="A20" t="s">
        <v>3</v>
      </c>
      <c r="B20" s="7">
        <f>csinterpolate(CSTableU1,'FT240-52 (2)'!B18*1000000)</f>
        <v>271.82299999999998</v>
      </c>
      <c r="C20" s="7">
        <f>csinterpolate(CSTableU1,'FT240-52 (2)'!C18*1000000)</f>
        <v>272.19082946678634</v>
      </c>
      <c r="D20" s="7">
        <f>csinterpolate(CSTableU1,'FT240-52 (2)'!D18*1000000)</f>
        <v>272.34705648423068</v>
      </c>
      <c r="E20" s="7">
        <f>csinterpolate(CSTableU1,'FT240-52 (2)'!E18*1000000)</f>
        <v>271.78453117064919</v>
      </c>
      <c r="F20" s="7">
        <f>csinterpolate(CSTableU1,'FT240-52 (2)'!F18*1000000)</f>
        <v>270.41777375176463</v>
      </c>
      <c r="G20" s="7">
        <f>csinterpolate(CSTableU1,'FT240-52 (2)'!G18*1000000)</f>
        <v>270.72356701062466</v>
      </c>
      <c r="H20" s="7">
        <f>csinterpolate(CSTableU1,'FT240-52 (2)'!H18*1000000)</f>
        <v>277.74873858288925</v>
      </c>
      <c r="I20" s="7">
        <f>csinterpolate(CSTableU1,'FT240-52 (2)'!I18*1000000)</f>
        <v>284.40522241788904</v>
      </c>
      <c r="J20" s="7">
        <f>csinterpolate(CSTableU1,'FT240-52 (2)'!J18*1000000)</f>
        <v>292.22641370148841</v>
      </c>
      <c r="K20" s="7">
        <f>csinterpolate(CSTableU1,'FT240-52 (2)'!K18*1000000)</f>
        <v>298.93908294056735</v>
      </c>
      <c r="L20" s="7">
        <f>csinterpolate(CSTableU1,'FT240-52 (2)'!L18*1000000)</f>
        <v>301.5249441802431</v>
      </c>
      <c r="M20" s="7">
        <f>csinterpolate(CSTableU1,'FT240-52 (2)'!M18*1000000)</f>
        <v>305.38916179553797</v>
      </c>
      <c r="N20" s="7">
        <f>csinterpolate(CSTableU1,'FT240-52 (2)'!N18*1000000)</f>
        <v>305.24355321471819</v>
      </c>
      <c r="O20" s="7">
        <f>csinterpolate(CSTableU1,'FT240-52 (2)'!O18*1000000)</f>
        <v>296.23832150305083</v>
      </c>
      <c r="P20" s="7">
        <f>csinterpolate(CSTableU1,'FT240-52 (2)'!P18*1000000)</f>
        <v>276.51437232303493</v>
      </c>
      <c r="Q20" s="7">
        <f>csinterpolate(CSTableU1,'FT240-52 (2)'!Q18*1000000)</f>
        <v>260.28916563413679</v>
      </c>
      <c r="R20" s="7">
        <f>csinterpolate(CSTableU1,'FT240-52 (2)'!R18*1000000)</f>
        <v>237.53203498823027</v>
      </c>
      <c r="S20" s="7">
        <f>csinterpolate(CSTableU1,'FT240-52 (2)'!S18*1000000)</f>
        <v>218.87421660185237</v>
      </c>
      <c r="T20" s="7">
        <f>csinterpolate(CSTableU1,'FT240-52 (2)'!T18*1000000)</f>
        <v>203.33172189960433</v>
      </c>
      <c r="U20" s="7">
        <f>csinterpolate(CSTableU1,'FT240-52 (2)'!U18*1000000)</f>
        <v>189.37650548986889</v>
      </c>
      <c r="V20" s="7">
        <f>csinterpolate(CSTableU1,'FT240-52 (2)'!V18*1000000)</f>
        <v>177.33002992245264</v>
      </c>
      <c r="W20" s="7">
        <f>csinterpolate(CSTableU1,'FT240-52 (2)'!W18*1000000)</f>
        <v>167.20965609439202</v>
      </c>
      <c r="X20" s="7">
        <f>csinterpolate(CSTableU1,'FT240-52 (2)'!X18*1000000)</f>
        <v>158.87810019508268</v>
      </c>
      <c r="Y20" s="7">
        <f>csinterpolate(CSTableU1,'FT240-52 (2)'!Y18*1000000)</f>
        <v>151.50124323103856</v>
      </c>
      <c r="Z20" s="7">
        <f>csinterpolate(CSTableU1,'FT240-52 (2)'!Z18*1000000)</f>
        <v>144.69637942438118</v>
      </c>
      <c r="AA20" s="7">
        <f>csinterpolate(CSTableU1,'FT240-52 (2)'!AA18*1000000)</f>
        <v>128.55578016848358</v>
      </c>
      <c r="AB20" s="7">
        <f>csinterpolate(CSTableU1,'FT240-52 (2)'!AB18*1000000)</f>
        <v>121.04195811736874</v>
      </c>
      <c r="AC20" s="7">
        <f>csinterpolate(CSTableU1,'FT240-52 (2)'!AC18*1000000)</f>
        <v>114.435694181161</v>
      </c>
      <c r="AD20" s="7">
        <f>csinterpolate(CSTableU1,'FT240-52 (2)'!AD18*1000000)</f>
        <v>108.49306247968192</v>
      </c>
      <c r="AE20" s="7">
        <f>csinterpolate(CSTableU1,'FT240-52 (2)'!AE18*1000000)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6.3069551501169547</v>
      </c>
      <c r="C21" s="5">
        <f t="shared" si="1"/>
        <v>8.1653547147718708</v>
      </c>
      <c r="D21" s="5">
        <f t="shared" si="1"/>
        <v>14.766272388181404</v>
      </c>
      <c r="E21" s="5">
        <f t="shared" si="1"/>
        <v>17.215125012225524</v>
      </c>
      <c r="F21" s="5">
        <f t="shared" si="1"/>
        <v>24.264207244540636</v>
      </c>
      <c r="G21" s="5">
        <f t="shared" si="1"/>
        <v>35.901035349554114</v>
      </c>
      <c r="H21" s="5">
        <f t="shared" si="1"/>
        <v>53.255642837813582</v>
      </c>
      <c r="I21" s="5">
        <f t="shared" si="1"/>
        <v>82.1110173992992</v>
      </c>
      <c r="J21" s="5">
        <f t="shared" si="1"/>
        <v>128.51416341685871</v>
      </c>
      <c r="K21" s="5">
        <f t="shared" si="1"/>
        <v>212.08205822957612</v>
      </c>
      <c r="L21" s="5">
        <f t="shared" si="1"/>
        <v>339.0456356792011</v>
      </c>
      <c r="M21" s="5">
        <f t="shared" si="1"/>
        <v>512.40325049397325</v>
      </c>
      <c r="N21" s="5">
        <f t="shared" si="1"/>
        <v>1031.0551477756621</v>
      </c>
      <c r="O21" s="5">
        <f t="shared" si="1"/>
        <v>1621.9527907378974</v>
      </c>
      <c r="P21" s="5">
        <f t="shared" si="1"/>
        <v>2315.2177590527867</v>
      </c>
      <c r="Q21" s="5">
        <f t="shared" si="1"/>
        <v>2842.9957271431176</v>
      </c>
      <c r="R21" s="5">
        <f t="shared" si="1"/>
        <v>3380.2123470626625</v>
      </c>
      <c r="S21" s="5">
        <f t="shared" si="1"/>
        <v>3747.1364521228147</v>
      </c>
      <c r="T21" s="5">
        <f t="shared" si="1"/>
        <v>4092.4314986183399</v>
      </c>
      <c r="U21" s="5">
        <f t="shared" si="1"/>
        <v>4393.8919499809481</v>
      </c>
      <c r="V21" s="5">
        <f t="shared" si="1"/>
        <v>4596.8387111849243</v>
      </c>
      <c r="W21" s="5">
        <f t="shared" si="1"/>
        <v>4771.0274022635031</v>
      </c>
      <c r="X21" s="5">
        <f t="shared" si="1"/>
        <v>4981.7263211980389</v>
      </c>
      <c r="Y21" s="5">
        <f t="shared" si="1"/>
        <v>5177.1862582044623</v>
      </c>
      <c r="Z21" s="5">
        <f t="shared" si="1"/>
        <v>5324.1739333514197</v>
      </c>
      <c r="AA21" s="5">
        <f t="shared" si="1"/>
        <v>5650.254879647392</v>
      </c>
      <c r="AB21" s="5">
        <f t="shared" si="1"/>
        <v>5898.7449669709076</v>
      </c>
      <c r="AC21" s="5">
        <f t="shared" si="1"/>
        <v>6149.5520673401752</v>
      </c>
      <c r="AD21" s="5">
        <f t="shared" si="1"/>
        <v>6387.7465878362873</v>
      </c>
      <c r="AE21" s="5">
        <f t="shared" si="1"/>
        <v>6611.6442229009135</v>
      </c>
    </row>
    <row r="22" spans="1:31" x14ac:dyDescent="0.2">
      <c r="A22" t="s">
        <v>11</v>
      </c>
      <c r="B22" s="5">
        <f t="shared" ref="B22:AE22" si="2">B20/$B$13*$B$16*B18*1000000</f>
        <v>562.1087477524643</v>
      </c>
      <c r="C22" s="5">
        <f t="shared" si="2"/>
        <v>675.44326845607543</v>
      </c>
      <c r="D22" s="5">
        <f t="shared" si="2"/>
        <v>1013.7464201850361</v>
      </c>
      <c r="E22" s="5">
        <f t="shared" si="2"/>
        <v>1124.0583944318489</v>
      </c>
      <c r="F22" s="5">
        <f t="shared" si="2"/>
        <v>1398.0071238785315</v>
      </c>
      <c r="G22" s="5">
        <f t="shared" si="2"/>
        <v>1679.5056184291534</v>
      </c>
      <c r="H22" s="5">
        <f t="shared" si="2"/>
        <v>2010.2694941976602</v>
      </c>
      <c r="I22" s="5">
        <f t="shared" si="2"/>
        <v>2352.5112065951844</v>
      </c>
      <c r="J22" s="5">
        <f t="shared" si="2"/>
        <v>2719.3563664469802</v>
      </c>
      <c r="K22" s="5">
        <f t="shared" si="2"/>
        <v>3090.9134540857913</v>
      </c>
      <c r="L22" s="5">
        <f t="shared" si="2"/>
        <v>3429.4152751646657</v>
      </c>
      <c r="M22" s="5">
        <f t="shared" si="2"/>
        <v>3789.1257026976655</v>
      </c>
      <c r="N22" s="5">
        <f t="shared" si="2"/>
        <v>4418.5389028863101</v>
      </c>
      <c r="O22" s="5">
        <f t="shared" si="2"/>
        <v>4900.7818157071879</v>
      </c>
      <c r="P22" s="5">
        <f t="shared" si="2"/>
        <v>5146.291255922195</v>
      </c>
      <c r="Q22" s="5">
        <f t="shared" si="2"/>
        <v>5382.576785192512</v>
      </c>
      <c r="R22" s="5">
        <f t="shared" si="2"/>
        <v>5403.1747943390201</v>
      </c>
      <c r="S22" s="5">
        <f t="shared" si="2"/>
        <v>5431.3775571324959</v>
      </c>
      <c r="T22" s="5">
        <f t="shared" si="2"/>
        <v>5466.1636965209191</v>
      </c>
      <c r="U22" s="5">
        <f t="shared" si="2"/>
        <v>5482.6216507251793</v>
      </c>
      <c r="V22" s="5">
        <f t="shared" si="2"/>
        <v>5500.5699145372291</v>
      </c>
      <c r="W22" s="5">
        <f t="shared" si="2"/>
        <v>5532.4242848817894</v>
      </c>
      <c r="X22" s="5">
        <f t="shared" si="2"/>
        <v>5585.3076784566583</v>
      </c>
      <c r="Y22" s="5">
        <f t="shared" si="2"/>
        <v>5639.2694292967508</v>
      </c>
      <c r="Z22" s="5">
        <f t="shared" si="2"/>
        <v>5685.1955581703269</v>
      </c>
      <c r="AA22" s="5">
        <f t="shared" si="2"/>
        <v>5848.5530266042333</v>
      </c>
      <c r="AB22" s="5">
        <f t="shared" si="2"/>
        <v>6007.3277245437248</v>
      </c>
      <c r="AC22" s="5">
        <f t="shared" si="2"/>
        <v>6152.7461753172684</v>
      </c>
      <c r="AD22" s="5">
        <f t="shared" si="2"/>
        <v>6281.9451839172862</v>
      </c>
      <c r="AE22" s="5">
        <f t="shared" si="2"/>
        <v>6423.4418614696651</v>
      </c>
    </row>
    <row r="23" spans="1:31" x14ac:dyDescent="0.2">
      <c r="A23" t="s">
        <v>12</v>
      </c>
      <c r="B23" s="5" t="str">
        <f t="shared" ref="B23:AE23" si="3">IMDIV(1,COMPLEX(B21,B22))</f>
        <v>0.0000199583384852523-0.00177879125285312i</v>
      </c>
      <c r="C23" s="5" t="str">
        <f t="shared" si="3"/>
        <v>0.0000178950879260653-0.0014802929083073i</v>
      </c>
      <c r="D23" s="5" t="str">
        <f t="shared" si="3"/>
        <v>0.0000143654777533586-0.000986230733382038i</v>
      </c>
      <c r="E23" s="5" t="str">
        <f t="shared" si="3"/>
        <v>0.000013621677087023-0.000889424878706055i</v>
      </c>
      <c r="F23" s="5" t="str">
        <f t="shared" si="3"/>
        <v>0.000012411278768056-0.000715088523573692i</v>
      </c>
      <c r="G23" s="5" t="str">
        <f t="shared" si="3"/>
        <v>0.0000127217147613866-0.000595141371544516i</v>
      </c>
      <c r="H23" s="5" t="str">
        <f t="shared" si="3"/>
        <v>0.0000131689873117816-0.000497096871837091i</v>
      </c>
      <c r="I23" s="5" t="str">
        <f t="shared" si="3"/>
        <v>0.0000148186714920845-0.000424560453105272i</v>
      </c>
      <c r="J23" s="5" t="str">
        <f t="shared" si="3"/>
        <v>0.000017340030816393-0.000366914602571808i</v>
      </c>
      <c r="K23" s="5" t="str">
        <f t="shared" si="3"/>
        <v>0.0000220948160395112-0.000322012926186095i</v>
      </c>
      <c r="L23" s="5" t="str">
        <f t="shared" si="3"/>
        <v>0.0000285491893674193-0.000288772412345205i</v>
      </c>
      <c r="M23" s="5" t="str">
        <f t="shared" si="3"/>
        <v>0.0000350480283961516-0.000259173580762243i</v>
      </c>
      <c r="N23" s="5" t="str">
        <f t="shared" si="3"/>
        <v>0.0000500838950270796-0.000214632203779439i</v>
      </c>
      <c r="O23" s="5" t="str">
        <f t="shared" si="3"/>
        <v>0.0000608649375172311-0.000183905339725022i</v>
      </c>
      <c r="P23" s="5" t="str">
        <f t="shared" si="3"/>
        <v>0.0000727037430229686-0.000161606671998315i</v>
      </c>
      <c r="Q23" s="5" t="str">
        <f t="shared" si="3"/>
        <v>0.0000767241756493239-0.000145260072947093i</v>
      </c>
      <c r="R23" s="5" t="str">
        <f t="shared" si="3"/>
        <v>0.0000832151956844082-0.000133017160362337i</v>
      </c>
      <c r="S23" s="5" t="str">
        <f t="shared" si="3"/>
        <v>0.0000860601638741639-0.000124741985940884i</v>
      </c>
      <c r="T23" s="5" t="str">
        <f t="shared" si="3"/>
        <v>0.000087769675634087-0.000117231874197146i</v>
      </c>
      <c r="U23" s="5" t="str">
        <f t="shared" si="3"/>
        <v>0.0000890074744544819-0.000111061972409819i</v>
      </c>
      <c r="V23" s="5" t="str">
        <f t="shared" si="3"/>
        <v>0.0000894549442628005-0.000107041644493924i</v>
      </c>
      <c r="W23" s="5" t="str">
        <f t="shared" si="3"/>
        <v>0.0000893945994454294-0.000103660870334666i</v>
      </c>
      <c r="X23" s="5" t="str">
        <f t="shared" si="3"/>
        <v>0.0000889383408487184-0.0000997140280343785i</v>
      </c>
      <c r="Y23" s="5" t="str">
        <f t="shared" si="3"/>
        <v>0.000088340927750892-0.000096225684836399i</v>
      </c>
      <c r="Z23" s="5" t="str">
        <f t="shared" si="3"/>
        <v>0.0000877587798944983-0.0000937095278802414i</v>
      </c>
      <c r="AA23" s="5" t="str">
        <f t="shared" si="3"/>
        <v>0.00008544039739495-0.0000884389652188022i</v>
      </c>
      <c r="AB23" s="5" t="str">
        <f t="shared" si="3"/>
        <v>0.0000832178393452442-0.0000847496944306824i</v>
      </c>
      <c r="AC23" s="5" t="str">
        <f t="shared" si="3"/>
        <v>0.0000812645147942993-0.0000813067239880936i</v>
      </c>
      <c r="AD23" s="5" t="str">
        <f t="shared" si="3"/>
        <v>0.0000795820809053618-0.0000782639484824795i</v>
      </c>
      <c r="AE23" s="5" t="str">
        <f t="shared" si="3"/>
        <v>0.0000778074425547904-0.0000755926312412875i</v>
      </c>
    </row>
    <row r="24" spans="1:31" x14ac:dyDescent="0.2">
      <c r="A24" t="s">
        <v>13</v>
      </c>
      <c r="B24" s="6" t="str">
        <f t="shared" ref="B24:AE24" si="4">COMPLEX(0,2*PI()*B18*1000000*$B$9*0.000000000001)</f>
        <v>6.91150383789754E-06i</v>
      </c>
      <c r="C24" s="6" t="str">
        <f t="shared" si="4"/>
        <v>8.29380460547705E-06i</v>
      </c>
      <c r="D24" s="6" t="str">
        <f t="shared" si="4"/>
        <v>0.0000124407069082156i</v>
      </c>
      <c r="E24" s="6" t="str">
        <f t="shared" si="4"/>
        <v>0.0000138230076757951i</v>
      </c>
      <c r="F24" s="6" t="str">
        <f t="shared" si="4"/>
        <v>0.0000172787595947439i</v>
      </c>
      <c r="G24" s="6" t="str">
        <f t="shared" si="4"/>
        <v>0.0000207345115136926i</v>
      </c>
      <c r="H24" s="6" t="str">
        <f t="shared" si="4"/>
        <v>0.0000241902634326414i</v>
      </c>
      <c r="I24" s="6" t="str">
        <f t="shared" si="4"/>
        <v>0.0000276460153515902i</v>
      </c>
      <c r="J24" s="6" t="str">
        <f t="shared" si="4"/>
        <v>0.000031101767270539i</v>
      </c>
      <c r="K24" s="6" t="str">
        <f t="shared" si="4"/>
        <v>0.0000345575191894877i</v>
      </c>
      <c r="L24" s="6" t="str">
        <f t="shared" si="4"/>
        <v>0.0000380132711084365i</v>
      </c>
      <c r="M24" s="6" t="str">
        <f t="shared" si="4"/>
        <v>0.0000414690230273853i</v>
      </c>
      <c r="N24" s="6" t="str">
        <f t="shared" si="4"/>
        <v>0.0000483805268652828i</v>
      </c>
      <c r="O24" s="6" t="str">
        <f t="shared" si="4"/>
        <v>0.0000552920307031804i</v>
      </c>
      <c r="P24" s="6" t="str">
        <f t="shared" si="4"/>
        <v>0.0000622035345410779i</v>
      </c>
      <c r="Q24" s="6" t="str">
        <f t="shared" si="4"/>
        <v>0.0000691150383789754i</v>
      </c>
      <c r="R24" s="6" t="str">
        <f t="shared" si="4"/>
        <v>0.000076026542216873i</v>
      </c>
      <c r="S24" s="6" t="str">
        <f t="shared" si="4"/>
        <v>0.0000829380460547705i</v>
      </c>
      <c r="T24" s="6" t="str">
        <f t="shared" si="4"/>
        <v>0.0000898495498926681i</v>
      </c>
      <c r="U24" s="6" t="str">
        <f t="shared" si="4"/>
        <v>0.0000967610537305656i</v>
      </c>
      <c r="V24" s="6" t="str">
        <f t="shared" si="4"/>
        <v>0.000103672557568463i</v>
      </c>
      <c r="W24" s="6" t="str">
        <f t="shared" si="4"/>
        <v>0.000110584061406361i</v>
      </c>
      <c r="X24" s="6" t="str">
        <f t="shared" si="4"/>
        <v>0.000117495565244258i</v>
      </c>
      <c r="Y24" s="6" t="str">
        <f t="shared" si="4"/>
        <v>0.000124407069082156i</v>
      </c>
      <c r="Z24" s="6" t="str">
        <f t="shared" si="4"/>
        <v>0.000131318572920053i</v>
      </c>
      <c r="AA24" s="6" t="str">
        <f t="shared" si="4"/>
        <v>0.000152053084433746i</v>
      </c>
      <c r="AB24" s="6" t="str">
        <f t="shared" si="4"/>
        <v>0.000165876092109541i</v>
      </c>
      <c r="AC24" s="6" t="str">
        <f t="shared" si="4"/>
        <v>0.000179699099785336i</v>
      </c>
      <c r="AD24" s="6" t="str">
        <f t="shared" si="4"/>
        <v>0.000193522107461131i</v>
      </c>
      <c r="AE24" s="6" t="str">
        <f t="shared" si="4"/>
        <v>0.000207345115136926i</v>
      </c>
    </row>
    <row r="25" spans="1:31" x14ac:dyDescent="0.2">
      <c r="A25" t="s">
        <v>14</v>
      </c>
      <c r="B25" s="6" t="str">
        <f t="shared" ref="B25:AE25" si="5">IMDIV(1,IMSUM(B23,B24))</f>
        <v>6.35624745683327+564.300788706159i</v>
      </c>
      <c r="C25" s="6" t="str">
        <f t="shared" si="5"/>
        <v>8.25761374707366+679.247851959613i</v>
      </c>
      <c r="D25" s="6" t="str">
        <f t="shared" si="5"/>
        <v>15.1458944623339+1026.69199191775i</v>
      </c>
      <c r="E25" s="6" t="str">
        <f t="shared" si="5"/>
        <v>17.7628285742946+1141.79523087207i</v>
      </c>
      <c r="F25" s="6" t="str">
        <f t="shared" si="5"/>
        <v>25.4803319724424+1432.6021332756i</v>
      </c>
      <c r="G25" s="6" t="str">
        <f t="shared" si="5"/>
        <v>38.5383789019969+1740.07275206046i</v>
      </c>
      <c r="H25" s="6" t="str">
        <f t="shared" si="5"/>
        <v>58.8389576058775+2112.94393598169i</v>
      </c>
      <c r="I25" s="6" t="str">
        <f t="shared" si="5"/>
        <v>93.9313458987511+2515.92778507603i</v>
      </c>
      <c r="J25" s="6" t="str">
        <f t="shared" si="5"/>
        <v>153.355329610926+2969.93059530896i</v>
      </c>
      <c r="K25" s="6" t="str">
        <f t="shared" si="5"/>
        <v>265.822150833533+3458.36844352641i</v>
      </c>
      <c r="L25" s="6" t="str">
        <f t="shared" si="5"/>
        <v>448.215689183754+3936.86068848002i</v>
      </c>
      <c r="M25" s="6" t="str">
        <f t="shared" si="5"/>
        <v>720.802253698016+4477.33989718081i</v>
      </c>
      <c r="N25" s="6" t="str">
        <f t="shared" si="5"/>
        <v>1661.26666513186+5514.51457061054i</v>
      </c>
      <c r="O25" s="6" t="str">
        <f t="shared" si="5"/>
        <v>3006.28106123652+6352.55322534196i</v>
      </c>
      <c r="P25" s="6" t="str">
        <f t="shared" si="5"/>
        <v>4793.6055598871+6553.98762942229i</v>
      </c>
      <c r="Q25" s="6" t="str">
        <f t="shared" si="5"/>
        <v>6566.22786375973+6516.6636648318i</v>
      </c>
      <c r="R25" s="6" t="str">
        <f t="shared" si="5"/>
        <v>8180.24723097174+5602.31028049063i</v>
      </c>
      <c r="S25" s="6" t="str">
        <f t="shared" si="5"/>
        <v>9401.45343520131+4566.77952440245i</v>
      </c>
      <c r="T25" s="6" t="str">
        <f t="shared" si="5"/>
        <v>10382.8796156058+3239.24379114892i</v>
      </c>
      <c r="U25" s="6" t="str">
        <f t="shared" si="5"/>
        <v>10952.2766728562+1759.71309163815i</v>
      </c>
      <c r="V25" s="6" t="str">
        <f t="shared" si="5"/>
        <v>11162.9777631229+420.424412992328i</v>
      </c>
      <c r="W25" s="6" t="str">
        <f t="shared" si="5"/>
        <v>11119.6648495248-861.165717885062i</v>
      </c>
      <c r="X25" s="6" t="str">
        <f t="shared" si="5"/>
        <v>10811.5795992853-2161.57062418414i</v>
      </c>
      <c r="Y25" s="6" t="str">
        <f t="shared" si="5"/>
        <v>10274.2199839348-3277.54924658664i</v>
      </c>
      <c r="Z25" s="6" t="str">
        <f t="shared" si="5"/>
        <v>9626.84938941297-4125.58849055527i</v>
      </c>
      <c r="AA25" s="6" t="str">
        <f t="shared" si="5"/>
        <v>7529.89956092108-5606.34012656522i</v>
      </c>
      <c r="AB25" s="6" t="str">
        <f t="shared" si="5"/>
        <v>6161.22606115877-6006.38131871275i</v>
      </c>
      <c r="AC25" s="6" t="str">
        <f t="shared" si="5"/>
        <v>4990.15104133108-6041.90916276893i</v>
      </c>
      <c r="AD25" s="6" t="str">
        <f t="shared" si="5"/>
        <v>4056.63634259019-5875.19742099802i</v>
      </c>
      <c r="AE25" s="6" t="str">
        <f t="shared" si="5"/>
        <v>3323.29856337174-5627.39020939685i</v>
      </c>
    </row>
    <row r="26" spans="1:31" x14ac:dyDescent="0.2">
      <c r="A26" t="s">
        <v>6</v>
      </c>
      <c r="B26" s="5">
        <f t="shared" ref="B26:AE26" si="6">IMREAL(B25)</f>
        <v>6.3562474568332696</v>
      </c>
      <c r="C26" s="5">
        <f t="shared" si="6"/>
        <v>8.2576137470736608</v>
      </c>
      <c r="D26" s="5">
        <f t="shared" si="6"/>
        <v>15.145894462333899</v>
      </c>
      <c r="E26" s="5">
        <f t="shared" si="6"/>
        <v>17.762828574294598</v>
      </c>
      <c r="F26" s="5">
        <f t="shared" si="6"/>
        <v>25.4803319724424</v>
      </c>
      <c r="G26" s="5">
        <f t="shared" si="6"/>
        <v>38.5383789019969</v>
      </c>
      <c r="H26" s="5">
        <f t="shared" si="6"/>
        <v>58.838957605877503</v>
      </c>
      <c r="I26" s="5">
        <f t="shared" si="6"/>
        <v>93.931345898751104</v>
      </c>
      <c r="J26" s="5">
        <f t="shared" si="6"/>
        <v>153.35532961092599</v>
      </c>
      <c r="K26" s="5">
        <f t="shared" si="6"/>
        <v>265.82215083353299</v>
      </c>
      <c r="L26" s="5">
        <f t="shared" si="6"/>
        <v>448.21568918375402</v>
      </c>
      <c r="M26" s="5">
        <f t="shared" si="6"/>
        <v>720.80225369801599</v>
      </c>
      <c r="N26" s="5">
        <f t="shared" si="6"/>
        <v>1661.26666513186</v>
      </c>
      <c r="O26" s="5">
        <f t="shared" si="6"/>
        <v>3006.2810612365201</v>
      </c>
      <c r="P26" s="5">
        <f t="shared" si="6"/>
        <v>4793.6055598870998</v>
      </c>
      <c r="Q26" s="5">
        <f t="shared" si="6"/>
        <v>6566.2278637597301</v>
      </c>
      <c r="R26" s="5">
        <f t="shared" si="6"/>
        <v>8180.2472309717396</v>
      </c>
      <c r="S26" s="5">
        <f t="shared" si="6"/>
        <v>9401.4534352013106</v>
      </c>
      <c r="T26" s="5">
        <f t="shared" si="6"/>
        <v>10382.8796156058</v>
      </c>
      <c r="U26" s="5">
        <f t="shared" si="6"/>
        <v>10952.2766728562</v>
      </c>
      <c r="V26" s="5">
        <f t="shared" si="6"/>
        <v>11162.977763122901</v>
      </c>
      <c r="W26" s="5">
        <f t="shared" si="6"/>
        <v>11119.664849524799</v>
      </c>
      <c r="X26" s="5">
        <f t="shared" si="6"/>
        <v>10811.5795992853</v>
      </c>
      <c r="Y26" s="5">
        <f t="shared" si="6"/>
        <v>10274.2199839348</v>
      </c>
      <c r="Z26" s="5">
        <f t="shared" si="6"/>
        <v>9626.8493894129697</v>
      </c>
      <c r="AA26" s="5">
        <f t="shared" si="6"/>
        <v>7529.8995609210797</v>
      </c>
      <c r="AB26" s="5">
        <f t="shared" si="6"/>
        <v>6161.2260611587699</v>
      </c>
      <c r="AC26" s="5">
        <f t="shared" si="6"/>
        <v>4990.1510413310798</v>
      </c>
      <c r="AD26" s="5">
        <f t="shared" si="6"/>
        <v>4056.63634259019</v>
      </c>
      <c r="AE26" s="5">
        <f t="shared" si="6"/>
        <v>3323.2985633717399</v>
      </c>
    </row>
    <row r="27" spans="1:31" x14ac:dyDescent="0.2">
      <c r="A27" t="s">
        <v>7</v>
      </c>
      <c r="B27" s="5">
        <f t="shared" ref="B27:AE27" si="7">IMAGINARY(B25)</f>
        <v>564.30078870615898</v>
      </c>
      <c r="C27" s="5">
        <f t="shared" si="7"/>
        <v>679.24785195961294</v>
      </c>
      <c r="D27" s="5">
        <f t="shared" si="7"/>
        <v>1026.6919919177501</v>
      </c>
      <c r="E27" s="5">
        <f t="shared" si="7"/>
        <v>1141.7952308720701</v>
      </c>
      <c r="F27" s="5">
        <f t="shared" si="7"/>
        <v>1432.6021332756</v>
      </c>
      <c r="G27" s="5">
        <f t="shared" si="7"/>
        <v>1740.0727520604601</v>
      </c>
      <c r="H27" s="5">
        <f t="shared" si="7"/>
        <v>2112.9439359816902</v>
      </c>
      <c r="I27" s="5">
        <f t="shared" si="7"/>
        <v>2515.92778507603</v>
      </c>
      <c r="J27" s="5">
        <f t="shared" si="7"/>
        <v>2969.9305953089602</v>
      </c>
      <c r="K27" s="5">
        <f t="shared" si="7"/>
        <v>3458.3684435264099</v>
      </c>
      <c r="L27" s="5">
        <f t="shared" si="7"/>
        <v>3936.8606884800201</v>
      </c>
      <c r="M27" s="5">
        <f t="shared" si="7"/>
        <v>4477.3398971808101</v>
      </c>
      <c r="N27" s="5">
        <f t="shared" si="7"/>
        <v>5514.5145706105404</v>
      </c>
      <c r="O27" s="5">
        <f t="shared" si="7"/>
        <v>6352.5532253419597</v>
      </c>
      <c r="P27" s="5">
        <f t="shared" si="7"/>
        <v>6553.9876294222904</v>
      </c>
      <c r="Q27" s="5">
        <f t="shared" si="7"/>
        <v>6516.6636648317999</v>
      </c>
      <c r="R27" s="5">
        <f t="shared" si="7"/>
        <v>5602.3102804906302</v>
      </c>
      <c r="S27" s="5">
        <f t="shared" si="7"/>
        <v>4566.7795244024501</v>
      </c>
      <c r="T27" s="5">
        <f t="shared" si="7"/>
        <v>3239.2437911489201</v>
      </c>
      <c r="U27" s="5">
        <f t="shared" si="7"/>
        <v>1759.71309163815</v>
      </c>
      <c r="V27" s="5">
        <f t="shared" si="7"/>
        <v>420.42441299232797</v>
      </c>
      <c r="W27" s="5">
        <f t="shared" si="7"/>
        <v>-861.16571788506201</v>
      </c>
      <c r="X27" s="5">
        <f t="shared" si="7"/>
        <v>-2161.5706241841399</v>
      </c>
      <c r="Y27" s="5">
        <f t="shared" si="7"/>
        <v>-3277.54924658664</v>
      </c>
      <c r="Z27" s="5">
        <f t="shared" si="7"/>
        <v>-4125.5884905552703</v>
      </c>
      <c r="AA27" s="5">
        <f t="shared" si="7"/>
        <v>-5606.3401265652201</v>
      </c>
      <c r="AB27" s="5">
        <f t="shared" si="7"/>
        <v>-6006.3813187127498</v>
      </c>
      <c r="AC27" s="5">
        <f t="shared" si="7"/>
        <v>-6041.9091627689304</v>
      </c>
      <c r="AD27" s="5">
        <f t="shared" si="7"/>
        <v>-5875.1974209980199</v>
      </c>
      <c r="AE27" s="5">
        <f t="shared" si="7"/>
        <v>-5627.39020939685</v>
      </c>
    </row>
    <row r="28" spans="1:31" x14ac:dyDescent="0.2">
      <c r="A28" t="s">
        <v>15</v>
      </c>
      <c r="B28" s="5">
        <f t="shared" ref="B28:AE28" si="8">IMABS(B25)</f>
        <v>564.33658575014044</v>
      </c>
      <c r="C28" s="5">
        <f t="shared" si="8"/>
        <v>679.29804399581792</v>
      </c>
      <c r="D28" s="5">
        <f t="shared" si="8"/>
        <v>1026.8037029476966</v>
      </c>
      <c r="E28" s="5">
        <f t="shared" si="8"/>
        <v>1141.9333900544127</v>
      </c>
      <c r="F28" s="5">
        <f t="shared" si="8"/>
        <v>1432.8287125763588</v>
      </c>
      <c r="G28" s="5">
        <f t="shared" si="8"/>
        <v>1740.4994654155046</v>
      </c>
      <c r="H28" s="5">
        <f t="shared" si="8"/>
        <v>2113.763018773378</v>
      </c>
      <c r="I28" s="5">
        <f t="shared" si="8"/>
        <v>2517.6806226088188</v>
      </c>
      <c r="J28" s="5">
        <f t="shared" si="8"/>
        <v>2973.8872873853697</v>
      </c>
      <c r="K28" s="5">
        <f t="shared" si="8"/>
        <v>3468.5694035225888</v>
      </c>
      <c r="L28" s="5">
        <f t="shared" si="8"/>
        <v>3962.293450077852</v>
      </c>
      <c r="M28" s="5">
        <f t="shared" si="8"/>
        <v>4534.9893543230291</v>
      </c>
      <c r="N28" s="5">
        <f t="shared" si="8"/>
        <v>5759.3122751031906</v>
      </c>
      <c r="O28" s="5">
        <f t="shared" si="8"/>
        <v>7027.9910571906621</v>
      </c>
      <c r="P28" s="5">
        <f t="shared" si="8"/>
        <v>8119.9389228245373</v>
      </c>
      <c r="Q28" s="5">
        <f t="shared" si="8"/>
        <v>9251.067704830275</v>
      </c>
      <c r="R28" s="5">
        <f t="shared" si="8"/>
        <v>9914.7529086060349</v>
      </c>
      <c r="S28" s="5">
        <f t="shared" si="8"/>
        <v>10451.928143589583</v>
      </c>
      <c r="T28" s="5">
        <f t="shared" si="8"/>
        <v>10876.437351019831</v>
      </c>
      <c r="U28" s="5">
        <f t="shared" si="8"/>
        <v>11092.743325421028</v>
      </c>
      <c r="V28" s="5">
        <f t="shared" si="8"/>
        <v>11170.892051533589</v>
      </c>
      <c r="W28" s="5">
        <f t="shared" si="8"/>
        <v>11152.961613823383</v>
      </c>
      <c r="X28" s="5">
        <f t="shared" si="8"/>
        <v>11025.544929617668</v>
      </c>
      <c r="Y28" s="5">
        <f t="shared" si="8"/>
        <v>10784.337037671154</v>
      </c>
      <c r="Z28" s="5">
        <f t="shared" si="8"/>
        <v>10473.619697117274</v>
      </c>
      <c r="AA28" s="5">
        <f t="shared" si="8"/>
        <v>9387.7812614213999</v>
      </c>
      <c r="AB28" s="5">
        <f t="shared" si="8"/>
        <v>8604.4943560027714</v>
      </c>
      <c r="AC28" s="5">
        <f t="shared" si="8"/>
        <v>7836.2155245021704</v>
      </c>
      <c r="AD28" s="5">
        <f t="shared" si="8"/>
        <v>7139.6248607139933</v>
      </c>
      <c r="AE28" s="5">
        <f t="shared" si="8"/>
        <v>6535.4291297606615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FT240-52</vt:lpstr>
      <vt:lpstr>FT240-52x2</vt:lpstr>
      <vt:lpstr>FT150-52 (2)</vt:lpstr>
      <vt:lpstr>FT94-52</vt:lpstr>
      <vt:lpstr>Mix</vt:lpstr>
      <vt:lpstr>FT240-52 (2)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cp:lastPrinted>2010-07-01T22:10:25Z</cp:lastPrinted>
  <dcterms:created xsi:type="dcterms:W3CDTF">2010-06-30T06:45:52Z</dcterms:created>
  <dcterms:modified xsi:type="dcterms:W3CDTF">2014-05-21T00:09:04Z</dcterms:modified>
</cp:coreProperties>
</file>