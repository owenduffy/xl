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U:\git\xl\"/>
    </mc:Choice>
  </mc:AlternateContent>
  <xr:revisionPtr revIDLastSave="0" documentId="13_ncr:1_{4D384155-752B-43B8-891F-6EEB96AFE4C9}" xr6:coauthVersionLast="46" xr6:coauthVersionMax="46" xr10:uidLastSave="{00000000-0000-0000-0000-000000000000}"/>
  <bookViews>
    <workbookView xWindow="-120" yWindow="-120" windowWidth="29040" windowHeight="15840" activeTab="5" xr2:uid="{00000000-000D-0000-FFFF-FFFF00000000}"/>
  </bookViews>
  <sheets>
    <sheet name="FT140-61 12t" sheetId="1" r:id="rId1"/>
    <sheet name="FT140-61 4t" sheetId="3" r:id="rId2"/>
    <sheet name="FT140-61 4t (3)" sheetId="8" r:id="rId3"/>
    <sheet name="FT140-61 4t (2)" sheetId="4" r:id="rId4"/>
    <sheet name="FT240-61 12t" sheetId="5" r:id="rId5"/>
    <sheet name="FT240-61x2 12t" sheetId="6" r:id="rId6"/>
    <sheet name="FT240-61x3 13t" sheetId="7" r:id="rId7"/>
    <sheet name="Mix" sheetId="2" r:id="rId8"/>
  </sheets>
  <functionGroups builtInGroupCount="19"/>
  <externalReferences>
    <externalReference r:id="rId9"/>
  </externalReferences>
  <definedNames>
    <definedName name="CSTableU1">Mix!$E$6:$G$111</definedName>
    <definedName name="CSTableU2">Mix!$N$6:$P$111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8" l="1"/>
  <c r="D18" i="8" s="1"/>
  <c r="B24" i="8"/>
  <c r="C24" i="8"/>
  <c r="B16" i="8"/>
  <c r="B13" i="8"/>
  <c r="B12" i="8"/>
  <c r="B7" i="7"/>
  <c r="B24" i="7"/>
  <c r="C18" i="7"/>
  <c r="C24" i="7"/>
  <c r="B16" i="7"/>
  <c r="B13" i="7"/>
  <c r="B12" i="7"/>
  <c r="B12" i="1"/>
  <c r="B13" i="1"/>
  <c r="B16" i="1"/>
  <c r="C18" i="1"/>
  <c r="D18" i="1"/>
  <c r="B24" i="1"/>
  <c r="C24" i="1"/>
  <c r="B12" i="3"/>
  <c r="B13" i="3"/>
  <c r="B16" i="3"/>
  <c r="C18" i="3"/>
  <c r="B24" i="3"/>
  <c r="B12" i="4"/>
  <c r="B13" i="4"/>
  <c r="B16" i="4"/>
  <c r="C18" i="4"/>
  <c r="D18" i="4"/>
  <c r="B24" i="4"/>
  <c r="C24" i="4"/>
  <c r="B12" i="5"/>
  <c r="B13" i="5"/>
  <c r="B16" i="5"/>
  <c r="C18" i="5"/>
  <c r="D18" i="5" s="1"/>
  <c r="D24" i="5" s="1"/>
  <c r="B24" i="5"/>
  <c r="C24" i="5"/>
  <c r="B12" i="6"/>
  <c r="B13" i="6"/>
  <c r="B16" i="6"/>
  <c r="C18" i="6"/>
  <c r="B24" i="6"/>
  <c r="D18" i="7"/>
  <c r="D24" i="7" s="1"/>
  <c r="E18" i="7"/>
  <c r="E6" i="2" a="1"/>
  <c r="B33" i="6"/>
  <c r="U8" i="2"/>
  <c r="U6" i="2"/>
  <c r="U7" i="2"/>
  <c r="C33" i="8"/>
  <c r="C33" i="6"/>
  <c r="C33" i="1"/>
  <c r="C33" i="3"/>
  <c r="B33" i="1"/>
  <c r="N6" i="2" a="1"/>
  <c r="B33" i="4"/>
  <c r="C33" i="7"/>
  <c r="C33" i="4"/>
  <c r="B33" i="3"/>
  <c r="C33" i="5"/>
  <c r="B33" i="5"/>
  <c r="B33" i="7"/>
  <c r="B33" i="8"/>
  <c r="N6" i="2" l="1"/>
  <c r="E6" i="2"/>
  <c r="E18" i="5"/>
  <c r="E18" i="8"/>
  <c r="D24" i="8"/>
  <c r="E24" i="7"/>
  <c r="F18" i="7"/>
  <c r="E18" i="4"/>
  <c r="D24" i="4"/>
  <c r="D18" i="3"/>
  <c r="C24" i="3"/>
  <c r="D18" i="6"/>
  <c r="C24" i="6"/>
  <c r="E18" i="1"/>
  <c r="D24" i="1"/>
  <c r="T8" i="2"/>
  <c r="D20" i="1"/>
  <c r="B20" i="6"/>
  <c r="B20" i="4"/>
  <c r="D20" i="8"/>
  <c r="E20" i="5"/>
  <c r="B20" i="8"/>
  <c r="D20" i="7"/>
  <c r="B20" i="1"/>
  <c r="C20" i="5"/>
  <c r="C20" i="1"/>
  <c r="B20" i="5"/>
  <c r="E20" i="7"/>
  <c r="T7" i="2"/>
  <c r="D20" i="4"/>
  <c r="C20" i="6"/>
  <c r="T6" i="2"/>
  <c r="C20" i="8"/>
  <c r="C20" i="7"/>
  <c r="C20" i="4"/>
  <c r="C20" i="3"/>
  <c r="B20" i="3"/>
  <c r="B20" i="7"/>
  <c r="D20" i="5"/>
  <c r="C19" i="3"/>
  <c r="D19" i="7"/>
  <c r="B19" i="3"/>
  <c r="B19" i="1"/>
  <c r="C19" i="8"/>
  <c r="E19" i="5"/>
  <c r="D19" i="1"/>
  <c r="C19" i="5"/>
  <c r="E19" i="7"/>
  <c r="D19" i="8"/>
  <c r="C19" i="7"/>
  <c r="B19" i="5"/>
  <c r="B19" i="6"/>
  <c r="B19" i="8"/>
  <c r="C19" i="1"/>
  <c r="B19" i="7"/>
  <c r="C19" i="6"/>
  <c r="B19" i="4"/>
  <c r="C19" i="4"/>
  <c r="D19" i="4"/>
  <c r="D19" i="5"/>
  <c r="E24" i="5" l="1"/>
  <c r="F18" i="5"/>
  <c r="D21" i="7"/>
  <c r="D21" i="1"/>
  <c r="B21" i="4"/>
  <c r="C21" i="6"/>
  <c r="E21" i="5"/>
  <c r="B21" i="3"/>
  <c r="B21" i="5"/>
  <c r="C21" i="7"/>
  <c r="C21" i="1"/>
  <c r="C21" i="4"/>
  <c r="B21" i="7"/>
  <c r="B21" i="1"/>
  <c r="C21" i="5"/>
  <c r="B21" i="8"/>
  <c r="C21" i="8"/>
  <c r="D21" i="5"/>
  <c r="C21" i="3"/>
  <c r="B21" i="6"/>
  <c r="E22" i="5"/>
  <c r="B22" i="3"/>
  <c r="D22" i="4"/>
  <c r="B22" i="5"/>
  <c r="C22" i="7"/>
  <c r="C22" i="1"/>
  <c r="C22" i="4"/>
  <c r="D22" i="5"/>
  <c r="B22" i="8"/>
  <c r="C22" i="8"/>
  <c r="E22" i="7"/>
  <c r="D22" i="7"/>
  <c r="D22" i="1"/>
  <c r="C22" i="5"/>
  <c r="B22" i="4"/>
  <c r="C22" i="3"/>
  <c r="B22" i="6"/>
  <c r="B22" i="1"/>
  <c r="C22" i="6"/>
  <c r="B22" i="7"/>
  <c r="E21" i="7"/>
  <c r="D21" i="8"/>
  <c r="D21" i="4"/>
  <c r="D23" i="4" s="1"/>
  <c r="D25" i="4" s="1"/>
  <c r="D22" i="8"/>
  <c r="F18" i="1"/>
  <c r="E24" i="1"/>
  <c r="D24" i="6"/>
  <c r="E18" i="6"/>
  <c r="D24" i="3"/>
  <c r="E18" i="3"/>
  <c r="F18" i="8"/>
  <c r="E24" i="8"/>
  <c r="F18" i="4"/>
  <c r="E24" i="4"/>
  <c r="F24" i="7"/>
  <c r="G18" i="7"/>
  <c r="F20" i="7"/>
  <c r="E20" i="1"/>
  <c r="D20" i="3"/>
  <c r="D20" i="6"/>
  <c r="E20" i="8"/>
  <c r="E20" i="4"/>
  <c r="D19" i="6"/>
  <c r="E19" i="1"/>
  <c r="E19" i="8"/>
  <c r="F19" i="7"/>
  <c r="D19" i="3"/>
  <c r="E19" i="4"/>
  <c r="E23" i="7" l="1"/>
  <c r="E25" i="7" s="1"/>
  <c r="G18" i="5"/>
  <c r="F24" i="5"/>
  <c r="D23" i="8"/>
  <c r="D25" i="8" s="1"/>
  <c r="D26" i="8" s="1"/>
  <c r="B23" i="6"/>
  <c r="B25" i="6" s="1"/>
  <c r="D23" i="5"/>
  <c r="D25" i="5" s="1"/>
  <c r="B23" i="8"/>
  <c r="B25" i="8" s="1"/>
  <c r="B23" i="1"/>
  <c r="B25" i="1" s="1"/>
  <c r="C23" i="4"/>
  <c r="C25" i="4" s="1"/>
  <c r="C23" i="7"/>
  <c r="C25" i="7" s="1"/>
  <c r="B23" i="3"/>
  <c r="B25" i="3" s="1"/>
  <c r="C23" i="6"/>
  <c r="C25" i="6" s="1"/>
  <c r="D23" i="1"/>
  <c r="D25" i="1" s="1"/>
  <c r="C23" i="3"/>
  <c r="C25" i="3" s="1"/>
  <c r="C23" i="8"/>
  <c r="C25" i="8" s="1"/>
  <c r="C23" i="5"/>
  <c r="C25" i="5" s="1"/>
  <c r="B23" i="7"/>
  <c r="B25" i="7" s="1"/>
  <c r="C23" i="1"/>
  <c r="C25" i="1" s="1"/>
  <c r="B23" i="5"/>
  <c r="B25" i="5" s="1"/>
  <c r="E23" i="5"/>
  <c r="E25" i="5" s="1"/>
  <c r="B23" i="4"/>
  <c r="B25" i="4" s="1"/>
  <c r="D23" i="7"/>
  <c r="D25" i="7" s="1"/>
  <c r="E21" i="4"/>
  <c r="E21" i="8"/>
  <c r="E22" i="8"/>
  <c r="D21" i="3"/>
  <c r="D22" i="6"/>
  <c r="E22" i="1"/>
  <c r="E21" i="1"/>
  <c r="F22" i="7"/>
  <c r="F21" i="7"/>
  <c r="F23" i="7" s="1"/>
  <c r="F25" i="7" s="1"/>
  <c r="E22" i="4"/>
  <c r="D22" i="3"/>
  <c r="D21" i="6"/>
  <c r="G24" i="7"/>
  <c r="H18" i="7"/>
  <c r="F24" i="4"/>
  <c r="G18" i="4"/>
  <c r="F18" i="3"/>
  <c r="E24" i="3"/>
  <c r="E24" i="6"/>
  <c r="F18" i="6"/>
  <c r="G18" i="8"/>
  <c r="F24" i="8"/>
  <c r="G18" i="1"/>
  <c r="F24" i="1"/>
  <c r="D26" i="4"/>
  <c r="D28" i="4"/>
  <c r="D27" i="4"/>
  <c r="E28" i="7"/>
  <c r="E27" i="7"/>
  <c r="E26" i="7"/>
  <c r="F20" i="5"/>
  <c r="E20" i="3"/>
  <c r="F20" i="1"/>
  <c r="F20" i="4"/>
  <c r="G20" i="7"/>
  <c r="E20" i="6"/>
  <c r="F20" i="8"/>
  <c r="E19" i="6"/>
  <c r="F19" i="5"/>
  <c r="G19" i="7"/>
  <c r="F19" i="4"/>
  <c r="E19" i="3"/>
  <c r="F19" i="1"/>
  <c r="F19" i="8"/>
  <c r="D27" i="8" l="1"/>
  <c r="D28" i="8"/>
  <c r="E23" i="1"/>
  <c r="E25" i="1" s="1"/>
  <c r="E26" i="1" s="1"/>
  <c r="F21" i="5"/>
  <c r="F22" i="5"/>
  <c r="E23" i="8"/>
  <c r="E25" i="8" s="1"/>
  <c r="E28" i="8" s="1"/>
  <c r="D23" i="6"/>
  <c r="D25" i="6" s="1"/>
  <c r="D28" i="6" s="1"/>
  <c r="G24" i="5"/>
  <c r="H18" i="5"/>
  <c r="D23" i="3"/>
  <c r="D25" i="3" s="1"/>
  <c r="D28" i="3" s="1"/>
  <c r="E23" i="4"/>
  <c r="E25" i="4" s="1"/>
  <c r="E26" i="4" s="1"/>
  <c r="B26" i="4"/>
  <c r="B27" i="4"/>
  <c r="B28" i="4"/>
  <c r="B26" i="5"/>
  <c r="B27" i="5"/>
  <c r="B28" i="5"/>
  <c r="C27" i="1"/>
  <c r="C28" i="1"/>
  <c r="C26" i="1"/>
  <c r="C26" i="5"/>
  <c r="C27" i="5"/>
  <c r="C28" i="5"/>
  <c r="C27" i="3"/>
  <c r="C26" i="3"/>
  <c r="C28" i="3"/>
  <c r="C27" i="6"/>
  <c r="C26" i="6"/>
  <c r="C28" i="6"/>
  <c r="C27" i="7"/>
  <c r="C28" i="7"/>
  <c r="C26" i="7"/>
  <c r="C26" i="4"/>
  <c r="C28" i="4"/>
  <c r="C27" i="4"/>
  <c r="B27" i="8"/>
  <c r="B28" i="8"/>
  <c r="B26" i="8"/>
  <c r="B28" i="6"/>
  <c r="B27" i="6"/>
  <c r="B26" i="6"/>
  <c r="D28" i="7"/>
  <c r="D27" i="7"/>
  <c r="D26" i="7"/>
  <c r="E27" i="5"/>
  <c r="E26" i="5"/>
  <c r="E28" i="5"/>
  <c r="B28" i="7"/>
  <c r="B27" i="7"/>
  <c r="B26" i="7"/>
  <c r="C28" i="8"/>
  <c r="C27" i="8"/>
  <c r="C26" i="8"/>
  <c r="D28" i="1"/>
  <c r="D26" i="1"/>
  <c r="D27" i="1"/>
  <c r="B26" i="3"/>
  <c r="B27" i="3"/>
  <c r="B28" i="3"/>
  <c r="B28" i="1"/>
  <c r="B26" i="1"/>
  <c r="B27" i="1"/>
  <c r="D26" i="5"/>
  <c r="D27" i="5"/>
  <c r="D28" i="5"/>
  <c r="F21" i="1"/>
  <c r="F21" i="8"/>
  <c r="E22" i="6"/>
  <c r="E22" i="3"/>
  <c r="F22" i="4"/>
  <c r="G22" i="7"/>
  <c r="F22" i="1"/>
  <c r="F22" i="8"/>
  <c r="E21" i="6"/>
  <c r="E21" i="3"/>
  <c r="F21" i="4"/>
  <c r="G21" i="7"/>
  <c r="H18" i="1"/>
  <c r="G24" i="1"/>
  <c r="H18" i="8"/>
  <c r="G24" i="8"/>
  <c r="G18" i="6"/>
  <c r="F24" i="6"/>
  <c r="H18" i="4"/>
  <c r="G24" i="4"/>
  <c r="H24" i="7"/>
  <c r="I18" i="7"/>
  <c r="D27" i="6"/>
  <c r="F27" i="7"/>
  <c r="F28" i="7"/>
  <c r="F26" i="7"/>
  <c r="E27" i="1"/>
  <c r="E27" i="8"/>
  <c r="F24" i="3"/>
  <c r="G18" i="3"/>
  <c r="D27" i="3"/>
  <c r="F20" i="6"/>
  <c r="G20" i="8"/>
  <c r="G20" i="5"/>
  <c r="H20" i="7"/>
  <c r="G20" i="1"/>
  <c r="F20" i="3"/>
  <c r="G20" i="4"/>
  <c r="F19" i="3"/>
  <c r="H19" i="7"/>
  <c r="G19" i="5"/>
  <c r="G19" i="1"/>
  <c r="F19" i="6"/>
  <c r="G19" i="4"/>
  <c r="G19" i="8"/>
  <c r="D26" i="3" l="1"/>
  <c r="E28" i="1"/>
  <c r="E28" i="4"/>
  <c r="G23" i="7"/>
  <c r="G25" i="7" s="1"/>
  <c r="G28" i="7" s="1"/>
  <c r="E27" i="4"/>
  <c r="G21" i="5"/>
  <c r="G22" i="5"/>
  <c r="D26" i="6"/>
  <c r="E26" i="8"/>
  <c r="E23" i="3"/>
  <c r="E25" i="3" s="1"/>
  <c r="E28" i="3" s="1"/>
  <c r="F23" i="5"/>
  <c r="F25" i="5" s="1"/>
  <c r="I18" i="5"/>
  <c r="H24" i="5"/>
  <c r="F23" i="4"/>
  <c r="F25" i="4" s="1"/>
  <c r="F27" i="4" s="1"/>
  <c r="E23" i="6"/>
  <c r="E25" i="6" s="1"/>
  <c r="E26" i="6" s="1"/>
  <c r="F23" i="8"/>
  <c r="F25" i="8" s="1"/>
  <c r="F26" i="8" s="1"/>
  <c r="F23" i="1"/>
  <c r="F25" i="1" s="1"/>
  <c r="F28" i="1" s="1"/>
  <c r="F21" i="3"/>
  <c r="H22" i="7"/>
  <c r="H21" i="7"/>
  <c r="G22" i="4"/>
  <c r="F22" i="6"/>
  <c r="G22" i="8"/>
  <c r="G21" i="8"/>
  <c r="G22" i="1"/>
  <c r="F22" i="3"/>
  <c r="G21" i="4"/>
  <c r="F21" i="6"/>
  <c r="G21" i="1"/>
  <c r="G23" i="1" s="1"/>
  <c r="G25" i="1" s="1"/>
  <c r="H18" i="3"/>
  <c r="G24" i="3"/>
  <c r="I24" i="7"/>
  <c r="J18" i="7"/>
  <c r="H24" i="4"/>
  <c r="I18" i="4"/>
  <c r="G24" i="6"/>
  <c r="H18" i="6"/>
  <c r="I18" i="8"/>
  <c r="H24" i="8"/>
  <c r="I18" i="1"/>
  <c r="H24" i="1"/>
  <c r="H20" i="8"/>
  <c r="H20" i="1"/>
  <c r="G20" i="3"/>
  <c r="G20" i="6"/>
  <c r="H20" i="4"/>
  <c r="H20" i="5"/>
  <c r="I20" i="7"/>
  <c r="H19" i="8"/>
  <c r="I19" i="7"/>
  <c r="H19" i="4"/>
  <c r="G19" i="6"/>
  <c r="H19" i="1"/>
  <c r="H19" i="5"/>
  <c r="G19" i="3"/>
  <c r="F27" i="8" l="1"/>
  <c r="G27" i="7"/>
  <c r="G26" i="7"/>
  <c r="E26" i="3"/>
  <c r="E27" i="3"/>
  <c r="E27" i="6"/>
  <c r="G23" i="5"/>
  <c r="G25" i="5" s="1"/>
  <c r="G26" i="5" s="1"/>
  <c r="F26" i="4"/>
  <c r="G23" i="8"/>
  <c r="G25" i="8" s="1"/>
  <c r="G27" i="8" s="1"/>
  <c r="H23" i="7"/>
  <c r="H25" i="7" s="1"/>
  <c r="H28" i="7" s="1"/>
  <c r="H22" i="5"/>
  <c r="H21" i="5"/>
  <c r="F26" i="1"/>
  <c r="F27" i="1"/>
  <c r="F28" i="8"/>
  <c r="G23" i="4"/>
  <c r="G25" i="4" s="1"/>
  <c r="G28" i="4" s="1"/>
  <c r="F26" i="5"/>
  <c r="F27" i="5"/>
  <c r="F28" i="5"/>
  <c r="E28" i="6"/>
  <c r="I24" i="5"/>
  <c r="J18" i="5"/>
  <c r="F28" i="4"/>
  <c r="F23" i="6"/>
  <c r="F25" i="6" s="1"/>
  <c r="F26" i="6" s="1"/>
  <c r="F23" i="3"/>
  <c r="F25" i="3" s="1"/>
  <c r="F27" i="3" s="1"/>
  <c r="H22" i="1"/>
  <c r="H22" i="8"/>
  <c r="G21" i="6"/>
  <c r="H21" i="4"/>
  <c r="I22" i="7"/>
  <c r="H21" i="1"/>
  <c r="H21" i="8"/>
  <c r="H23" i="8" s="1"/>
  <c r="H25" i="8" s="1"/>
  <c r="G22" i="6"/>
  <c r="H22" i="4"/>
  <c r="I21" i="7"/>
  <c r="G21" i="3"/>
  <c r="G22" i="3"/>
  <c r="J18" i="1"/>
  <c r="I24" i="1"/>
  <c r="J18" i="8"/>
  <c r="I24" i="8"/>
  <c r="H24" i="3"/>
  <c r="I18" i="3"/>
  <c r="G27" i="1"/>
  <c r="G28" i="1"/>
  <c r="G26" i="1"/>
  <c r="G26" i="4"/>
  <c r="H27" i="7"/>
  <c r="I18" i="6"/>
  <c r="H24" i="6"/>
  <c r="J18" i="4"/>
  <c r="I24" i="4"/>
  <c r="J24" i="7"/>
  <c r="K18" i="7"/>
  <c r="I20" i="1"/>
  <c r="I20" i="4"/>
  <c r="H20" i="3"/>
  <c r="J20" i="7"/>
  <c r="I20" i="8"/>
  <c r="I20" i="5"/>
  <c r="H20" i="6"/>
  <c r="I19" i="4"/>
  <c r="H19" i="6"/>
  <c r="I19" i="5"/>
  <c r="I19" i="8"/>
  <c r="H19" i="3"/>
  <c r="J19" i="7"/>
  <c r="I19" i="1"/>
  <c r="G27" i="4" l="1"/>
  <c r="H26" i="7"/>
  <c r="F28" i="3"/>
  <c r="G28" i="5"/>
  <c r="F26" i="3"/>
  <c r="F28" i="6"/>
  <c r="G27" i="5"/>
  <c r="G26" i="8"/>
  <c r="H23" i="5"/>
  <c r="H25" i="5" s="1"/>
  <c r="G28" i="8"/>
  <c r="I22" i="5"/>
  <c r="I21" i="5"/>
  <c r="F27" i="6"/>
  <c r="I23" i="7"/>
  <c r="I25" i="7" s="1"/>
  <c r="I27" i="7" s="1"/>
  <c r="H23" i="1"/>
  <c r="H25" i="1" s="1"/>
  <c r="H26" i="1" s="1"/>
  <c r="K18" i="5"/>
  <c r="J24" i="5"/>
  <c r="G23" i="6"/>
  <c r="G25" i="6" s="1"/>
  <c r="G28" i="6" s="1"/>
  <c r="G23" i="3"/>
  <c r="G25" i="3" s="1"/>
  <c r="G26" i="3" s="1"/>
  <c r="H23" i="4"/>
  <c r="H25" i="4" s="1"/>
  <c r="H27" i="4" s="1"/>
  <c r="J21" i="7"/>
  <c r="I21" i="4"/>
  <c r="H21" i="6"/>
  <c r="H21" i="3"/>
  <c r="I21" i="8"/>
  <c r="I22" i="1"/>
  <c r="J22" i="7"/>
  <c r="I22" i="4"/>
  <c r="H22" i="6"/>
  <c r="H22" i="3"/>
  <c r="I22" i="8"/>
  <c r="I21" i="1"/>
  <c r="J24" i="4"/>
  <c r="K18" i="4"/>
  <c r="I24" i="6"/>
  <c r="J18" i="6"/>
  <c r="J18" i="3"/>
  <c r="I24" i="3"/>
  <c r="H27" i="8"/>
  <c r="H28" i="8"/>
  <c r="H26" i="8"/>
  <c r="K24" i="7"/>
  <c r="L18" i="7"/>
  <c r="K18" i="8"/>
  <c r="J24" i="8"/>
  <c r="K18" i="1"/>
  <c r="J24" i="1"/>
  <c r="J20" i="4"/>
  <c r="J20" i="5"/>
  <c r="K20" i="7"/>
  <c r="J20" i="8"/>
  <c r="I20" i="6"/>
  <c r="J20" i="1"/>
  <c r="I20" i="3"/>
  <c r="J19" i="1"/>
  <c r="J19" i="8"/>
  <c r="J19" i="4"/>
  <c r="K19" i="7"/>
  <c r="J19" i="5"/>
  <c r="I19" i="3"/>
  <c r="I19" i="6"/>
  <c r="H28" i="1" l="1"/>
  <c r="H27" i="1"/>
  <c r="H26" i="4"/>
  <c r="I23" i="4"/>
  <c r="I25" i="4" s="1"/>
  <c r="I27" i="4" s="1"/>
  <c r="H28" i="5"/>
  <c r="H26" i="5"/>
  <c r="G26" i="6"/>
  <c r="I26" i="7"/>
  <c r="H27" i="5"/>
  <c r="I23" i="5"/>
  <c r="I25" i="5" s="1"/>
  <c r="J22" i="5"/>
  <c r="J21" i="5"/>
  <c r="I28" i="7"/>
  <c r="G27" i="6"/>
  <c r="G27" i="3"/>
  <c r="I23" i="8"/>
  <c r="I25" i="8" s="1"/>
  <c r="I27" i="8" s="1"/>
  <c r="I23" i="1"/>
  <c r="I25" i="1" s="1"/>
  <c r="I28" i="1" s="1"/>
  <c r="H28" i="4"/>
  <c r="G28" i="3"/>
  <c r="K24" i="5"/>
  <c r="L18" i="5"/>
  <c r="H23" i="3"/>
  <c r="H25" i="3" s="1"/>
  <c r="H27" i="3" s="1"/>
  <c r="H23" i="6"/>
  <c r="H25" i="6" s="1"/>
  <c r="H28" i="6" s="1"/>
  <c r="J23" i="7"/>
  <c r="J25" i="7" s="1"/>
  <c r="J27" i="7" s="1"/>
  <c r="J22" i="1"/>
  <c r="J21" i="8"/>
  <c r="K21" i="7"/>
  <c r="I22" i="3"/>
  <c r="I21" i="6"/>
  <c r="J22" i="4"/>
  <c r="J21" i="1"/>
  <c r="J22" i="8"/>
  <c r="K22" i="7"/>
  <c r="I21" i="3"/>
  <c r="I22" i="6"/>
  <c r="J21" i="4"/>
  <c r="L24" i="7"/>
  <c r="M18" i="7"/>
  <c r="K18" i="6"/>
  <c r="J24" i="6"/>
  <c r="L18" i="4"/>
  <c r="K24" i="4"/>
  <c r="I27" i="1"/>
  <c r="I26" i="4"/>
  <c r="L18" i="1"/>
  <c r="K24" i="1"/>
  <c r="L18" i="8"/>
  <c r="K24" i="8"/>
  <c r="J24" i="3"/>
  <c r="K18" i="3"/>
  <c r="K20" i="1"/>
  <c r="J20" i="3"/>
  <c r="K20" i="8"/>
  <c r="J20" i="6"/>
  <c r="K20" i="5"/>
  <c r="K20" i="4"/>
  <c r="L20" i="7"/>
  <c r="K19" i="4"/>
  <c r="J19" i="3"/>
  <c r="K19" i="5"/>
  <c r="K19" i="1"/>
  <c r="J19" i="6"/>
  <c r="L19" i="7"/>
  <c r="K19" i="8"/>
  <c r="H28" i="3" l="1"/>
  <c r="I28" i="4"/>
  <c r="J23" i="5"/>
  <c r="J25" i="5" s="1"/>
  <c r="J27" i="5" s="1"/>
  <c r="H26" i="3"/>
  <c r="J28" i="7"/>
  <c r="I26" i="8"/>
  <c r="I28" i="8"/>
  <c r="I26" i="5"/>
  <c r="I27" i="5"/>
  <c r="I28" i="5"/>
  <c r="K21" i="5"/>
  <c r="K22" i="5"/>
  <c r="H27" i="6"/>
  <c r="I26" i="1"/>
  <c r="J26" i="7"/>
  <c r="L24" i="5"/>
  <c r="M18" i="5"/>
  <c r="H26" i="6"/>
  <c r="J23" i="4"/>
  <c r="J25" i="4" s="1"/>
  <c r="J27" i="4" s="1"/>
  <c r="I23" i="3"/>
  <c r="I25" i="3" s="1"/>
  <c r="I26" i="3" s="1"/>
  <c r="J23" i="1"/>
  <c r="J25" i="1" s="1"/>
  <c r="J26" i="1" s="1"/>
  <c r="I23" i="6"/>
  <c r="I25" i="6" s="1"/>
  <c r="I28" i="6" s="1"/>
  <c r="K23" i="7"/>
  <c r="K25" i="7" s="1"/>
  <c r="K28" i="7" s="1"/>
  <c r="J23" i="8"/>
  <c r="J25" i="8" s="1"/>
  <c r="J26" i="8" s="1"/>
  <c r="J21" i="3"/>
  <c r="K22" i="8"/>
  <c r="K22" i="1"/>
  <c r="K22" i="4"/>
  <c r="J22" i="6"/>
  <c r="L21" i="7"/>
  <c r="L22" i="7"/>
  <c r="J22" i="3"/>
  <c r="K21" i="8"/>
  <c r="K21" i="1"/>
  <c r="K21" i="4"/>
  <c r="J21" i="6"/>
  <c r="L18" i="3"/>
  <c r="K24" i="3"/>
  <c r="J27" i="1"/>
  <c r="M18" i="8"/>
  <c r="L24" i="8"/>
  <c r="M18" i="1"/>
  <c r="L24" i="1"/>
  <c r="L24" i="4"/>
  <c r="M18" i="4"/>
  <c r="K24" i="6"/>
  <c r="L18" i="6"/>
  <c r="M24" i="7"/>
  <c r="N18" i="7"/>
  <c r="K20" i="6"/>
  <c r="M20" i="7"/>
  <c r="K20" i="3"/>
  <c r="L20" i="8"/>
  <c r="L20" i="1"/>
  <c r="L20" i="5"/>
  <c r="L20" i="4"/>
  <c r="M19" i="7"/>
  <c r="L19" i="8"/>
  <c r="K19" i="6"/>
  <c r="L19" i="5"/>
  <c r="K19" i="3"/>
  <c r="L19" i="1"/>
  <c r="L19" i="4"/>
  <c r="J28" i="5" l="1"/>
  <c r="I28" i="3"/>
  <c r="I27" i="3"/>
  <c r="K23" i="4"/>
  <c r="K25" i="4" s="1"/>
  <c r="K28" i="4" s="1"/>
  <c r="J26" i="5"/>
  <c r="J28" i="8"/>
  <c r="J28" i="1"/>
  <c r="L21" i="5"/>
  <c r="L22" i="5"/>
  <c r="K26" i="7"/>
  <c r="L23" i="7"/>
  <c r="L25" i="7" s="1"/>
  <c r="L26" i="7" s="1"/>
  <c r="K23" i="1"/>
  <c r="K25" i="1" s="1"/>
  <c r="K28" i="1" s="1"/>
  <c r="K23" i="8"/>
  <c r="K25" i="8" s="1"/>
  <c r="K26" i="8" s="1"/>
  <c r="K27" i="7"/>
  <c r="J23" i="6"/>
  <c r="J25" i="6" s="1"/>
  <c r="J26" i="6" s="1"/>
  <c r="K23" i="5"/>
  <c r="K25" i="5" s="1"/>
  <c r="I27" i="6"/>
  <c r="J28" i="4"/>
  <c r="N18" i="5"/>
  <c r="M24" i="5"/>
  <c r="J27" i="8"/>
  <c r="I26" i="6"/>
  <c r="J26" i="4"/>
  <c r="J23" i="3"/>
  <c r="J25" i="3" s="1"/>
  <c r="J28" i="3" s="1"/>
  <c r="M21" i="7"/>
  <c r="K21" i="6"/>
  <c r="L22" i="4"/>
  <c r="L21" i="1"/>
  <c r="L21" i="8"/>
  <c r="K22" i="3"/>
  <c r="K21" i="3"/>
  <c r="M22" i="7"/>
  <c r="K22" i="6"/>
  <c r="L21" i="4"/>
  <c r="L22" i="1"/>
  <c r="L22" i="8"/>
  <c r="N18" i="1"/>
  <c r="M24" i="1"/>
  <c r="N18" i="8"/>
  <c r="M24" i="8"/>
  <c r="O18" i="7"/>
  <c r="N24" i="7"/>
  <c r="M18" i="6"/>
  <c r="L24" i="6"/>
  <c r="N18" i="4"/>
  <c r="M24" i="4"/>
  <c r="L24" i="3"/>
  <c r="M18" i="3"/>
  <c r="M20" i="5"/>
  <c r="M20" i="1"/>
  <c r="L20" i="3"/>
  <c r="N20" i="7"/>
  <c r="L20" i="6"/>
  <c r="M20" i="8"/>
  <c r="M20" i="4"/>
  <c r="L19" i="6"/>
  <c r="L19" i="3"/>
  <c r="M19" i="4"/>
  <c r="M19" i="5"/>
  <c r="N19" i="7"/>
  <c r="M19" i="8"/>
  <c r="M19" i="1"/>
  <c r="K27" i="4" l="1"/>
  <c r="K26" i="4"/>
  <c r="K27" i="8"/>
  <c r="K28" i="8"/>
  <c r="K26" i="1"/>
  <c r="K27" i="1"/>
  <c r="L23" i="4"/>
  <c r="L25" i="4" s="1"/>
  <c r="L28" i="4" s="1"/>
  <c r="J26" i="3"/>
  <c r="M21" i="5"/>
  <c r="M22" i="5"/>
  <c r="L27" i="7"/>
  <c r="J27" i="6"/>
  <c r="J28" i="6"/>
  <c r="L28" i="7"/>
  <c r="K23" i="3"/>
  <c r="K25" i="3" s="1"/>
  <c r="K28" i="3" s="1"/>
  <c r="K26" i="5"/>
  <c r="K28" i="5"/>
  <c r="K27" i="5"/>
  <c r="L23" i="5"/>
  <c r="L25" i="5" s="1"/>
  <c r="O18" i="5"/>
  <c r="N24" i="5"/>
  <c r="L23" i="8"/>
  <c r="L25" i="8" s="1"/>
  <c r="L26" i="8" s="1"/>
  <c r="M23" i="7"/>
  <c r="M25" i="7" s="1"/>
  <c r="M28" i="7" s="1"/>
  <c r="J27" i="3"/>
  <c r="L23" i="1"/>
  <c r="L25" i="1" s="1"/>
  <c r="L26" i="1" s="1"/>
  <c r="K23" i="6"/>
  <c r="K25" i="6" s="1"/>
  <c r="K27" i="6" s="1"/>
  <c r="L22" i="3"/>
  <c r="L21" i="3"/>
  <c r="M21" i="4"/>
  <c r="L22" i="6"/>
  <c r="N22" i="7"/>
  <c r="M22" i="8"/>
  <c r="M22" i="1"/>
  <c r="M22" i="4"/>
  <c r="L21" i="6"/>
  <c r="N21" i="7"/>
  <c r="M21" i="8"/>
  <c r="M21" i="1"/>
  <c r="M23" i="1" s="1"/>
  <c r="M25" i="1" s="1"/>
  <c r="L27" i="4"/>
  <c r="N18" i="3"/>
  <c r="M24" i="3"/>
  <c r="N24" i="4"/>
  <c r="O18" i="4"/>
  <c r="M24" i="6"/>
  <c r="N18" i="6"/>
  <c r="P18" i="7"/>
  <c r="O24" i="7"/>
  <c r="O18" i="8"/>
  <c r="N24" i="8"/>
  <c r="O18" i="1"/>
  <c r="N24" i="1"/>
  <c r="N20" i="8"/>
  <c r="N20" i="1"/>
  <c r="M20" i="6"/>
  <c r="N20" i="4"/>
  <c r="O20" i="7"/>
  <c r="M20" i="3"/>
  <c r="N20" i="5"/>
  <c r="N19" i="1"/>
  <c r="O19" i="7"/>
  <c r="M19" i="6"/>
  <c r="N19" i="5"/>
  <c r="N19" i="8"/>
  <c r="N19" i="4"/>
  <c r="M19" i="3"/>
  <c r="L28" i="1" l="1"/>
  <c r="L27" i="1"/>
  <c r="L27" i="8"/>
  <c r="K28" i="6"/>
  <c r="K27" i="3"/>
  <c r="L28" i="8"/>
  <c r="K26" i="3"/>
  <c r="L26" i="4"/>
  <c r="K26" i="6"/>
  <c r="M23" i="8"/>
  <c r="M25" i="8" s="1"/>
  <c r="M27" i="8" s="1"/>
  <c r="N21" i="5"/>
  <c r="N22" i="5"/>
  <c r="M26" i="7"/>
  <c r="N23" i="7"/>
  <c r="N25" i="7" s="1"/>
  <c r="N26" i="7" s="1"/>
  <c r="L23" i="3"/>
  <c r="L25" i="3" s="1"/>
  <c r="L27" i="3" s="1"/>
  <c r="L28" i="5"/>
  <c r="L27" i="5"/>
  <c r="L26" i="5"/>
  <c r="L23" i="6"/>
  <c r="L25" i="6" s="1"/>
  <c r="L27" i="6" s="1"/>
  <c r="M23" i="5"/>
  <c r="M25" i="5" s="1"/>
  <c r="M27" i="7"/>
  <c r="P18" i="5"/>
  <c r="O24" i="5"/>
  <c r="M23" i="4"/>
  <c r="M25" i="4" s="1"/>
  <c r="M26" i="4" s="1"/>
  <c r="N21" i="1"/>
  <c r="N21" i="8"/>
  <c r="O21" i="7"/>
  <c r="M22" i="6"/>
  <c r="N22" i="4"/>
  <c r="M22" i="3"/>
  <c r="N22" i="1"/>
  <c r="N22" i="8"/>
  <c r="O22" i="7"/>
  <c r="M21" i="6"/>
  <c r="N21" i="4"/>
  <c r="M21" i="3"/>
  <c r="O18" i="6"/>
  <c r="N24" i="6"/>
  <c r="O24" i="4"/>
  <c r="P18" i="4"/>
  <c r="P18" i="1"/>
  <c r="O24" i="1"/>
  <c r="P18" i="8"/>
  <c r="O24" i="8"/>
  <c r="Q18" i="7"/>
  <c r="P24" i="7"/>
  <c r="N24" i="3"/>
  <c r="O18" i="3"/>
  <c r="M26" i="1"/>
  <c r="M27" i="1"/>
  <c r="M28" i="1"/>
  <c r="O20" i="8"/>
  <c r="O20" i="1"/>
  <c r="N20" i="3"/>
  <c r="O20" i="4"/>
  <c r="N20" i="6"/>
  <c r="P20" i="7"/>
  <c r="O20" i="5"/>
  <c r="N19" i="6"/>
  <c r="O19" i="4"/>
  <c r="O19" i="1"/>
  <c r="P19" i="7"/>
  <c r="N19" i="3"/>
  <c r="O19" i="8"/>
  <c r="O19" i="5"/>
  <c r="M28" i="4" l="1"/>
  <c r="L26" i="3"/>
  <c r="L28" i="3"/>
  <c r="L26" i="6"/>
  <c r="L28" i="6"/>
  <c r="M28" i="8"/>
  <c r="M26" i="8"/>
  <c r="N28" i="7"/>
  <c r="O21" i="5"/>
  <c r="O22" i="5"/>
  <c r="N27" i="7"/>
  <c r="N23" i="4"/>
  <c r="N25" i="4" s="1"/>
  <c r="N26" i="4" s="1"/>
  <c r="M27" i="5"/>
  <c r="M28" i="5"/>
  <c r="M26" i="5"/>
  <c r="M27" i="4"/>
  <c r="N23" i="8"/>
  <c r="N25" i="8" s="1"/>
  <c r="N28" i="8" s="1"/>
  <c r="N23" i="5"/>
  <c r="N25" i="5" s="1"/>
  <c r="P24" i="5"/>
  <c r="Q18" i="5"/>
  <c r="M23" i="3"/>
  <c r="M25" i="3" s="1"/>
  <c r="M27" i="3" s="1"/>
  <c r="M23" i="6"/>
  <c r="M25" i="6" s="1"/>
  <c r="M28" i="6" s="1"/>
  <c r="O23" i="7"/>
  <c r="O25" i="7" s="1"/>
  <c r="O28" i="7" s="1"/>
  <c r="N23" i="1"/>
  <c r="N25" i="1" s="1"/>
  <c r="N27" i="1" s="1"/>
  <c r="N22" i="3"/>
  <c r="P22" i="7"/>
  <c r="P21" i="7"/>
  <c r="O21" i="8"/>
  <c r="O21" i="1"/>
  <c r="O21" i="4"/>
  <c r="N22" i="6"/>
  <c r="N21" i="3"/>
  <c r="N23" i="3" s="1"/>
  <c r="N25" i="3" s="1"/>
  <c r="O22" i="8"/>
  <c r="O22" i="1"/>
  <c r="O22" i="4"/>
  <c r="N21" i="6"/>
  <c r="O24" i="3"/>
  <c r="P18" i="3"/>
  <c r="Q18" i="4"/>
  <c r="P24" i="4"/>
  <c r="N27" i="8"/>
  <c r="R18" i="7"/>
  <c r="Q24" i="7"/>
  <c r="Q18" i="8"/>
  <c r="P24" i="8"/>
  <c r="P24" i="1"/>
  <c r="Q18" i="1"/>
  <c r="O24" i="6"/>
  <c r="P18" i="6"/>
  <c r="O20" i="3"/>
  <c r="P20" i="4"/>
  <c r="P20" i="5"/>
  <c r="P20" i="1"/>
  <c r="P20" i="8"/>
  <c r="O20" i="6"/>
  <c r="Q20" i="7"/>
  <c r="P19" i="1"/>
  <c r="Q19" i="7"/>
  <c r="P19" i="4"/>
  <c r="P19" i="8"/>
  <c r="O19" i="6"/>
  <c r="P19" i="5"/>
  <c r="O19" i="3"/>
  <c r="N26" i="8" l="1"/>
  <c r="M27" i="6"/>
  <c r="O26" i="7"/>
  <c r="O27" i="7"/>
  <c r="M26" i="6"/>
  <c r="N23" i="6"/>
  <c r="N25" i="6" s="1"/>
  <c r="N28" i="6" s="1"/>
  <c r="P23" i="7"/>
  <c r="P25" i="7" s="1"/>
  <c r="P27" i="7" s="1"/>
  <c r="N28" i="4"/>
  <c r="P21" i="5"/>
  <c r="P22" i="5"/>
  <c r="N28" i="5"/>
  <c r="N26" i="5"/>
  <c r="N27" i="5"/>
  <c r="N27" i="4"/>
  <c r="N26" i="1"/>
  <c r="O23" i="5"/>
  <c r="O25" i="5" s="1"/>
  <c r="M28" i="3"/>
  <c r="N28" i="1"/>
  <c r="M26" i="3"/>
  <c r="Q24" i="5"/>
  <c r="R18" i="5"/>
  <c r="O23" i="1"/>
  <c r="O25" i="1" s="1"/>
  <c r="O26" i="1" s="1"/>
  <c r="O23" i="4"/>
  <c r="O25" i="4" s="1"/>
  <c r="O28" i="4" s="1"/>
  <c r="O23" i="8"/>
  <c r="O25" i="8" s="1"/>
  <c r="O26" i="8" s="1"/>
  <c r="O22" i="6"/>
  <c r="P22" i="1"/>
  <c r="P22" i="8"/>
  <c r="Q21" i="7"/>
  <c r="P22" i="4"/>
  <c r="O21" i="3"/>
  <c r="O21" i="6"/>
  <c r="P21" i="1"/>
  <c r="P21" i="8"/>
  <c r="Q22" i="7"/>
  <c r="P21" i="4"/>
  <c r="O22" i="3"/>
  <c r="R18" i="8"/>
  <c r="Q24" i="8"/>
  <c r="S18" i="7"/>
  <c r="R24" i="7"/>
  <c r="Q18" i="3"/>
  <c r="P24" i="3"/>
  <c r="N26" i="6"/>
  <c r="N26" i="3"/>
  <c r="N27" i="3"/>
  <c r="N28" i="3"/>
  <c r="P28" i="7"/>
  <c r="P26" i="7"/>
  <c r="P24" i="6"/>
  <c r="Q18" i="6"/>
  <c r="Q24" i="1"/>
  <c r="R18" i="1"/>
  <c r="Q24" i="4"/>
  <c r="R18" i="4"/>
  <c r="O27" i="4"/>
  <c r="Q20" i="1"/>
  <c r="Q20" i="4"/>
  <c r="P20" i="3"/>
  <c r="R20" i="7"/>
  <c r="Q20" i="8"/>
  <c r="Q20" i="5"/>
  <c r="P20" i="6"/>
  <c r="Q19" i="8"/>
  <c r="P19" i="6"/>
  <c r="Q19" i="1"/>
  <c r="R19" i="7"/>
  <c r="P19" i="3"/>
  <c r="Q19" i="4"/>
  <c r="Q19" i="5"/>
  <c r="O26" i="4" l="1"/>
  <c r="O23" i="3"/>
  <c r="O25" i="3" s="1"/>
  <c r="O27" i="8"/>
  <c r="N27" i="6"/>
  <c r="O28" i="8"/>
  <c r="P23" i="8"/>
  <c r="P25" i="8" s="1"/>
  <c r="P27" i="8" s="1"/>
  <c r="Q22" i="5"/>
  <c r="Q21" i="5"/>
  <c r="O26" i="5"/>
  <c r="O27" i="5"/>
  <c r="O28" i="5"/>
  <c r="Q23" i="7"/>
  <c r="Q25" i="7" s="1"/>
  <c r="Q26" i="7" s="1"/>
  <c r="P23" i="4"/>
  <c r="P25" i="4" s="1"/>
  <c r="P26" i="4" s="1"/>
  <c r="O23" i="6"/>
  <c r="O25" i="6" s="1"/>
  <c r="O27" i="6" s="1"/>
  <c r="P23" i="5"/>
  <c r="P25" i="5" s="1"/>
  <c r="O28" i="1"/>
  <c r="O27" i="1"/>
  <c r="R24" i="5"/>
  <c r="S18" i="5"/>
  <c r="P23" i="1"/>
  <c r="P25" i="1" s="1"/>
  <c r="P26" i="1" s="1"/>
  <c r="Q21" i="4"/>
  <c r="Q21" i="1"/>
  <c r="P21" i="6"/>
  <c r="P22" i="3"/>
  <c r="R21" i="7"/>
  <c r="Q22" i="8"/>
  <c r="Q22" i="4"/>
  <c r="Q22" i="1"/>
  <c r="P22" i="6"/>
  <c r="P21" i="3"/>
  <c r="R22" i="7"/>
  <c r="Q21" i="8"/>
  <c r="S18" i="4"/>
  <c r="R24" i="4"/>
  <c r="R24" i="1"/>
  <c r="S18" i="1"/>
  <c r="R18" i="6"/>
  <c r="Q24" i="6"/>
  <c r="O27" i="3"/>
  <c r="O28" i="3"/>
  <c r="O26" i="3"/>
  <c r="Q24" i="3"/>
  <c r="R18" i="3"/>
  <c r="T18" i="7"/>
  <c r="S24" i="7"/>
  <c r="S18" i="8"/>
  <c r="R24" i="8"/>
  <c r="Q20" i="3"/>
  <c r="R20" i="5"/>
  <c r="Q20" i="6"/>
  <c r="S20" i="7"/>
  <c r="R20" i="1"/>
  <c r="R20" i="8"/>
  <c r="R20" i="4"/>
  <c r="R19" i="8"/>
  <c r="R19" i="5"/>
  <c r="R19" i="1"/>
  <c r="Q19" i="3"/>
  <c r="R19" i="4"/>
  <c r="S19" i="7"/>
  <c r="Q19" i="6"/>
  <c r="P28" i="1" l="1"/>
  <c r="P26" i="8"/>
  <c r="P28" i="8"/>
  <c r="P28" i="4"/>
  <c r="P23" i="3"/>
  <c r="P25" i="3" s="1"/>
  <c r="P26" i="3" s="1"/>
  <c r="Q23" i="5"/>
  <c r="Q25" i="5" s="1"/>
  <c r="Q26" i="5" s="1"/>
  <c r="P27" i="1"/>
  <c r="Q27" i="7"/>
  <c r="R23" i="7"/>
  <c r="R25" i="7" s="1"/>
  <c r="R26" i="7" s="1"/>
  <c r="Q23" i="4"/>
  <c r="Q25" i="4" s="1"/>
  <c r="Q27" i="4" s="1"/>
  <c r="Q28" i="7"/>
  <c r="O28" i="6"/>
  <c r="R22" i="5"/>
  <c r="R21" i="5"/>
  <c r="P27" i="4"/>
  <c r="O26" i="6"/>
  <c r="Q23" i="8"/>
  <c r="Q25" i="8" s="1"/>
  <c r="Q26" i="8" s="1"/>
  <c r="P23" i="6"/>
  <c r="P25" i="6" s="1"/>
  <c r="P26" i="6" s="1"/>
  <c r="P26" i="5"/>
  <c r="P28" i="5"/>
  <c r="P27" i="5"/>
  <c r="T18" i="5"/>
  <c r="S24" i="5"/>
  <c r="Q23" i="1"/>
  <c r="Q25" i="1" s="1"/>
  <c r="Q26" i="1" s="1"/>
  <c r="R22" i="8"/>
  <c r="S21" i="7"/>
  <c r="Q21" i="3"/>
  <c r="Q22" i="3"/>
  <c r="Q22" i="6"/>
  <c r="R21" i="1"/>
  <c r="R21" i="4"/>
  <c r="R21" i="8"/>
  <c r="S22" i="7"/>
  <c r="Q21" i="6"/>
  <c r="R22" i="1"/>
  <c r="R22" i="4"/>
  <c r="S24" i="1"/>
  <c r="T18" i="1"/>
  <c r="P27" i="3"/>
  <c r="P28" i="3"/>
  <c r="R28" i="7"/>
  <c r="R27" i="7"/>
  <c r="T18" i="8"/>
  <c r="S24" i="8"/>
  <c r="U18" i="7"/>
  <c r="T24" i="7"/>
  <c r="S18" i="3"/>
  <c r="R24" i="3"/>
  <c r="R24" i="6"/>
  <c r="S18" i="6"/>
  <c r="S24" i="4"/>
  <c r="T18" i="4"/>
  <c r="R20" i="3"/>
  <c r="S20" i="5"/>
  <c r="S20" i="4"/>
  <c r="S20" i="8"/>
  <c r="T20" i="7"/>
  <c r="R20" i="6"/>
  <c r="S20" i="1"/>
  <c r="R19" i="6"/>
  <c r="T19" i="7"/>
  <c r="S19" i="1"/>
  <c r="S19" i="5"/>
  <c r="S19" i="8"/>
  <c r="S19" i="4"/>
  <c r="R19" i="3"/>
  <c r="R23" i="5" l="1"/>
  <c r="R25" i="5" s="1"/>
  <c r="R27" i="5" s="1"/>
  <c r="P28" i="6"/>
  <c r="Q28" i="8"/>
  <c r="Q27" i="8"/>
  <c r="Q27" i="5"/>
  <c r="Q28" i="1"/>
  <c r="R26" i="5"/>
  <c r="P27" i="6"/>
  <c r="R28" i="5"/>
  <c r="Q28" i="5"/>
  <c r="R23" i="8"/>
  <c r="R25" i="8" s="1"/>
  <c r="R28" i="8" s="1"/>
  <c r="Q28" i="4"/>
  <c r="Q26" i="4"/>
  <c r="Q23" i="6"/>
  <c r="Q25" i="6" s="1"/>
  <c r="Q28" i="6" s="1"/>
  <c r="S22" i="5"/>
  <c r="S21" i="5"/>
  <c r="Q27" i="1"/>
  <c r="T24" i="5"/>
  <c r="U18" i="5"/>
  <c r="R23" i="4"/>
  <c r="R25" i="4" s="1"/>
  <c r="R28" i="4" s="1"/>
  <c r="Q23" i="3"/>
  <c r="Q25" i="3" s="1"/>
  <c r="Q26" i="3" s="1"/>
  <c r="R23" i="1"/>
  <c r="R25" i="1" s="1"/>
  <c r="R26" i="1" s="1"/>
  <c r="S23" i="7"/>
  <c r="S25" i="7" s="1"/>
  <c r="S26" i="7" s="1"/>
  <c r="S22" i="4"/>
  <c r="R22" i="6"/>
  <c r="R21" i="6"/>
  <c r="R21" i="3"/>
  <c r="T21" i="7"/>
  <c r="S22" i="8"/>
  <c r="S21" i="1"/>
  <c r="S21" i="4"/>
  <c r="R22" i="3"/>
  <c r="T22" i="7"/>
  <c r="S21" i="8"/>
  <c r="S22" i="1"/>
  <c r="U18" i="4"/>
  <c r="T24" i="4"/>
  <c r="T24" i="1"/>
  <c r="U18" i="1"/>
  <c r="T18" i="6"/>
  <c r="S24" i="6"/>
  <c r="S24" i="3"/>
  <c r="T18" i="3"/>
  <c r="V18" i="7"/>
  <c r="U24" i="7"/>
  <c r="U18" i="8"/>
  <c r="T24" i="8"/>
  <c r="R26" i="8"/>
  <c r="T20" i="1"/>
  <c r="T20" i="8"/>
  <c r="T20" i="4"/>
  <c r="U20" i="7"/>
  <c r="S20" i="6"/>
  <c r="S20" i="3"/>
  <c r="T20" i="5"/>
  <c r="T19" i="4"/>
  <c r="U19" i="7"/>
  <c r="T19" i="5"/>
  <c r="S19" i="3"/>
  <c r="S19" i="6"/>
  <c r="T19" i="8"/>
  <c r="T19" i="1"/>
  <c r="Q26" i="6" l="1"/>
  <c r="R27" i="8"/>
  <c r="S28" i="7"/>
  <c r="S27" i="7"/>
  <c r="Q27" i="6"/>
  <c r="R28" i="1"/>
  <c r="S23" i="5"/>
  <c r="S25" i="5" s="1"/>
  <c r="Q27" i="3"/>
  <c r="Q28" i="3"/>
  <c r="S23" i="8"/>
  <c r="S25" i="8" s="1"/>
  <c r="S27" i="8" s="1"/>
  <c r="R23" i="6"/>
  <c r="R25" i="6" s="1"/>
  <c r="R27" i="6" s="1"/>
  <c r="T22" i="5"/>
  <c r="T21" i="5"/>
  <c r="R27" i="1"/>
  <c r="R27" i="4"/>
  <c r="S23" i="4"/>
  <c r="S25" i="4" s="1"/>
  <c r="S28" i="4" s="1"/>
  <c r="V18" i="5"/>
  <c r="U24" i="5"/>
  <c r="R26" i="4"/>
  <c r="S23" i="1"/>
  <c r="S25" i="1" s="1"/>
  <c r="S28" i="1" s="1"/>
  <c r="T23" i="7"/>
  <c r="T25" i="7" s="1"/>
  <c r="T27" i="7" s="1"/>
  <c r="R23" i="3"/>
  <c r="R25" i="3" s="1"/>
  <c r="R27" i="3" s="1"/>
  <c r="T21" i="8"/>
  <c r="U22" i="7"/>
  <c r="S22" i="6"/>
  <c r="T21" i="1"/>
  <c r="T22" i="4"/>
  <c r="T22" i="8"/>
  <c r="U21" i="7"/>
  <c r="S21" i="3"/>
  <c r="S22" i="3"/>
  <c r="S21" i="6"/>
  <c r="T22" i="1"/>
  <c r="T21" i="4"/>
  <c r="V18" i="8"/>
  <c r="U24" i="8"/>
  <c r="W18" i="7"/>
  <c r="V24" i="7"/>
  <c r="U18" i="3"/>
  <c r="T24" i="3"/>
  <c r="T24" i="6"/>
  <c r="U18" i="6"/>
  <c r="U24" i="1"/>
  <c r="V18" i="1"/>
  <c r="U24" i="4"/>
  <c r="V18" i="4"/>
  <c r="S28" i="8"/>
  <c r="S26" i="8"/>
  <c r="R26" i="3"/>
  <c r="U20" i="4"/>
  <c r="U20" i="1"/>
  <c r="U20" i="5"/>
  <c r="U20" i="8"/>
  <c r="V20" i="7"/>
  <c r="T20" i="6"/>
  <c r="T20" i="3"/>
  <c r="U19" i="5"/>
  <c r="V19" i="7"/>
  <c r="U19" i="1"/>
  <c r="T19" i="3"/>
  <c r="U19" i="8"/>
  <c r="U19" i="4"/>
  <c r="T19" i="6"/>
  <c r="R28" i="6" l="1"/>
  <c r="U23" i="7"/>
  <c r="U25" i="7" s="1"/>
  <c r="S27" i="4"/>
  <c r="T28" i="7"/>
  <c r="S26" i="1"/>
  <c r="S27" i="5"/>
  <c r="S28" i="5"/>
  <c r="R26" i="6"/>
  <c r="S26" i="4"/>
  <c r="S26" i="5"/>
  <c r="T23" i="5"/>
  <c r="T25" i="5" s="1"/>
  <c r="U21" i="5"/>
  <c r="U22" i="5"/>
  <c r="T26" i="7"/>
  <c r="S27" i="1"/>
  <c r="S23" i="6"/>
  <c r="S25" i="6" s="1"/>
  <c r="S26" i="6" s="1"/>
  <c r="T23" i="4"/>
  <c r="T25" i="4" s="1"/>
  <c r="T28" i="4" s="1"/>
  <c r="R28" i="3"/>
  <c r="W18" i="5"/>
  <c r="V24" i="5"/>
  <c r="S23" i="3"/>
  <c r="S25" i="3" s="1"/>
  <c r="S28" i="3" s="1"/>
  <c r="T23" i="1"/>
  <c r="T25" i="1" s="1"/>
  <c r="T27" i="1" s="1"/>
  <c r="T23" i="8"/>
  <c r="T25" i="8" s="1"/>
  <c r="T26" i="8" s="1"/>
  <c r="U21" i="4"/>
  <c r="U22" i="1"/>
  <c r="T22" i="6"/>
  <c r="T21" i="3"/>
  <c r="V22" i="7"/>
  <c r="U21" i="8"/>
  <c r="U22" i="8"/>
  <c r="U22" i="4"/>
  <c r="U21" i="1"/>
  <c r="T21" i="6"/>
  <c r="T22" i="3"/>
  <c r="V21" i="7"/>
  <c r="W18" i="4"/>
  <c r="V24" i="4"/>
  <c r="V24" i="1"/>
  <c r="W18" i="1"/>
  <c r="V18" i="6"/>
  <c r="U24" i="6"/>
  <c r="U24" i="3"/>
  <c r="V18" i="3"/>
  <c r="X18" i="7"/>
  <c r="W24" i="7"/>
  <c r="W18" i="8"/>
  <c r="V24" i="8"/>
  <c r="U27" i="7"/>
  <c r="U26" i="7"/>
  <c r="U28" i="7"/>
  <c r="V20" i="8"/>
  <c r="V20" i="1"/>
  <c r="V20" i="5"/>
  <c r="U20" i="6"/>
  <c r="V20" i="4"/>
  <c r="W20" i="7"/>
  <c r="U20" i="3"/>
  <c r="W19" i="7"/>
  <c r="U19" i="6"/>
  <c r="V19" i="5"/>
  <c r="V19" i="4"/>
  <c r="V19" i="8"/>
  <c r="U19" i="3"/>
  <c r="V19" i="1"/>
  <c r="T27" i="4" l="1"/>
  <c r="T26" i="4"/>
  <c r="S27" i="3"/>
  <c r="T28" i="8"/>
  <c r="S27" i="6"/>
  <c r="V23" i="7"/>
  <c r="V25" i="7" s="1"/>
  <c r="V26" i="7" s="1"/>
  <c r="T27" i="5"/>
  <c r="T26" i="5"/>
  <c r="T28" i="5"/>
  <c r="T27" i="8"/>
  <c r="S28" i="6"/>
  <c r="V22" i="5"/>
  <c r="V21" i="5"/>
  <c r="T23" i="6"/>
  <c r="T25" i="6" s="1"/>
  <c r="T26" i="6" s="1"/>
  <c r="T26" i="1"/>
  <c r="T28" i="1"/>
  <c r="S26" i="3"/>
  <c r="U23" i="1"/>
  <c r="U25" i="1" s="1"/>
  <c r="U26" i="1" s="1"/>
  <c r="U23" i="5"/>
  <c r="U25" i="5" s="1"/>
  <c r="X18" i="5"/>
  <c r="W24" i="5"/>
  <c r="U23" i="4"/>
  <c r="U25" i="4" s="1"/>
  <c r="U28" i="4" s="1"/>
  <c r="U23" i="8"/>
  <c r="U25" i="8" s="1"/>
  <c r="U26" i="8" s="1"/>
  <c r="T23" i="3"/>
  <c r="T25" i="3" s="1"/>
  <c r="T26" i="3" s="1"/>
  <c r="V21" i="8"/>
  <c r="U21" i="3"/>
  <c r="U21" i="6"/>
  <c r="V22" i="1"/>
  <c r="V21" i="4"/>
  <c r="V22" i="8"/>
  <c r="W22" i="7"/>
  <c r="W21" i="7"/>
  <c r="U22" i="3"/>
  <c r="U22" i="6"/>
  <c r="V21" i="1"/>
  <c r="V22" i="4"/>
  <c r="X18" i="8"/>
  <c r="W24" i="8"/>
  <c r="Y18" i="7"/>
  <c r="X24" i="7"/>
  <c r="W24" i="1"/>
  <c r="X18" i="1"/>
  <c r="V27" i="7"/>
  <c r="W18" i="3"/>
  <c r="V24" i="3"/>
  <c r="V24" i="6"/>
  <c r="W18" i="6"/>
  <c r="W24" i="4"/>
  <c r="X18" i="4"/>
  <c r="W20" i="8"/>
  <c r="X20" i="7"/>
  <c r="V20" i="6"/>
  <c r="V20" i="3"/>
  <c r="W20" i="4"/>
  <c r="W20" i="1"/>
  <c r="W20" i="5"/>
  <c r="W19" i="4"/>
  <c r="X19" i="7"/>
  <c r="W19" i="5"/>
  <c r="V19" i="3"/>
  <c r="W19" i="8"/>
  <c r="V19" i="6"/>
  <c r="W19" i="1"/>
  <c r="T28" i="3" l="1"/>
  <c r="V28" i="7"/>
  <c r="U28" i="1"/>
  <c r="U26" i="4"/>
  <c r="U27" i="4"/>
  <c r="U27" i="8"/>
  <c r="U28" i="8"/>
  <c r="W23" i="7"/>
  <c r="W25" i="7" s="1"/>
  <c r="W27" i="7" s="1"/>
  <c r="V23" i="5"/>
  <c r="V25" i="5" s="1"/>
  <c r="W22" i="5"/>
  <c r="W21" i="5"/>
  <c r="U27" i="1"/>
  <c r="V23" i="1"/>
  <c r="V25" i="1" s="1"/>
  <c r="V28" i="1" s="1"/>
  <c r="U26" i="5"/>
  <c r="U27" i="5"/>
  <c r="U28" i="5"/>
  <c r="T27" i="6"/>
  <c r="T28" i="6"/>
  <c r="T27" i="3"/>
  <c r="X24" i="5"/>
  <c r="Y18" i="5"/>
  <c r="U23" i="3"/>
  <c r="U25" i="3" s="1"/>
  <c r="U27" i="3" s="1"/>
  <c r="V23" i="4"/>
  <c r="V25" i="4" s="1"/>
  <c r="V28" i="4" s="1"/>
  <c r="U23" i="6"/>
  <c r="U25" i="6" s="1"/>
  <c r="U26" i="6" s="1"/>
  <c r="V23" i="8"/>
  <c r="V25" i="8" s="1"/>
  <c r="V26" i="8" s="1"/>
  <c r="W21" i="4"/>
  <c r="V22" i="3"/>
  <c r="W22" i="1"/>
  <c r="X22" i="7"/>
  <c r="X21" i="7"/>
  <c r="W22" i="8"/>
  <c r="W22" i="4"/>
  <c r="V21" i="6"/>
  <c r="V22" i="6"/>
  <c r="V21" i="3"/>
  <c r="V23" i="3" s="1"/>
  <c r="V25" i="3" s="1"/>
  <c r="W21" i="1"/>
  <c r="W23" i="1" s="1"/>
  <c r="W25" i="1" s="1"/>
  <c r="W21" i="8"/>
  <c r="X18" i="6"/>
  <c r="W24" i="6"/>
  <c r="W24" i="3"/>
  <c r="X18" i="3"/>
  <c r="X24" i="1"/>
  <c r="Y18" i="1"/>
  <c r="Y18" i="4"/>
  <c r="X24" i="4"/>
  <c r="Z18" i="7"/>
  <c r="Y24" i="7"/>
  <c r="Y18" i="8"/>
  <c r="X24" i="8"/>
  <c r="V27" i="4"/>
  <c r="V26" i="4"/>
  <c r="X20" i="1"/>
  <c r="X20" i="4"/>
  <c r="W20" i="3"/>
  <c r="W20" i="6"/>
  <c r="X20" i="5"/>
  <c r="X20" i="8"/>
  <c r="Y20" i="7"/>
  <c r="W19" i="3"/>
  <c r="X19" i="1"/>
  <c r="X19" i="4"/>
  <c r="X19" i="8"/>
  <c r="W19" i="6"/>
  <c r="X19" i="5"/>
  <c r="Y19" i="7"/>
  <c r="W26" i="7" l="1"/>
  <c r="W28" i="7"/>
  <c r="V27" i="8"/>
  <c r="X23" i="7"/>
  <c r="X25" i="7" s="1"/>
  <c r="X26" i="7" s="1"/>
  <c r="W23" i="5"/>
  <c r="W25" i="5" s="1"/>
  <c r="W27" i="5" s="1"/>
  <c r="V27" i="1"/>
  <c r="V26" i="5"/>
  <c r="V27" i="5"/>
  <c r="U28" i="6"/>
  <c r="U27" i="6"/>
  <c r="V28" i="5"/>
  <c r="W23" i="8"/>
  <c r="W25" i="8" s="1"/>
  <c r="W26" i="8" s="1"/>
  <c r="X22" i="5"/>
  <c r="X21" i="5"/>
  <c r="V23" i="6"/>
  <c r="V25" i="6" s="1"/>
  <c r="V26" i="6" s="1"/>
  <c r="W28" i="5"/>
  <c r="W26" i="5"/>
  <c r="V26" i="1"/>
  <c r="V28" i="8"/>
  <c r="U26" i="3"/>
  <c r="U28" i="3"/>
  <c r="Z18" i="5"/>
  <c r="Y24" i="5"/>
  <c r="W23" i="4"/>
  <c r="W25" i="4" s="1"/>
  <c r="W26" i="4" s="1"/>
  <c r="X21" i="8"/>
  <c r="Y21" i="7"/>
  <c r="X21" i="4"/>
  <c r="X21" i="1"/>
  <c r="X22" i="1"/>
  <c r="W22" i="3"/>
  <c r="W22" i="6"/>
  <c r="X22" i="8"/>
  <c r="Y22" i="7"/>
  <c r="X22" i="4"/>
  <c r="W21" i="3"/>
  <c r="W21" i="6"/>
  <c r="Z18" i="8"/>
  <c r="Y24" i="8"/>
  <c r="AA18" i="7"/>
  <c r="Z24" i="7"/>
  <c r="Y24" i="4"/>
  <c r="Z18" i="4"/>
  <c r="Y18" i="3"/>
  <c r="X24" i="3"/>
  <c r="V27" i="3"/>
  <c r="V28" i="3"/>
  <c r="V26" i="3"/>
  <c r="Y24" i="1"/>
  <c r="Z18" i="1"/>
  <c r="X24" i="6"/>
  <c r="Y18" i="6"/>
  <c r="W26" i="1"/>
  <c r="W27" i="1"/>
  <c r="W28" i="1"/>
  <c r="Y20" i="1"/>
  <c r="X20" i="3"/>
  <c r="Y20" i="5"/>
  <c r="X20" i="6"/>
  <c r="Z20" i="7"/>
  <c r="Y20" i="8"/>
  <c r="Y20" i="4"/>
  <c r="X19" i="6"/>
  <c r="Y19" i="8"/>
  <c r="Y19" i="4"/>
  <c r="Y19" i="5"/>
  <c r="X19" i="3"/>
  <c r="Z19" i="7"/>
  <c r="Y19" i="1"/>
  <c r="W28" i="4" l="1"/>
  <c r="X28" i="7"/>
  <c r="X27" i="7"/>
  <c r="W27" i="4"/>
  <c r="V27" i="6"/>
  <c r="W28" i="8"/>
  <c r="W27" i="8"/>
  <c r="W23" i="3"/>
  <c r="W25" i="3" s="1"/>
  <c r="W26" i="3" s="1"/>
  <c r="X23" i="5"/>
  <c r="X25" i="5" s="1"/>
  <c r="Y21" i="5"/>
  <c r="Y22" i="5"/>
  <c r="V28" i="6"/>
  <c r="W23" i="6"/>
  <c r="W25" i="6" s="1"/>
  <c r="W27" i="6" s="1"/>
  <c r="AA18" i="5"/>
  <c r="Z24" i="5"/>
  <c r="X23" i="1"/>
  <c r="X25" i="1" s="1"/>
  <c r="X27" i="1" s="1"/>
  <c r="X23" i="4"/>
  <c r="X25" i="4" s="1"/>
  <c r="X26" i="4" s="1"/>
  <c r="X23" i="8"/>
  <c r="X25" i="8" s="1"/>
  <c r="X26" i="8" s="1"/>
  <c r="Y23" i="7"/>
  <c r="Y25" i="7" s="1"/>
  <c r="Y27" i="7" s="1"/>
  <c r="X21" i="6"/>
  <c r="X22" i="6"/>
  <c r="Y22" i="1"/>
  <c r="Y21" i="1"/>
  <c r="X22" i="3"/>
  <c r="Y21" i="4"/>
  <c r="Y22" i="4"/>
  <c r="Z21" i="7"/>
  <c r="Y21" i="8"/>
  <c r="Y22" i="8"/>
  <c r="X21" i="3"/>
  <c r="Z22" i="7"/>
  <c r="Z18" i="6"/>
  <c r="Y24" i="6"/>
  <c r="Z24" i="1"/>
  <c r="AA18" i="1"/>
  <c r="Y24" i="3"/>
  <c r="Z18" i="3"/>
  <c r="AA18" i="4"/>
  <c r="Z24" i="4"/>
  <c r="AB18" i="7"/>
  <c r="AA24" i="7"/>
  <c r="AA18" i="8"/>
  <c r="Z24" i="8"/>
  <c r="W28" i="3"/>
  <c r="X28" i="4"/>
  <c r="Z20" i="4"/>
  <c r="Z20" i="1"/>
  <c r="Y20" i="6"/>
  <c r="Z20" i="5"/>
  <c r="AA20" i="7"/>
  <c r="Y20" i="3"/>
  <c r="Z20" i="8"/>
  <c r="Z19" i="8"/>
  <c r="Z19" i="5"/>
  <c r="AA19" i="7"/>
  <c r="Z19" i="4"/>
  <c r="Y19" i="6"/>
  <c r="Z19" i="1"/>
  <c r="Y19" i="3"/>
  <c r="X23" i="3" l="1"/>
  <c r="X25" i="3" s="1"/>
  <c r="X26" i="1"/>
  <c r="W27" i="3"/>
  <c r="X28" i="1"/>
  <c r="X26" i="5"/>
  <c r="X28" i="5"/>
  <c r="X27" i="5"/>
  <c r="X27" i="4"/>
  <c r="Z22" i="5"/>
  <c r="Z21" i="5"/>
  <c r="W28" i="6"/>
  <c r="X28" i="8"/>
  <c r="W26" i="6"/>
  <c r="X27" i="8"/>
  <c r="Y23" i="8"/>
  <c r="Y25" i="8" s="1"/>
  <c r="Y27" i="8" s="1"/>
  <c r="X23" i="6"/>
  <c r="X25" i="6" s="1"/>
  <c r="X28" i="6" s="1"/>
  <c r="Y23" i="5"/>
  <c r="Y25" i="5" s="1"/>
  <c r="Y26" i="7"/>
  <c r="Y28" i="7"/>
  <c r="AB18" i="5"/>
  <c r="AA24" i="5"/>
  <c r="Z23" i="7"/>
  <c r="Z25" i="7" s="1"/>
  <c r="Z26" i="7" s="1"/>
  <c r="Y23" i="4"/>
  <c r="Y25" i="4" s="1"/>
  <c r="Y27" i="4" s="1"/>
  <c r="Y23" i="1"/>
  <c r="Y25" i="1" s="1"/>
  <c r="Y28" i="1" s="1"/>
  <c r="Z21" i="8"/>
  <c r="Z21" i="4"/>
  <c r="Y22" i="3"/>
  <c r="Z21" i="1"/>
  <c r="Z22" i="8"/>
  <c r="AA22" i="7"/>
  <c r="AA21" i="7"/>
  <c r="Z22" i="4"/>
  <c r="Y21" i="3"/>
  <c r="Z22" i="1"/>
  <c r="Y22" i="6"/>
  <c r="Y21" i="6"/>
  <c r="Y23" i="6" s="1"/>
  <c r="Y25" i="6" s="1"/>
  <c r="AB18" i="8"/>
  <c r="AA24" i="8"/>
  <c r="AC18" i="7"/>
  <c r="AB24" i="7"/>
  <c r="AA24" i="4"/>
  <c r="AB18" i="4"/>
  <c r="Z24" i="6"/>
  <c r="AA18" i="6"/>
  <c r="AA18" i="3"/>
  <c r="Z24" i="3"/>
  <c r="AA24" i="1"/>
  <c r="AB18" i="1"/>
  <c r="X26" i="3"/>
  <c r="X27" i="3"/>
  <c r="X28" i="3"/>
  <c r="AA20" i="1"/>
  <c r="Z20" i="3"/>
  <c r="AA20" i="4"/>
  <c r="AA20" i="5"/>
  <c r="AB20" i="7"/>
  <c r="AA20" i="8"/>
  <c r="Z20" i="6"/>
  <c r="Z19" i="6"/>
  <c r="Z19" i="3"/>
  <c r="AA19" i="5"/>
  <c r="AA19" i="4"/>
  <c r="AB19" i="7"/>
  <c r="AA19" i="1"/>
  <c r="AA19" i="8"/>
  <c r="Y28" i="8" l="1"/>
  <c r="Y26" i="8"/>
  <c r="Y28" i="4"/>
  <c r="Z23" i="5"/>
  <c r="Z25" i="5" s="1"/>
  <c r="Z28" i="5" s="1"/>
  <c r="X26" i="6"/>
  <c r="Z27" i="7"/>
  <c r="Z28" i="7"/>
  <c r="AA23" i="7"/>
  <c r="AA25" i="7" s="1"/>
  <c r="AA28" i="7" s="1"/>
  <c r="AA22" i="5"/>
  <c r="AA21" i="5"/>
  <c r="AA23" i="5" s="1"/>
  <c r="AA25" i="5" s="1"/>
  <c r="AA27" i="5" s="1"/>
  <c r="X27" i="6"/>
  <c r="Y27" i="1"/>
  <c r="Y26" i="4"/>
  <c r="Y23" i="3"/>
  <c r="Y25" i="3" s="1"/>
  <c r="Y26" i="3" s="1"/>
  <c r="Y28" i="5"/>
  <c r="Y27" i="5"/>
  <c r="Y26" i="5"/>
  <c r="Y26" i="1"/>
  <c r="AB24" i="5"/>
  <c r="AC18" i="5"/>
  <c r="Z23" i="4"/>
  <c r="Z25" i="4" s="1"/>
  <c r="Z27" i="4" s="1"/>
  <c r="Z23" i="1"/>
  <c r="Z25" i="1" s="1"/>
  <c r="Z27" i="1" s="1"/>
  <c r="Z23" i="8"/>
  <c r="Z25" i="8" s="1"/>
  <c r="Z26" i="8" s="1"/>
  <c r="AA21" i="1"/>
  <c r="Z22" i="3"/>
  <c r="Z21" i="6"/>
  <c r="AA22" i="4"/>
  <c r="AA21" i="4"/>
  <c r="AB22" i="7"/>
  <c r="AA21" i="8"/>
  <c r="AA22" i="1"/>
  <c r="Z21" i="3"/>
  <c r="Z22" i="6"/>
  <c r="AB21" i="7"/>
  <c r="AA22" i="8"/>
  <c r="AB24" i="1"/>
  <c r="AC18" i="1"/>
  <c r="AB18" i="6"/>
  <c r="AA24" i="6"/>
  <c r="Y27" i="6"/>
  <c r="Y26" i="6"/>
  <c r="Y28" i="6"/>
  <c r="AA24" i="3"/>
  <c r="AB18" i="3"/>
  <c r="AC18" i="4"/>
  <c r="AB24" i="4"/>
  <c r="AC24" i="7"/>
  <c r="AD18" i="7"/>
  <c r="AC18" i="8"/>
  <c r="AB24" i="8"/>
  <c r="AA20" i="3"/>
  <c r="AB20" i="1"/>
  <c r="AB20" i="4"/>
  <c r="AB20" i="8"/>
  <c r="AB20" i="5"/>
  <c r="AC20" i="7"/>
  <c r="AA20" i="6"/>
  <c r="AA19" i="6"/>
  <c r="AA19" i="3"/>
  <c r="AC19" i="7"/>
  <c r="AB19" i="8"/>
  <c r="AB19" i="4"/>
  <c r="AB19" i="5"/>
  <c r="AB19" i="1"/>
  <c r="AA28" i="5" l="1"/>
  <c r="Y28" i="3"/>
  <c r="Z26" i="5"/>
  <c r="Z27" i="5"/>
  <c r="Z27" i="8"/>
  <c r="Z28" i="8"/>
  <c r="Z26" i="1"/>
  <c r="AA27" i="7"/>
  <c r="AA26" i="7"/>
  <c r="Y27" i="3"/>
  <c r="Z26" i="4"/>
  <c r="AB23" i="7"/>
  <c r="AB25" i="7" s="1"/>
  <c r="AB28" i="7" s="1"/>
  <c r="AA26" i="5"/>
  <c r="AB21" i="5"/>
  <c r="AB22" i="5"/>
  <c r="Z23" i="3"/>
  <c r="Z25" i="3" s="1"/>
  <c r="Z26" i="3" s="1"/>
  <c r="Z28" i="1"/>
  <c r="AD18" i="5"/>
  <c r="AC24" i="5"/>
  <c r="Z28" i="4"/>
  <c r="AA23" i="8"/>
  <c r="AA25" i="8" s="1"/>
  <c r="AA27" i="8" s="1"/>
  <c r="AA23" i="4"/>
  <c r="AA25" i="4" s="1"/>
  <c r="AA27" i="4" s="1"/>
  <c r="Z23" i="6"/>
  <c r="Z25" i="6" s="1"/>
  <c r="Z27" i="6" s="1"/>
  <c r="AA23" i="1"/>
  <c r="AA25" i="1" s="1"/>
  <c r="AA26" i="1" s="1"/>
  <c r="AB21" i="8"/>
  <c r="AB22" i="8"/>
  <c r="AC21" i="7"/>
  <c r="AC22" i="7"/>
  <c r="AB22" i="4"/>
  <c r="AA21" i="3"/>
  <c r="AA22" i="6"/>
  <c r="AB22" i="1"/>
  <c r="AB21" i="4"/>
  <c r="AB23" i="4" s="1"/>
  <c r="AB25" i="4" s="1"/>
  <c r="AA22" i="3"/>
  <c r="AA21" i="6"/>
  <c r="AA23" i="6" s="1"/>
  <c r="AA25" i="6" s="1"/>
  <c r="AB21" i="1"/>
  <c r="AB23" i="1" s="1"/>
  <c r="AB25" i="1" s="1"/>
  <c r="AC18" i="3"/>
  <c r="AB24" i="3"/>
  <c r="AC24" i="1"/>
  <c r="AD18" i="1"/>
  <c r="AD18" i="8"/>
  <c r="AC24" i="8"/>
  <c r="AD24" i="7"/>
  <c r="AE18" i="7"/>
  <c r="AC24" i="4"/>
  <c r="AD18" i="4"/>
  <c r="AB24" i="6"/>
  <c r="AC18" i="6"/>
  <c r="AC20" i="8"/>
  <c r="AC20" i="4"/>
  <c r="AB20" i="3"/>
  <c r="AC20" i="1"/>
  <c r="AB20" i="6"/>
  <c r="AD20" i="7"/>
  <c r="AC20" i="5"/>
  <c r="AB19" i="6"/>
  <c r="AC19" i="4"/>
  <c r="AC19" i="5"/>
  <c r="AC19" i="1"/>
  <c r="AD19" i="7"/>
  <c r="AC19" i="8"/>
  <c r="AB19" i="3"/>
  <c r="Z28" i="6" l="1"/>
  <c r="AA26" i="4"/>
  <c r="AB27" i="7"/>
  <c r="AB26" i="7"/>
  <c r="Z27" i="3"/>
  <c r="Z28" i="3"/>
  <c r="AB23" i="5"/>
  <c r="AB25" i="5" s="1"/>
  <c r="AB27" i="5" s="1"/>
  <c r="AA28" i="4"/>
  <c r="AB23" i="8"/>
  <c r="AB25" i="8" s="1"/>
  <c r="AB27" i="8" s="1"/>
  <c r="Z26" i="6"/>
  <c r="AC22" i="5"/>
  <c r="AC21" i="5"/>
  <c r="AA26" i="8"/>
  <c r="AA28" i="8"/>
  <c r="AC23" i="7"/>
  <c r="AC25" i="7" s="1"/>
  <c r="AC28" i="7" s="1"/>
  <c r="AA28" i="1"/>
  <c r="AD24" i="5"/>
  <c r="AE18" i="5"/>
  <c r="AA27" i="1"/>
  <c r="AA23" i="3"/>
  <c r="AA25" i="3" s="1"/>
  <c r="AA28" i="3" s="1"/>
  <c r="AB22" i="6"/>
  <c r="AC21" i="4"/>
  <c r="AD22" i="7"/>
  <c r="AC22" i="8"/>
  <c r="AC21" i="8"/>
  <c r="AC21" i="1"/>
  <c r="AB22" i="3"/>
  <c r="AB21" i="6"/>
  <c r="AC22" i="4"/>
  <c r="AD21" i="7"/>
  <c r="AC22" i="1"/>
  <c r="AB21" i="3"/>
  <c r="AB23" i="3" s="1"/>
  <c r="AB25" i="3" s="1"/>
  <c r="AD18" i="6"/>
  <c r="AC24" i="6"/>
  <c r="AD24" i="4"/>
  <c r="AE18" i="4"/>
  <c r="AE24" i="7"/>
  <c r="AD24" i="1"/>
  <c r="AE18" i="1"/>
  <c r="AB26" i="1"/>
  <c r="AB27" i="1"/>
  <c r="AB28" i="1"/>
  <c r="AE18" i="8"/>
  <c r="AD24" i="8"/>
  <c r="AC24" i="3"/>
  <c r="AD18" i="3"/>
  <c r="AA28" i="6"/>
  <c r="AA27" i="6"/>
  <c r="AA26" i="6"/>
  <c r="AB26" i="4"/>
  <c r="AB28" i="4"/>
  <c r="AB27" i="4"/>
  <c r="AD20" i="5"/>
  <c r="AD20" i="4"/>
  <c r="AC20" i="6"/>
  <c r="AC20" i="3"/>
  <c r="AD20" i="1"/>
  <c r="AE20" i="7"/>
  <c r="AD20" i="8"/>
  <c r="AC19" i="3"/>
  <c r="AC19" i="6"/>
  <c r="AD19" i="8"/>
  <c r="AE19" i="7"/>
  <c r="AD19" i="5"/>
  <c r="AD19" i="1"/>
  <c r="AD19" i="4"/>
  <c r="AD23" i="7" l="1"/>
  <c r="AD25" i="7" s="1"/>
  <c r="AB26" i="8"/>
  <c r="AB28" i="8"/>
  <c r="AC27" i="7"/>
  <c r="AC26" i="7"/>
  <c r="AA27" i="3"/>
  <c r="AB26" i="5"/>
  <c r="AB23" i="6"/>
  <c r="AB25" i="6" s="1"/>
  <c r="AB28" i="6" s="1"/>
  <c r="AB28" i="5"/>
  <c r="AC23" i="5"/>
  <c r="AC25" i="5" s="1"/>
  <c r="AD21" i="5"/>
  <c r="AD22" i="5"/>
  <c r="AA26" i="3"/>
  <c r="AC23" i="8"/>
  <c r="AC25" i="8" s="1"/>
  <c r="AC26" i="8" s="1"/>
  <c r="AE24" i="5"/>
  <c r="AC23" i="1"/>
  <c r="AC25" i="1" s="1"/>
  <c r="AC28" i="1" s="1"/>
  <c r="AC23" i="4"/>
  <c r="AC25" i="4" s="1"/>
  <c r="AC26" i="4" s="1"/>
  <c r="AC22" i="3"/>
  <c r="AD21" i="8"/>
  <c r="AD22" i="1"/>
  <c r="AE21" i="7"/>
  <c r="AD21" i="4"/>
  <c r="AC21" i="6"/>
  <c r="AC21" i="3"/>
  <c r="AD22" i="8"/>
  <c r="AD21" i="1"/>
  <c r="AE22" i="7"/>
  <c r="AD22" i="4"/>
  <c r="AC22" i="6"/>
  <c r="AD24" i="3"/>
  <c r="AE18" i="3"/>
  <c r="AE24" i="4"/>
  <c r="AB26" i="3"/>
  <c r="AB27" i="3"/>
  <c r="AB28" i="3"/>
  <c r="AD26" i="7"/>
  <c r="AD28" i="7"/>
  <c r="AD27" i="7"/>
  <c r="AC28" i="4"/>
  <c r="AE24" i="8"/>
  <c r="AE24" i="1"/>
  <c r="AD24" i="6"/>
  <c r="AE18" i="6"/>
  <c r="AD20" i="3"/>
  <c r="AE20" i="4"/>
  <c r="AD20" i="6"/>
  <c r="AE20" i="8"/>
  <c r="AE20" i="5"/>
  <c r="AE20" i="1"/>
  <c r="AE19" i="4"/>
  <c r="AE19" i="8"/>
  <c r="AD19" i="3"/>
  <c r="AD19" i="6"/>
  <c r="AE19" i="1"/>
  <c r="AE19" i="5"/>
  <c r="AB26" i="6" l="1"/>
  <c r="AC26" i="1"/>
  <c r="AD23" i="1"/>
  <c r="AD25" i="1" s="1"/>
  <c r="AD27" i="1" s="1"/>
  <c r="AB27" i="6"/>
  <c r="AC27" i="4"/>
  <c r="AC27" i="1"/>
  <c r="AC26" i="5"/>
  <c r="AC28" i="5"/>
  <c r="AC27" i="5"/>
  <c r="AE22" i="5"/>
  <c r="AE21" i="5"/>
  <c r="AC28" i="8"/>
  <c r="AC27" i="8"/>
  <c r="AC23" i="3"/>
  <c r="AC25" i="3" s="1"/>
  <c r="AC28" i="3" s="1"/>
  <c r="AD23" i="5"/>
  <c r="AD25" i="5" s="1"/>
  <c r="AC23" i="6"/>
  <c r="AC25" i="6" s="1"/>
  <c r="AC26" i="6" s="1"/>
  <c r="AE23" i="7"/>
  <c r="AE25" i="7" s="1"/>
  <c r="AE26" i="7" s="1"/>
  <c r="AD23" i="8"/>
  <c r="AD25" i="8" s="1"/>
  <c r="AD27" i="8" s="1"/>
  <c r="AD23" i="4"/>
  <c r="AD25" i="4" s="1"/>
  <c r="AD28" i="4" s="1"/>
  <c r="AD21" i="6"/>
  <c r="AD22" i="6"/>
  <c r="AE22" i="1"/>
  <c r="AE21" i="8"/>
  <c r="AE22" i="4"/>
  <c r="AD22" i="3"/>
  <c r="AE21" i="1"/>
  <c r="AE23" i="1" s="1"/>
  <c r="AE25" i="1" s="1"/>
  <c r="AE22" i="8"/>
  <c r="AE21" i="4"/>
  <c r="AE23" i="4" s="1"/>
  <c r="AE25" i="4" s="1"/>
  <c r="AD21" i="3"/>
  <c r="AD23" i="3" s="1"/>
  <c r="AD25" i="3" s="1"/>
  <c r="AE24" i="3"/>
  <c r="AE24" i="6"/>
  <c r="AD28" i="1"/>
  <c r="AD26" i="1"/>
  <c r="AC27" i="3"/>
  <c r="AE20" i="6"/>
  <c r="AE20" i="3"/>
  <c r="AE19" i="3"/>
  <c r="AE19" i="6"/>
  <c r="AD26" i="4" l="1"/>
  <c r="AC27" i="6"/>
  <c r="AD26" i="8"/>
  <c r="AC26" i="3"/>
  <c r="AD28" i="8"/>
  <c r="AE23" i="5"/>
  <c r="AE25" i="5" s="1"/>
  <c r="AE27" i="5" s="1"/>
  <c r="AC28" i="6"/>
  <c r="AD23" i="6"/>
  <c r="AD25" i="6" s="1"/>
  <c r="AD28" i="6" s="1"/>
  <c r="AE27" i="7"/>
  <c r="AD27" i="5"/>
  <c r="AD26" i="5"/>
  <c r="AD28" i="5"/>
  <c r="AE28" i="7"/>
  <c r="AD27" i="4"/>
  <c r="AE23" i="8"/>
  <c r="AE25" i="8" s="1"/>
  <c r="AE26" i="8" s="1"/>
  <c r="AE22" i="6"/>
  <c r="AE21" i="3"/>
  <c r="AE21" i="6"/>
  <c r="AE22" i="3"/>
  <c r="AD26" i="3"/>
  <c r="AD27" i="3"/>
  <c r="AD28" i="3"/>
  <c r="AE26" i="4"/>
  <c r="AE27" i="4"/>
  <c r="AE28" i="4"/>
  <c r="AE28" i="1"/>
  <c r="AE26" i="1"/>
  <c r="AE27" i="1"/>
  <c r="AE23" i="6" l="1"/>
  <c r="AE25" i="6" s="1"/>
  <c r="AE26" i="6" s="1"/>
  <c r="AD26" i="6"/>
  <c r="AD27" i="6"/>
  <c r="AE26" i="5"/>
  <c r="AE28" i="5"/>
  <c r="AE28" i="8"/>
  <c r="AE27" i="8"/>
  <c r="AE23" i="3"/>
  <c r="AE25" i="3" s="1"/>
  <c r="AE28" i="3" s="1"/>
  <c r="AE27" i="6"/>
  <c r="AE28" i="6" l="1"/>
  <c r="AE26" i="3"/>
  <c r="AE2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<sst xmlns="http://schemas.openxmlformats.org/spreadsheetml/2006/main" count="204" uniqueCount="33">
  <si>
    <t># #61 mix u'</t>
  </si>
  <si>
    <t># #61 mix u''</t>
  </si>
  <si>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</si>
  <si>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</si>
  <si>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</si>
  <si>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</si>
  <si>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</si>
  <si>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</si>
  <si>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</si>
  <si>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</si>
  <si>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</si>
  <si>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</si>
  <si>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</si>
  <si>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</si>
  <si>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</si>
  <si>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</si>
  <si>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</si>
  <si>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</si>
  <si>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</si>
  <si>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</si>
  <si>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</si>
  <si>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#61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</si>
  <si>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</si>
  <si>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</si>
  <si>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</si>
  <si>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</si>
  <si>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</si>
  <si>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</si>
  <si>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</si>
  <si>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</si>
  <si>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</si>
  <si>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µi</t>
  </si>
  <si>
    <t>Fetched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</si>
</sst>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"/>
  </numFmts>
  <fonts count="5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0" fillId="0" borderId="1" xfId="0" applyBorder="1" applyAlignment="1">
      <alignment horizontal="center"/>
    </xf>
    <xf numFmtId="0" fontId="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76264694378964"/>
          <c:y val="0.14508944384922992"/>
          <c:w val="0.749164491309321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12t'!$A$26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12t'!$B$26:$AE$26</c:f>
              <c:numCache>
                <c:formatCode>0</c:formatCode>
                <c:ptCount val="30"/>
                <c:pt idx="0">
                  <c:v>0.62951335597708902</c:v>
                </c:pt>
                <c:pt idx="1">
                  <c:v>1.54876870705194</c:v>
                </c:pt>
                <c:pt idx="2">
                  <c:v>2.4102649138887302</c:v>
                </c:pt>
                <c:pt idx="3">
                  <c:v>3.4944437451625401</c:v>
                </c:pt>
                <c:pt idx="4">
                  <c:v>4.9544671380988596</c:v>
                </c:pt>
                <c:pt idx="5">
                  <c:v>6.7829390692468596</c:v>
                </c:pt>
                <c:pt idx="6">
                  <c:v>9.0983507167308009</c:v>
                </c:pt>
                <c:pt idx="7">
                  <c:v>12.911283831154901</c:v>
                </c:pt>
                <c:pt idx="8">
                  <c:v>17.714168619842901</c:v>
                </c:pt>
                <c:pt idx="9">
                  <c:v>25.489468840707602</c:v>
                </c:pt>
                <c:pt idx="10">
                  <c:v>36.755415102917297</c:v>
                </c:pt>
                <c:pt idx="11">
                  <c:v>54.124438982131601</c:v>
                </c:pt>
                <c:pt idx="12">
                  <c:v>83.033006086354902</c:v>
                </c:pt>
                <c:pt idx="13">
                  <c:v>129.604001229391</c:v>
                </c:pt>
                <c:pt idx="14">
                  <c:v>208.43945585794501</c:v>
                </c:pt>
                <c:pt idx="15">
                  <c:v>343.21768360226702</c:v>
                </c:pt>
                <c:pt idx="16">
                  <c:v>568.27884942458002</c:v>
                </c:pt>
                <c:pt idx="17">
                  <c:v>960.64268885835497</c:v>
                </c:pt>
                <c:pt idx="18">
                  <c:v>1598.30729527824</c:v>
                </c:pt>
                <c:pt idx="19">
                  <c:v>2541.4977736169999</c:v>
                </c:pt>
                <c:pt idx="20">
                  <c:v>3893.9053687392002</c:v>
                </c:pt>
                <c:pt idx="21">
                  <c:v>5502.9812715665903</c:v>
                </c:pt>
                <c:pt idx="22">
                  <c:v>7027.56535864749</c:v>
                </c:pt>
                <c:pt idx="23">
                  <c:v>8157.40296576122</c:v>
                </c:pt>
                <c:pt idx="24">
                  <c:v>8700.0514897879093</c:v>
                </c:pt>
                <c:pt idx="25">
                  <c:v>8704.8353636954198</c:v>
                </c:pt>
                <c:pt idx="26">
                  <c:v>8344.5226074021703</c:v>
                </c:pt>
                <c:pt idx="27">
                  <c:v>7799.4131801509202</c:v>
                </c:pt>
                <c:pt idx="28">
                  <c:v>7206.5161513802796</c:v>
                </c:pt>
                <c:pt idx="29">
                  <c:v>6625.7303990523296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D5-472E-9B3B-43C30EEA1FB6}"/>
            </c:ext>
          </c:extLst>
        </c:ser>
        <c:ser>
          <c:idx val="1"/>
          <c:order val="1"/>
          <c:tx>
            <c:strRef>
              <c:f>'FT140-61 12t'!$A$27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12t'!$B$27:$AE$27</c:f>
              <c:numCache>
                <c:formatCode>0</c:formatCode>
                <c:ptCount val="30"/>
                <c:pt idx="0">
                  <c:v>120.27119590345799</c:v>
                </c:pt>
                <c:pt idx="1">
                  <c:v>241.19144125438601</c:v>
                </c:pt>
                <c:pt idx="2">
                  <c:v>364.21464556191</c:v>
                </c:pt>
                <c:pt idx="3">
                  <c:v>490.63212306265598</c:v>
                </c:pt>
                <c:pt idx="4">
                  <c:v>621.84105020967104</c:v>
                </c:pt>
                <c:pt idx="5">
                  <c:v>759.41365107750005</c:v>
                </c:pt>
                <c:pt idx="6">
                  <c:v>905.49326157661096</c:v>
                </c:pt>
                <c:pt idx="7">
                  <c:v>1062.02325847926</c:v>
                </c:pt>
                <c:pt idx="8">
                  <c:v>1231.96175133784</c:v>
                </c:pt>
                <c:pt idx="9">
                  <c:v>1418.8798108956</c:v>
                </c:pt>
                <c:pt idx="10">
                  <c:v>1627.7397870449099</c:v>
                </c:pt>
                <c:pt idx="11">
                  <c:v>1862.3909488218301</c:v>
                </c:pt>
                <c:pt idx="12">
                  <c:v>2137.8866829149702</c:v>
                </c:pt>
                <c:pt idx="13">
                  <c:v>2453.67081956422</c:v>
                </c:pt>
                <c:pt idx="14">
                  <c:v>2828.7758546514301</c:v>
                </c:pt>
                <c:pt idx="15">
                  <c:v>3278.0076322795999</c:v>
                </c:pt>
                <c:pt idx="16">
                  <c:v>3810.1494322779599</c:v>
                </c:pt>
                <c:pt idx="17">
                  <c:v>4429.04245911627</c:v>
                </c:pt>
                <c:pt idx="18">
                  <c:v>5097.0609123392296</c:v>
                </c:pt>
                <c:pt idx="19">
                  <c:v>5709.5500619455097</c:v>
                </c:pt>
                <c:pt idx="20">
                  <c:v>6049.3320826855397</c:v>
                </c:pt>
                <c:pt idx="21">
                  <c:v>5876.7029381601797</c:v>
                </c:pt>
                <c:pt idx="22">
                  <c:v>5100.4117785048602</c:v>
                </c:pt>
                <c:pt idx="23">
                  <c:v>3787.5103106247602</c:v>
                </c:pt>
                <c:pt idx="24">
                  <c:v>2238.16423025525</c:v>
                </c:pt>
                <c:pt idx="25">
                  <c:v>776.62005831419799</c:v>
                </c:pt>
                <c:pt idx="26">
                  <c:v>-433.67840821368497</c:v>
                </c:pt>
                <c:pt idx="27">
                  <c:v>-1359.3825414655</c:v>
                </c:pt>
                <c:pt idx="28">
                  <c:v>-2041.00972120958</c:v>
                </c:pt>
                <c:pt idx="29">
                  <c:v>-2536.6292701039101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D5-472E-9B3B-43C30EEA1FB6}"/>
            </c:ext>
          </c:extLst>
        </c:ser>
        <c:ser>
          <c:idx val="2"/>
          <c:order val="2"/>
          <c:tx>
            <c:strRef>
              <c:f>'FT140-61 12t'!$A$28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12t'!$B$28:$AE$28</c:f>
              <c:numCache>
                <c:formatCode>0</c:formatCode>
                <c:ptCount val="30"/>
                <c:pt idx="0">
                  <c:v>120.27284336504781</c:v>
                </c:pt>
                <c:pt idx="1">
                  <c:v>241.19641377697945</c:v>
                </c:pt>
                <c:pt idx="2">
                  <c:v>364.22262068512828</c:v>
                </c:pt>
                <c:pt idx="3">
                  <c:v>490.64456719509019</c:v>
                </c:pt>
                <c:pt idx="4">
                  <c:v>621.86078705003513</c:v>
                </c:pt>
                <c:pt idx="5">
                  <c:v>759.44394243767329</c:v>
                </c:pt>
                <c:pt idx="6">
                  <c:v>905.53897030796725</c:v>
                </c:pt>
                <c:pt idx="7">
                  <c:v>1062.1017384417905</c:v>
                </c:pt>
                <c:pt idx="8">
                  <c:v>1232.0890992656703</c:v>
                </c:pt>
                <c:pt idx="9">
                  <c:v>1419.108745230229</c:v>
                </c:pt>
                <c:pt idx="10">
                  <c:v>1628.1547146596349</c:v>
                </c:pt>
                <c:pt idx="11">
                  <c:v>1863.1772597229194</c:v>
                </c:pt>
                <c:pt idx="12">
                  <c:v>2139.4985274790238</c:v>
                </c:pt>
                <c:pt idx="13">
                  <c:v>2457.0913063855842</c:v>
                </c:pt>
                <c:pt idx="14">
                  <c:v>2836.4449302987159</c:v>
                </c:pt>
                <c:pt idx="15">
                  <c:v>3295.926639902747</c:v>
                </c:pt>
                <c:pt idx="16">
                  <c:v>3852.295360819493</c:v>
                </c:pt>
                <c:pt idx="17">
                  <c:v>4532.0250970522775</c:v>
                </c:pt>
                <c:pt idx="18">
                  <c:v>5341.780242038797</c:v>
                </c:pt>
                <c:pt idx="19">
                  <c:v>6249.6538178656056</c:v>
                </c:pt>
                <c:pt idx="20">
                  <c:v>7194.2280800169619</c:v>
                </c:pt>
                <c:pt idx="21">
                  <c:v>8050.9900197797497</c:v>
                </c:pt>
                <c:pt idx="22">
                  <c:v>8683.3677326468987</c:v>
                </c:pt>
                <c:pt idx="23">
                  <c:v>8993.801059557567</c:v>
                </c:pt>
                <c:pt idx="24">
                  <c:v>8983.3331813172153</c:v>
                </c:pt>
                <c:pt idx="25">
                  <c:v>8739.4105879068484</c:v>
                </c:pt>
                <c:pt idx="26">
                  <c:v>8355.7844938220296</c:v>
                </c:pt>
                <c:pt idx="27">
                  <c:v>7916.9922855054683</c:v>
                </c:pt>
                <c:pt idx="28">
                  <c:v>7489.9663365182651</c:v>
                </c:pt>
                <c:pt idx="29">
                  <c:v>7094.7016410046472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D5-472E-9B3B-43C30EEA1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446296"/>
        <c:axId val="434447472"/>
      </c:scatterChart>
      <c:valAx>
        <c:axId val="43444629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307727420360081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447472"/>
        <c:crosses val="autoZero"/>
        <c:crossBetween val="midCat"/>
      </c:valAx>
      <c:valAx>
        <c:axId val="434447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4462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12t'!$A$19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12t'!$B$19:$AE$19</c:f>
              <c:numCache>
                <c:formatCode>0</c:formatCode>
                <c:ptCount val="30"/>
                <c:pt idx="0">
                  <c:v>0.62</c:v>
                </c:pt>
                <c:pt idx="1">
                  <c:v>0.75819431100099222</c:v>
                </c:pt>
                <c:pt idx="2">
                  <c:v>0.77887091186070234</c:v>
                </c:pt>
                <c:pt idx="3">
                  <c:v>0.83511143762440576</c:v>
                </c:pt>
                <c:pt idx="4">
                  <c:v>0.93</c:v>
                </c:pt>
                <c:pt idx="5">
                  <c:v>1.036969921462761</c:v>
                </c:pt>
                <c:pt idx="6">
                  <c:v>1.1594707528103099</c:v>
                </c:pt>
                <c:pt idx="7">
                  <c:v>1.3926436921793786</c:v>
                </c:pt>
                <c:pt idx="8">
                  <c:v>1.6331035608136657</c:v>
                </c:pt>
                <c:pt idx="9">
                  <c:v>2.02</c:v>
                </c:pt>
                <c:pt idx="10">
                  <c:v>2.5096010234877921</c:v>
                </c:pt>
                <c:pt idx="11">
                  <c:v>3.1827756414461343</c:v>
                </c:pt>
                <c:pt idx="12">
                  <c:v>4.1862588520627675</c:v>
                </c:pt>
                <c:pt idx="13">
                  <c:v>5.5699800869711646</c:v>
                </c:pt>
                <c:pt idx="14">
                  <c:v>7.5596708892868953</c:v>
                </c:pt>
                <c:pt idx="15">
                  <c:v>10.364762073298381</c:v>
                </c:pt>
                <c:pt idx="16">
                  <c:v>14.071540778907028</c:v>
                </c:pt>
                <c:pt idx="17">
                  <c:v>19.176551161213411</c:v>
                </c:pt>
                <c:pt idx="18">
                  <c:v>25.391368669797036</c:v>
                </c:pt>
                <c:pt idx="19">
                  <c:v>32.089654518261241</c:v>
                </c:pt>
                <c:pt idx="20">
                  <c:v>39.794608051729639</c:v>
                </c:pt>
                <c:pt idx="21">
                  <c:v>47.421943915918163</c:v>
                </c:pt>
                <c:pt idx="22">
                  <c:v>54.059097865518069</c:v>
                </c:pt>
                <c:pt idx="23">
                  <c:v>59.964781915008828</c:v>
                </c:pt>
                <c:pt idx="24">
                  <c:v>65.050788171679642</c:v>
                </c:pt>
                <c:pt idx="25">
                  <c:v>69.197236673813947</c:v>
                </c:pt>
                <c:pt idx="26">
                  <c:v>72.536485290986661</c:v>
                </c:pt>
                <c:pt idx="27">
                  <c:v>75.170528211419636</c:v>
                </c:pt>
                <c:pt idx="28">
                  <c:v>77.095025191458149</c:v>
                </c:pt>
                <c:pt idx="29">
                  <c:v>78.419182905316077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0D-4151-849E-363804032040}"/>
            </c:ext>
          </c:extLst>
        </c:ser>
        <c:ser>
          <c:idx val="1"/>
          <c:order val="1"/>
          <c:tx>
            <c:strRef>
              <c:f>'FT140-61 12t'!$A$20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'FT140-61 12t'!$B$20:$AE$20</c:f>
              <c:numCache>
                <c:formatCode>0</c:formatCode>
                <c:ptCount val="30"/>
                <c:pt idx="0">
                  <c:v>118.57</c:v>
                </c:pt>
                <c:pt idx="1">
                  <c:v>118.53968029339639</c:v>
                </c:pt>
                <c:pt idx="2">
                  <c:v>118.74548534852252</c:v>
                </c:pt>
                <c:pt idx="3">
                  <c:v>119.13224502943993</c:v>
                </c:pt>
                <c:pt idx="4">
                  <c:v>119.69</c:v>
                </c:pt>
                <c:pt idx="5">
                  <c:v>120.41980665671979</c:v>
                </c:pt>
                <c:pt idx="6">
                  <c:v>121.36869399692092</c:v>
                </c:pt>
                <c:pt idx="7">
                  <c:v>122.50340698858074</c:v>
                </c:pt>
                <c:pt idx="8">
                  <c:v>123.86522642233432</c:v>
                </c:pt>
                <c:pt idx="9">
                  <c:v>125.48</c:v>
                </c:pt>
                <c:pt idx="10">
                  <c:v>127.40209539131958</c:v>
                </c:pt>
                <c:pt idx="11">
                  <c:v>129.52648939190286</c:v>
                </c:pt>
                <c:pt idx="12">
                  <c:v>132.29104551836008</c:v>
                </c:pt>
                <c:pt idx="13">
                  <c:v>135.12198912144072</c:v>
                </c:pt>
                <c:pt idx="14">
                  <c:v>138.34472114290378</c:v>
                </c:pt>
                <c:pt idx="15">
                  <c:v>141.86529900339437</c:v>
                </c:pt>
                <c:pt idx="16">
                  <c:v>145.37170500941278</c:v>
                </c:pt>
                <c:pt idx="17">
                  <c:v>148.69565743233508</c:v>
                </c:pt>
                <c:pt idx="18">
                  <c:v>151.32572567542223</c:v>
                </c:pt>
                <c:pt idx="19">
                  <c:v>152.65425339002283</c:v>
                </c:pt>
                <c:pt idx="20">
                  <c:v>152.55221676355956</c:v>
                </c:pt>
                <c:pt idx="21">
                  <c:v>151.01754547328326</c:v>
                </c:pt>
                <c:pt idx="22">
                  <c:v>148.20067609090967</c:v>
                </c:pt>
                <c:pt idx="23">
                  <c:v>144.40610074717381</c:v>
                </c:pt>
                <c:pt idx="24">
                  <c:v>139.95141627964244</c:v>
                </c:pt>
                <c:pt idx="25">
                  <c:v>135.11398557250098</c:v>
                </c:pt>
                <c:pt idx="26">
                  <c:v>130.0795700595983</c:v>
                </c:pt>
                <c:pt idx="27">
                  <c:v>125.05991362921905</c:v>
                </c:pt>
                <c:pt idx="28">
                  <c:v>120.32684003060784</c:v>
                </c:pt>
                <c:pt idx="29">
                  <c:v>115.96025934130439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0D-4151-849E-363804032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447864"/>
        <c:axId val="434443160"/>
      </c:scatterChart>
      <c:valAx>
        <c:axId val="43444786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443160"/>
        <c:crosses val="autoZero"/>
        <c:crossBetween val="midCat"/>
      </c:valAx>
      <c:valAx>
        <c:axId val="434443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4478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396694214876033"/>
          <c:y val="2.82485875706214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2561983471074"/>
          <c:y val="0.13182698443933991"/>
          <c:w val="0.73884297520661157"/>
          <c:h val="0.777779208192105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4t'!$B$26:$AE$26</c:f>
              <c:numCache>
                <c:formatCode>0</c:formatCode>
                <c:ptCount val="30"/>
                <c:pt idx="0">
                  <c:v>545.92306553732601</c:v>
                </c:pt>
                <c:pt idx="1">
                  <c:v>584.78955578336195</c:v>
                </c:pt>
                <c:pt idx="2">
                  <c:v>621.37700488357598</c:v>
                </c:pt>
                <c:pt idx="3">
                  <c:v>655.90099700239705</c:v>
                </c:pt>
                <c:pt idx="4">
                  <c:v>687.76564311076902</c:v>
                </c:pt>
                <c:pt idx="5">
                  <c:v>718.190118133189</c:v>
                </c:pt>
                <c:pt idx="6">
                  <c:v>745.66599411848802</c:v>
                </c:pt>
                <c:pt idx="7">
                  <c:v>769.762208047689</c:v>
                </c:pt>
                <c:pt idx="8">
                  <c:v>789.72681079620304</c:v>
                </c:pt>
                <c:pt idx="9">
                  <c:v>805.05635425059404</c:v>
                </c:pt>
                <c:pt idx="10">
                  <c:v>815.45635056894798</c:v>
                </c:pt>
                <c:pt idx="11">
                  <c:v>819.47177187155603</c:v>
                </c:pt>
                <c:pt idx="12">
                  <c:v>819.59959603341304</c:v>
                </c:pt>
                <c:pt idx="13">
                  <c:v>815.44497521688299</c:v>
                </c:pt>
                <c:pt idx="14">
                  <c:v>804.31483439489398</c:v>
                </c:pt>
                <c:pt idx="15">
                  <c:v>787.81809558888006</c:v>
                </c:pt>
                <c:pt idx="16">
                  <c:v>768.24905410234601</c:v>
                </c:pt>
                <c:pt idx="17">
                  <c:v>746.01242161569098</c:v>
                </c:pt>
                <c:pt idx="18">
                  <c:v>721.57752411140598</c:v>
                </c:pt>
                <c:pt idx="19">
                  <c:v>695.60517947615801</c:v>
                </c:pt>
                <c:pt idx="20">
                  <c:v>668.49512524419197</c:v>
                </c:pt>
                <c:pt idx="21">
                  <c:v>640.44095450749398</c:v>
                </c:pt>
                <c:pt idx="22">
                  <c:v>611.93300078364996</c:v>
                </c:pt>
                <c:pt idx="23">
                  <c:v>583.75899616730896</c:v>
                </c:pt>
                <c:pt idx="24">
                  <c:v>556.39964140637005</c:v>
                </c:pt>
                <c:pt idx="25">
                  <c:v>529.88374866348704</c:v>
                </c:pt>
                <c:pt idx="26">
                  <c:v>504.234779784409</c:v>
                </c:pt>
                <c:pt idx="27">
                  <c:v>479.62297994710701</c:v>
                </c:pt>
                <c:pt idx="28">
                  <c:v>456.15298483044899</c:v>
                </c:pt>
                <c:pt idx="29">
                  <c:v>433.817829416086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41-4B48-99CA-8C5502F117B6}"/>
            </c:ext>
          </c:extLst>
        </c:ser>
        <c:ser>
          <c:idx val="1"/>
          <c:order val="1"/>
          <c:tx>
            <c:strRef>
              <c:f>'FT140-61 4t'!$A$27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4t'!$B$27:$AE$27</c:f>
              <c:numCache>
                <c:formatCode>0</c:formatCode>
                <c:ptCount val="30"/>
                <c:pt idx="0">
                  <c:v>317.27010072288101</c:v>
                </c:pt>
                <c:pt idx="1">
                  <c:v>294.31712868427599</c:v>
                </c:pt>
                <c:pt idx="2">
                  <c:v>270.11408680548698</c:v>
                </c:pt>
                <c:pt idx="3">
                  <c:v>243.079603695895</c:v>
                </c:pt>
                <c:pt idx="4">
                  <c:v>213.96636187631699</c:v>
                </c:pt>
                <c:pt idx="5">
                  <c:v>181.51164790414899</c:v>
                </c:pt>
                <c:pt idx="6">
                  <c:v>146.256063607931</c:v>
                </c:pt>
                <c:pt idx="7">
                  <c:v>108.246860976458</c:v>
                </c:pt>
                <c:pt idx="8">
                  <c:v>66.8306731064893</c:v>
                </c:pt>
                <c:pt idx="9">
                  <c:v>22.9294150429035</c:v>
                </c:pt>
                <c:pt idx="10">
                  <c:v>-21.8966720680801</c:v>
                </c:pt>
                <c:pt idx="11">
                  <c:v>-67.588000430564193</c:v>
                </c:pt>
                <c:pt idx="12">
                  <c:v>-113.942294365126</c:v>
                </c:pt>
                <c:pt idx="13">
                  <c:v>-159.91131537798699</c:v>
                </c:pt>
                <c:pt idx="14">
                  <c:v>-202.82617785675501</c:v>
                </c:pt>
                <c:pt idx="15">
                  <c:v>-242.28516132495201</c:v>
                </c:pt>
                <c:pt idx="16">
                  <c:v>-279.17996003204598</c:v>
                </c:pt>
                <c:pt idx="17">
                  <c:v>-313.15216097325498</c:v>
                </c:pt>
                <c:pt idx="18">
                  <c:v>-343.75068560263702</c:v>
                </c:pt>
                <c:pt idx="19">
                  <c:v>-370.71130555602798</c:v>
                </c:pt>
                <c:pt idx="20">
                  <c:v>-393.95237279462498</c:v>
                </c:pt>
                <c:pt idx="21">
                  <c:v>-413.46746233980701</c:v>
                </c:pt>
                <c:pt idx="22">
                  <c:v>-429.41328579270402</c:v>
                </c:pt>
                <c:pt idx="23">
                  <c:v>-442.22772361219899</c:v>
                </c:pt>
                <c:pt idx="24">
                  <c:v>-452.31976287776803</c:v>
                </c:pt>
                <c:pt idx="25">
                  <c:v>-459.841412410771</c:v>
                </c:pt>
                <c:pt idx="26">
                  <c:v>-464.99221421983702</c:v>
                </c:pt>
                <c:pt idx="27">
                  <c:v>-468.37757606670698</c:v>
                </c:pt>
                <c:pt idx="28">
                  <c:v>-470.61950588601798</c:v>
                </c:pt>
                <c:pt idx="29">
                  <c:v>-471.841162878548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41-4B48-99CA-8C5502F117B6}"/>
            </c:ext>
          </c:extLst>
        </c:ser>
        <c:ser>
          <c:idx val="2"/>
          <c:order val="2"/>
          <c:tx>
            <c:strRef>
              <c:f>'FT140-61 4t'!$A$28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4t'!$B$28:$AE$28</c:f>
              <c:numCache>
                <c:formatCode>0</c:formatCode>
                <c:ptCount val="30"/>
                <c:pt idx="0">
                  <c:v>631.42086622028773</c:v>
                </c:pt>
                <c:pt idx="1">
                  <c:v>654.67655891307004</c:v>
                </c:pt>
                <c:pt idx="2">
                  <c:v>677.54778583421387</c:v>
                </c:pt>
                <c:pt idx="3">
                  <c:v>699.49539784168121</c:v>
                </c:pt>
                <c:pt idx="4">
                  <c:v>720.27993437146142</c:v>
                </c:pt>
                <c:pt idx="5">
                  <c:v>740.7722484738772</c:v>
                </c:pt>
                <c:pt idx="6">
                  <c:v>759.87407570386301</c:v>
                </c:pt>
                <c:pt idx="7">
                  <c:v>777.33598903544294</c:v>
                </c:pt>
                <c:pt idx="8">
                  <c:v>792.54954075957198</c:v>
                </c:pt>
                <c:pt idx="9">
                  <c:v>805.38282300621972</c:v>
                </c:pt>
                <c:pt idx="10">
                  <c:v>815.75028282611345</c:v>
                </c:pt>
                <c:pt idx="11">
                  <c:v>822.25429320649312</c:v>
                </c:pt>
                <c:pt idx="12">
                  <c:v>827.48192987117409</c:v>
                </c:pt>
                <c:pt idx="13">
                  <c:v>830.97661603223287</c:v>
                </c:pt>
                <c:pt idx="14">
                  <c:v>829.49431056015419</c:v>
                </c:pt>
                <c:pt idx="15">
                  <c:v>824.23264381820479</c:v>
                </c:pt>
                <c:pt idx="16">
                  <c:v>817.403241498738</c:v>
                </c:pt>
                <c:pt idx="17">
                  <c:v>809.07280829794718</c:v>
                </c:pt>
                <c:pt idx="18">
                  <c:v>799.27383114614088</c:v>
                </c:pt>
                <c:pt idx="19">
                  <c:v>788.22169329517487</c:v>
                </c:pt>
                <c:pt idx="20">
                  <c:v>775.94085116441909</c:v>
                </c:pt>
                <c:pt idx="21">
                  <c:v>762.31224483422125</c:v>
                </c:pt>
                <c:pt idx="22">
                  <c:v>747.56790157374269</c:v>
                </c:pt>
                <c:pt idx="23">
                  <c:v>732.35232309148273</c:v>
                </c:pt>
                <c:pt idx="24">
                  <c:v>717.05908323299104</c:v>
                </c:pt>
                <c:pt idx="25">
                  <c:v>701.59169868635297</c:v>
                </c:pt>
                <c:pt idx="26">
                  <c:v>685.90850149950631</c:v>
                </c:pt>
                <c:pt idx="27">
                  <c:v>670.38478253572168</c:v>
                </c:pt>
                <c:pt idx="28">
                  <c:v>655.40694601913356</c:v>
                </c:pt>
                <c:pt idx="29">
                  <c:v>640.96177117349578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41-4B48-99CA-8C5502F11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778784"/>
        <c:axId val="440777216"/>
      </c:scatterChart>
      <c:valAx>
        <c:axId val="440778784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652892561983473"/>
              <c:y val="0.93032193009772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77216"/>
        <c:crosses val="autoZero"/>
        <c:crossBetween val="midCat"/>
      </c:valAx>
      <c:valAx>
        <c:axId val="440777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446280991735537E-2"/>
              <c:y val="0.435029039449164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787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578512396694211"/>
          <c:y val="0.46327762701978631"/>
          <c:w val="8.0991735537190079E-2"/>
          <c:h val="0.114877787169259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8448914182756855"/>
          <c:y val="2.819548872180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3157906813457118"/>
          <c:w val="0.80363165808010084"/>
          <c:h val="0.7424818844736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4t'!$B$19:$AE$19</c:f>
              <c:numCache>
                <c:formatCode>0</c:formatCode>
                <c:ptCount val="30"/>
                <c:pt idx="0">
                  <c:v>73.150000000000006</c:v>
                </c:pt>
                <c:pt idx="1">
                  <c:v>69.900703656001923</c:v>
                </c:pt>
                <c:pt idx="2">
                  <c:v>66.892326420374161</c:v>
                </c:pt>
                <c:pt idx="3">
                  <c:v>64.196133003784468</c:v>
                </c:pt>
                <c:pt idx="4">
                  <c:v>61.700281397899587</c:v>
                </c:pt>
                <c:pt idx="5">
                  <c:v>59.54310614721949</c:v>
                </c:pt>
                <c:pt idx="6">
                  <c:v>57.57973921271163</c:v>
                </c:pt>
                <c:pt idx="7">
                  <c:v>55.79301765363266</c:v>
                </c:pt>
                <c:pt idx="8">
                  <c:v>54.205525336336166</c:v>
                </c:pt>
                <c:pt idx="9">
                  <c:v>52.77377266149599</c:v>
                </c:pt>
                <c:pt idx="10">
                  <c:v>51.43</c:v>
                </c:pt>
                <c:pt idx="11">
                  <c:v>50.177772097456838</c:v>
                </c:pt>
                <c:pt idx="12">
                  <c:v>49.090120624888741</c:v>
                </c:pt>
                <c:pt idx="13">
                  <c:v>48.115474095358238</c:v>
                </c:pt>
                <c:pt idx="14">
                  <c:v>47.116383484825207</c:v>
                </c:pt>
                <c:pt idx="15">
                  <c:v>46.128780763385315</c:v>
                </c:pt>
                <c:pt idx="16">
                  <c:v>45.228081203491477</c:v>
                </c:pt>
                <c:pt idx="17">
                  <c:v>44.401949429431291</c:v>
                </c:pt>
                <c:pt idx="18">
                  <c:v>43.628799587229473</c:v>
                </c:pt>
                <c:pt idx="19">
                  <c:v>42.889793992214912</c:v>
                </c:pt>
                <c:pt idx="20">
                  <c:v>42.176265353918033</c:v>
                </c:pt>
                <c:pt idx="21">
                  <c:v>41.487295079807176</c:v>
                </c:pt>
                <c:pt idx="22">
                  <c:v>40.820505043383079</c:v>
                </c:pt>
                <c:pt idx="23">
                  <c:v>40.171360576909088</c:v>
                </c:pt>
                <c:pt idx="24">
                  <c:v>39.535616980310792</c:v>
                </c:pt>
                <c:pt idx="25">
                  <c:v>38.909999999999997</c:v>
                </c:pt>
                <c:pt idx="26">
                  <c:v>38.294908017447575</c:v>
                </c:pt>
                <c:pt idx="27">
                  <c:v>37.704913839514433</c:v>
                </c:pt>
                <c:pt idx="28">
                  <c:v>37.156684638935729</c:v>
                </c:pt>
                <c:pt idx="29">
                  <c:v>36.645279506102625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9B-4E5B-B59B-BFB613714AFF}"/>
            </c:ext>
          </c:extLst>
        </c:ser>
        <c:ser>
          <c:idx val="1"/>
          <c:order val="1"/>
          <c:tx>
            <c:strRef>
              <c:f>'FT140-61 4t'!$A$20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4t'!$B$20:$AE$20</c:f>
              <c:numCache>
                <c:formatCode>0</c:formatCode>
                <c:ptCount val="30"/>
                <c:pt idx="0">
                  <c:v>64.33</c:v>
                </c:pt>
                <c:pt idx="1">
                  <c:v>58.195687025583865</c:v>
                </c:pt>
                <c:pt idx="2">
                  <c:v>53.298329461685185</c:v>
                </c:pt>
                <c:pt idx="3">
                  <c:v>49.217282367345469</c:v>
                </c:pt>
                <c:pt idx="4">
                  <c:v>45.806753054488759</c:v>
                </c:pt>
                <c:pt idx="5">
                  <c:v>42.9191925994973</c:v>
                </c:pt>
                <c:pt idx="6">
                  <c:v>40.429233744265879</c:v>
                </c:pt>
                <c:pt idx="7">
                  <c:v>38.253481638071122</c:v>
                </c:pt>
                <c:pt idx="8">
                  <c:v>36.281743090432563</c:v>
                </c:pt>
                <c:pt idx="9">
                  <c:v>34.497730781510072</c:v>
                </c:pt>
                <c:pt idx="10">
                  <c:v>32.9</c:v>
                </c:pt>
                <c:pt idx="11">
                  <c:v>31.367498280330398</c:v>
                </c:pt>
                <c:pt idx="12">
                  <c:v>30.024364154999088</c:v>
                </c:pt>
                <c:pt idx="13">
                  <c:v>28.837075978733935</c:v>
                </c:pt>
                <c:pt idx="14">
                  <c:v>27.625820813954022</c:v>
                </c:pt>
                <c:pt idx="15">
                  <c:v>26.427870384907788</c:v>
                </c:pt>
                <c:pt idx="16">
                  <c:v>25.332384768299708</c:v>
                </c:pt>
                <c:pt idx="17">
                  <c:v>24.323846236154409</c:v>
                </c:pt>
                <c:pt idx="18">
                  <c:v>23.386315032811208</c:v>
                </c:pt>
                <c:pt idx="19">
                  <c:v>22.513674461563141</c:v>
                </c:pt>
                <c:pt idx="20">
                  <c:v>21.686639819566388</c:v>
                </c:pt>
                <c:pt idx="21">
                  <c:v>20.876177117147432</c:v>
                </c:pt>
                <c:pt idx="22">
                  <c:v>20.076238310032796</c:v>
                </c:pt>
                <c:pt idx="23">
                  <c:v>19.31091253020557</c:v>
                </c:pt>
                <c:pt idx="24">
                  <c:v>18.59209957918106</c:v>
                </c:pt>
                <c:pt idx="25">
                  <c:v>17.899999999999999</c:v>
                </c:pt>
                <c:pt idx="26">
                  <c:v>17.218929944337621</c:v>
                </c:pt>
                <c:pt idx="27">
                  <c:v>16.566828690007725</c:v>
                </c:pt>
                <c:pt idx="28">
                  <c:v>15.968110555070552</c:v>
                </c:pt>
                <c:pt idx="29">
                  <c:v>15.418335526208111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9B-4E5B-B59B-BFB613714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773296"/>
        <c:axId val="440779568"/>
      </c:scatterChart>
      <c:valAx>
        <c:axId val="440773296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8778947186057183"/>
              <c:y val="0.93045191719456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79568"/>
        <c:crosses val="autoZero"/>
        <c:crossBetween val="midCat"/>
      </c:valAx>
      <c:valAx>
        <c:axId val="440779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732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24231005777734"/>
          <c:y val="0.46428610897322042"/>
          <c:w val="7.7557929021248584E-2"/>
          <c:h val="7.70676691729322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396694214876033"/>
          <c:y val="2.82485875706214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2561983471074"/>
          <c:y val="0.13182698443933991"/>
          <c:w val="0.73884297520661157"/>
          <c:h val="0.777779208192105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(3)'!$A$26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(3)'!$B$26:$AE$26</c:f>
              <c:numCache>
                <c:formatCode>0</c:formatCode>
                <c:ptCount val="30"/>
                <c:pt idx="0">
                  <c:v>166.704210826268</c:v>
                </c:pt>
                <c:pt idx="1">
                  <c:v>172.77802906972499</c:v>
                </c:pt>
                <c:pt idx="2">
                  <c:v>179.617556650415</c:v>
                </c:pt>
                <c:pt idx="3">
                  <c:v>186.46450342625801</c:v>
                </c:pt>
                <c:pt idx="4">
                  <c:v>192.824356399039</c:v>
                </c:pt>
                <c:pt idx="5">
                  <c:v>199.55631040137499</c:v>
                </c:pt>
                <c:pt idx="6">
                  <c:v>206.49937126165801</c:v>
                </c:pt>
                <c:pt idx="7">
                  <c:v>213.34024934826201</c:v>
                </c:pt>
                <c:pt idx="8">
                  <c:v>219.686025343529</c:v>
                </c:pt>
                <c:pt idx="9">
                  <c:v>225.408357898991</c:v>
                </c:pt>
                <c:pt idx="10">
                  <c:v>230.263914864387</c:v>
                </c:pt>
                <c:pt idx="11">
                  <c:v>234.38782827375201</c:v>
                </c:pt>
                <c:pt idx="12">
                  <c:v>238.24849579167699</c:v>
                </c:pt>
                <c:pt idx="13">
                  <c:v>240.17856572801799</c:v>
                </c:pt>
                <c:pt idx="14">
                  <c:v>241.40242377161599</c:v>
                </c:pt>
                <c:pt idx="15">
                  <c:v>241.26454797941699</c:v>
                </c:pt>
                <c:pt idx="16">
                  <c:v>239.13082072394101</c:v>
                </c:pt>
                <c:pt idx="17">
                  <c:v>235.46426430482799</c:v>
                </c:pt>
                <c:pt idx="18">
                  <c:v>230.06389617910401</c:v>
                </c:pt>
                <c:pt idx="19">
                  <c:v>223.68437510220599</c:v>
                </c:pt>
                <c:pt idx="20">
                  <c:v>216.06727060787699</c:v>
                </c:pt>
                <c:pt idx="21">
                  <c:v>207.44933326911499</c:v>
                </c:pt>
                <c:pt idx="22">
                  <c:v>197.94248312596</c:v>
                </c:pt>
                <c:pt idx="23">
                  <c:v>187.64290297119601</c:v>
                </c:pt>
                <c:pt idx="24">
                  <c:v>176.82705965211801</c:v>
                </c:pt>
                <c:pt idx="25">
                  <c:v>165.46953418775101</c:v>
                </c:pt>
                <c:pt idx="26">
                  <c:v>153.83682008106501</c:v>
                </c:pt>
                <c:pt idx="27">
                  <c:v>142.34481834552801</c:v>
                </c:pt>
                <c:pt idx="28">
                  <c:v>131.247281019589</c:v>
                </c:pt>
                <c:pt idx="29">
                  <c:v>120.24279872338499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B9-42D7-B72A-E50BB3A47E6E}"/>
            </c:ext>
          </c:extLst>
        </c:ser>
        <c:ser>
          <c:idx val="1"/>
          <c:order val="1"/>
          <c:tx>
            <c:strRef>
              <c:f>'FT140-61 4t (3)'!$A$27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(3)'!$B$27:$AE$27</c:f>
              <c:numCache>
                <c:formatCode>0</c:formatCode>
                <c:ptCount val="30"/>
                <c:pt idx="0">
                  <c:v>78.861982139657698</c:v>
                </c:pt>
                <c:pt idx="1">
                  <c:v>76.587595988498506</c:v>
                </c:pt>
                <c:pt idx="2">
                  <c:v>74.154648861323693</c:v>
                </c:pt>
                <c:pt idx="3">
                  <c:v>71.044152081415405</c:v>
                </c:pt>
                <c:pt idx="4">
                  <c:v>66.888243411644893</c:v>
                </c:pt>
                <c:pt idx="5">
                  <c:v>62.138702276579103</c:v>
                </c:pt>
                <c:pt idx="6">
                  <c:v>56.691566142429203</c:v>
                </c:pt>
                <c:pt idx="7">
                  <c:v>50.499004740364803</c:v>
                </c:pt>
                <c:pt idx="8">
                  <c:v>43.103034781171402</c:v>
                </c:pt>
                <c:pt idx="9">
                  <c:v>34.7099191832312</c:v>
                </c:pt>
                <c:pt idx="10">
                  <c:v>25.467134927978801</c:v>
                </c:pt>
                <c:pt idx="11">
                  <c:v>15.2573019503937</c:v>
                </c:pt>
                <c:pt idx="12">
                  <c:v>4.2981568843567803</c:v>
                </c:pt>
                <c:pt idx="13">
                  <c:v>-7.5060163462468701</c:v>
                </c:pt>
                <c:pt idx="14">
                  <c:v>-19.6122360949601</c:v>
                </c:pt>
                <c:pt idx="15">
                  <c:v>-32.301355706209897</c:v>
                </c:pt>
                <c:pt idx="16">
                  <c:v>-45.138051141263901</c:v>
                </c:pt>
                <c:pt idx="17">
                  <c:v>-57.518245011693999</c:v>
                </c:pt>
                <c:pt idx="18">
                  <c:v>-69.529561848615302</c:v>
                </c:pt>
                <c:pt idx="19">
                  <c:v>-80.938593983832305</c:v>
                </c:pt>
                <c:pt idx="20">
                  <c:v>-91.559218632681294</c:v>
                </c:pt>
                <c:pt idx="21">
                  <c:v>-101.441901319629</c:v>
                </c:pt>
                <c:pt idx="22">
                  <c:v>-110.139322590866</c:v>
                </c:pt>
                <c:pt idx="23">
                  <c:v>-117.38455564084801</c:v>
                </c:pt>
                <c:pt idx="24">
                  <c:v>-123.742667754487</c:v>
                </c:pt>
                <c:pt idx="25">
                  <c:v>-128.86201457928601</c:v>
                </c:pt>
                <c:pt idx="26">
                  <c:v>-132.940239834294</c:v>
                </c:pt>
                <c:pt idx="27">
                  <c:v>-135.50095791995801</c:v>
                </c:pt>
                <c:pt idx="28">
                  <c:v>-136.93732671697501</c:v>
                </c:pt>
                <c:pt idx="29">
                  <c:v>-137.55074752817501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B9-42D7-B72A-E50BB3A47E6E}"/>
            </c:ext>
          </c:extLst>
        </c:ser>
        <c:ser>
          <c:idx val="2"/>
          <c:order val="2"/>
          <c:tx>
            <c:strRef>
              <c:f>'FT140-61 4t (3)'!$A$28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(3)'!$B$28:$AE$28</c:f>
              <c:numCache>
                <c:formatCode>0</c:formatCode>
                <c:ptCount val="30"/>
                <c:pt idx="0">
                  <c:v>184.41666446990223</c:v>
                </c:pt>
                <c:pt idx="1">
                  <c:v>188.99181778192465</c:v>
                </c:pt>
                <c:pt idx="2">
                  <c:v>194.32287205784925</c:v>
                </c:pt>
                <c:pt idx="3">
                  <c:v>199.54017786643436</c:v>
                </c:pt>
                <c:pt idx="4">
                  <c:v>204.09622614688169</c:v>
                </c:pt>
                <c:pt idx="5">
                  <c:v>209.00703179947621</c:v>
                </c:pt>
                <c:pt idx="6">
                  <c:v>214.13996358256321</c:v>
                </c:pt>
                <c:pt idx="7">
                  <c:v>219.23551599078553</c:v>
                </c:pt>
                <c:pt idx="8">
                  <c:v>223.8745660824037</c:v>
                </c:pt>
                <c:pt idx="9">
                  <c:v>228.06513609148172</c:v>
                </c:pt>
                <c:pt idx="10">
                  <c:v>231.6679637975729</c:v>
                </c:pt>
                <c:pt idx="11">
                  <c:v>234.88388472964965</c:v>
                </c:pt>
                <c:pt idx="12">
                  <c:v>238.28726340196883</c:v>
                </c:pt>
                <c:pt idx="13">
                  <c:v>240.29582542474179</c:v>
                </c:pt>
                <c:pt idx="14">
                  <c:v>242.19779108706857</c:v>
                </c:pt>
                <c:pt idx="15">
                  <c:v>243.4172543025073</c:v>
                </c:pt>
                <c:pt idx="16">
                  <c:v>243.35363790364215</c:v>
                </c:pt>
                <c:pt idx="17">
                  <c:v>242.38764051378354</c:v>
                </c:pt>
                <c:pt idx="18">
                  <c:v>240.34091681603024</c:v>
                </c:pt>
                <c:pt idx="19">
                  <c:v>237.87760647220253</c:v>
                </c:pt>
                <c:pt idx="20">
                  <c:v>234.66605196441321</c:v>
                </c:pt>
                <c:pt idx="21">
                  <c:v>230.92354842488822</c:v>
                </c:pt>
                <c:pt idx="22">
                  <c:v>226.52129481981558</c:v>
                </c:pt>
                <c:pt idx="23">
                  <c:v>221.33457239766457</c:v>
                </c:pt>
                <c:pt idx="24">
                  <c:v>215.82413407265429</c:v>
                </c:pt>
                <c:pt idx="25">
                  <c:v>209.72740771235271</c:v>
                </c:pt>
                <c:pt idx="26">
                  <c:v>203.31963648367457</c:v>
                </c:pt>
                <c:pt idx="27">
                  <c:v>196.52622447665246</c:v>
                </c:pt>
                <c:pt idx="28">
                  <c:v>189.67783271491302</c:v>
                </c:pt>
                <c:pt idx="29">
                  <c:v>182.69794413291086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B9-42D7-B72A-E50BB3A47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772904"/>
        <c:axId val="440778392"/>
      </c:scatterChart>
      <c:valAx>
        <c:axId val="440772904"/>
        <c:scaling>
          <c:orientation val="minMax"/>
          <c:max val="5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652892561983473"/>
              <c:y val="0.93032193009772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78392"/>
        <c:crosses val="autoZero"/>
        <c:crossBetween val="midCat"/>
      </c:valAx>
      <c:valAx>
        <c:axId val="440778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446280991735537E-2"/>
              <c:y val="0.435029039449164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07729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578512396694211"/>
          <c:y val="0.46327762701978631"/>
          <c:w val="8.0991735537190079E-2"/>
          <c:h val="0.114877787169259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8448914182756855"/>
          <c:y val="2.819548872180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3157906813457118"/>
          <c:w val="0.80363165808010084"/>
          <c:h val="0.7424818844736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(3)'!$A$19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(3)'!$B$19:$AE$19</c:f>
              <c:numCache>
                <c:formatCode>0</c:formatCode>
                <c:ptCount val="30"/>
                <c:pt idx="0">
                  <c:v>51.43</c:v>
                </c:pt>
                <c:pt idx="1">
                  <c:v>49.945001859114114</c:v>
                </c:pt>
                <c:pt idx="2">
                  <c:v>48.625690017636998</c:v>
                </c:pt>
                <c:pt idx="3">
                  <c:v>47.298347849609428</c:v>
                </c:pt>
                <c:pt idx="4">
                  <c:v>45.895719521863711</c:v>
                </c:pt>
                <c:pt idx="5">
                  <c:v>44.590994733889126</c:v>
                </c:pt>
                <c:pt idx="6">
                  <c:v>43.351968258135472</c:v>
                </c:pt>
                <c:pt idx="7">
                  <c:v>42.125425282827749</c:v>
                </c:pt>
                <c:pt idx="8">
                  <c:v>40.901499433613061</c:v>
                </c:pt>
                <c:pt idx="9">
                  <c:v>39.668443434802072</c:v>
                </c:pt>
                <c:pt idx="10">
                  <c:v>38.406156248503166</c:v>
                </c:pt>
                <c:pt idx="11">
                  <c:v>37.174617826923182</c:v>
                </c:pt>
                <c:pt idx="12">
                  <c:v>36.027911474294029</c:v>
                </c:pt>
                <c:pt idx="13">
                  <c:v>34.812782297623777</c:v>
                </c:pt>
                <c:pt idx="14">
                  <c:v>33.638720749274846</c:v>
                </c:pt>
                <c:pt idx="15">
                  <c:v>32.49543453791933</c:v>
                </c:pt>
                <c:pt idx="16">
                  <c:v>31.322107454113251</c:v>
                </c:pt>
                <c:pt idx="17">
                  <c:v>30.124653698593889</c:v>
                </c:pt>
                <c:pt idx="18">
                  <c:v>28.929960600048361</c:v>
                </c:pt>
                <c:pt idx="19">
                  <c:v>27.776875487134532</c:v>
                </c:pt>
                <c:pt idx="20">
                  <c:v>26.646508501067313</c:v>
                </c:pt>
                <c:pt idx="21">
                  <c:v>25.570182375238179</c:v>
                </c:pt>
                <c:pt idx="22">
                  <c:v>24.509878050873301</c:v>
                </c:pt>
                <c:pt idx="23">
                  <c:v>23.444049610769046</c:v>
                </c:pt>
                <c:pt idx="24">
                  <c:v>22.453176141397329</c:v>
                </c:pt>
                <c:pt idx="25">
                  <c:v>21.499241655460377</c:v>
                </c:pt>
                <c:pt idx="26">
                  <c:v>20.611692269555039</c:v>
                </c:pt>
                <c:pt idx="27">
                  <c:v>19.71942652957603</c:v>
                </c:pt>
                <c:pt idx="28">
                  <c:v>18.858054906855191</c:v>
                </c:pt>
                <c:pt idx="29">
                  <c:v>18.070934691508107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29-4544-87A3-C025BF4C5A25}"/>
            </c:ext>
          </c:extLst>
        </c:ser>
        <c:ser>
          <c:idx val="1"/>
          <c:order val="1"/>
          <c:tx>
            <c:strRef>
              <c:f>'FT140-61 4t (3)'!$A$20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(3)'!$B$18:$AE$18</c:f>
              <c:numCache>
                <c:formatCode>0.000</c:formatCode>
                <c:ptCount val="30"/>
                <c:pt idx="0">
                  <c:v>100</c:v>
                </c:pt>
                <c:pt idx="1">
                  <c:v>106</c:v>
                </c:pt>
                <c:pt idx="2">
                  <c:v>112.36</c:v>
                </c:pt>
                <c:pt idx="3">
                  <c:v>119.1016</c:v>
                </c:pt>
                <c:pt idx="4">
                  <c:v>126.247696</c:v>
                </c:pt>
                <c:pt idx="5">
                  <c:v>133.82255776000002</c:v>
                </c:pt>
                <c:pt idx="6">
                  <c:v>141.85191122560002</c:v>
                </c:pt>
                <c:pt idx="7">
                  <c:v>150.36302589913603</c:v>
                </c:pt>
                <c:pt idx="8">
                  <c:v>159.38480745308419</c:v>
                </c:pt>
                <c:pt idx="9">
                  <c:v>168.94789590026926</c:v>
                </c:pt>
                <c:pt idx="10">
                  <c:v>179.08476965428542</c:v>
                </c:pt>
                <c:pt idx="11">
                  <c:v>189.82985583354255</c:v>
                </c:pt>
                <c:pt idx="12">
                  <c:v>201.21964718355511</c:v>
                </c:pt>
                <c:pt idx="13">
                  <c:v>213.29282601456842</c:v>
                </c:pt>
                <c:pt idx="14">
                  <c:v>226.09039557544253</c:v>
                </c:pt>
                <c:pt idx="15">
                  <c:v>239.6558193099691</c:v>
                </c:pt>
                <c:pt idx="16">
                  <c:v>254.03516846856726</c:v>
                </c:pt>
                <c:pt idx="17">
                  <c:v>269.27727857668134</c:v>
                </c:pt>
                <c:pt idx="18">
                  <c:v>285.43391529128223</c:v>
                </c:pt>
                <c:pt idx="19">
                  <c:v>302.55995020875918</c:v>
                </c:pt>
                <c:pt idx="20">
                  <c:v>320.71354722128473</c:v>
                </c:pt>
                <c:pt idx="21">
                  <c:v>339.95636005456186</c:v>
                </c:pt>
                <c:pt idx="22">
                  <c:v>360.3537416578356</c:v>
                </c:pt>
                <c:pt idx="23">
                  <c:v>381.97496615730574</c:v>
                </c:pt>
                <c:pt idx="24">
                  <c:v>404.89346412674411</c:v>
                </c:pt>
                <c:pt idx="25">
                  <c:v>429.18707197434878</c:v>
                </c:pt>
                <c:pt idx="26">
                  <c:v>454.93829629280975</c:v>
                </c:pt>
                <c:pt idx="27">
                  <c:v>482.23459407037836</c:v>
                </c:pt>
                <c:pt idx="28">
                  <c:v>511.16866971460109</c:v>
                </c:pt>
                <c:pt idx="29">
                  <c:v>541.83878989747723</c:v>
                </c:pt>
              </c:numCache>
            </c:numRef>
          </c:xVal>
          <c:yVal>
            <c:numRef>
              <c:f>'FT140-61 4t (3)'!$B$20:$AE$20</c:f>
              <c:numCache>
                <c:formatCode>0</c:formatCode>
                <c:ptCount val="30"/>
                <c:pt idx="0">
                  <c:v>32.9</c:v>
                </c:pt>
                <c:pt idx="1">
                  <c:v>31.078812373580771</c:v>
                </c:pt>
                <c:pt idx="2">
                  <c:v>29.45708587299038</c:v>
                </c:pt>
                <c:pt idx="3">
                  <c:v>27.846393530786482</c:v>
                </c:pt>
                <c:pt idx="4">
                  <c:v>26.144767094763431</c:v>
                </c:pt>
                <c:pt idx="5">
                  <c:v>24.554729804905289</c:v>
                </c:pt>
                <c:pt idx="6">
                  <c:v>23.056029232278391</c:v>
                </c:pt>
                <c:pt idx="7">
                  <c:v>21.627574568860808</c:v>
                </c:pt>
                <c:pt idx="8">
                  <c:v>20.173319194654429</c:v>
                </c:pt>
                <c:pt idx="9">
                  <c:v>18.740325957775624</c:v>
                </c:pt>
                <c:pt idx="10">
                  <c:v>17.342208147725188</c:v>
                </c:pt>
                <c:pt idx="11">
                  <c:v>15.987535632934017</c:v>
                </c:pt>
                <c:pt idx="12">
                  <c:v>14.76247421749761</c:v>
                </c:pt>
                <c:pt idx="13">
                  <c:v>13.493342805679609</c:v>
                </c:pt>
                <c:pt idx="14">
                  <c:v>12.362454455220307</c:v>
                </c:pt>
                <c:pt idx="15">
                  <c:v>11.271615927365524</c:v>
                </c:pt>
                <c:pt idx="16">
                  <c:v>10.183313101945837</c:v>
                </c:pt>
                <c:pt idx="17">
                  <c:v>9.1738644488517558</c:v>
                </c:pt>
                <c:pt idx="18">
                  <c:v>8.1917685225220911</c:v>
                </c:pt>
                <c:pt idx="19">
                  <c:v>7.3147251733427145</c:v>
                </c:pt>
                <c:pt idx="20">
                  <c:v>6.4991274466669982</c:v>
                </c:pt>
                <c:pt idx="21">
                  <c:v>5.7480367003667121</c:v>
                </c:pt>
                <c:pt idx="22">
                  <c:v>5.0635217909966501</c:v>
                </c:pt>
                <c:pt idx="23">
                  <c:v>4.4306549097756891</c:v>
                </c:pt>
                <c:pt idx="24">
                  <c:v>3.848473065720821</c:v>
                </c:pt>
                <c:pt idx="25">
                  <c:v>3.2919403794688438</c:v>
                </c:pt>
                <c:pt idx="26">
                  <c:v>2.7701248618936001</c:v>
                </c:pt>
                <c:pt idx="27">
                  <c:v>2.3040433608866033</c:v>
                </c:pt>
                <c:pt idx="28">
                  <c:v>1.9081441349945598</c:v>
                </c:pt>
                <c:pt idx="29">
                  <c:v>1.5293975245360434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29-4544-87A3-C025BF4C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153152"/>
        <c:axId val="435898480"/>
      </c:scatterChart>
      <c:valAx>
        <c:axId val="433153152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8778947186057183"/>
              <c:y val="0.93045191719456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5898480"/>
        <c:crosses val="autoZero"/>
        <c:crossBetween val="midCat"/>
      </c:valAx>
      <c:valAx>
        <c:axId val="435898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1531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24231005777734"/>
          <c:y val="0.46428610897322042"/>
          <c:w val="7.7557929021248584E-2"/>
          <c:h val="7.70676691729322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396694214876033"/>
          <c:y val="2.82485875706214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553719008264462"/>
          <c:y val="0.13182698443933991"/>
          <c:w val="0.73223140495867767"/>
          <c:h val="0.77777920819210544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(2)'!$A$26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(2)'!$B$26:$AE$26</c:f>
              <c:numCache>
                <c:formatCode>0</c:formatCode>
                <c:ptCount val="30"/>
                <c:pt idx="0">
                  <c:v>1081.7988179945301</c:v>
                </c:pt>
                <c:pt idx="1">
                  <c:v>1128.8693142591701</c:v>
                </c:pt>
                <c:pt idx="2">
                  <c:v>1154.1606169812101</c:v>
                </c:pt>
                <c:pt idx="3">
                  <c:v>1156.1974636124201</c:v>
                </c:pt>
                <c:pt idx="4">
                  <c:v>1137.2828993727101</c:v>
                </c:pt>
                <c:pt idx="5">
                  <c:v>1100.1435975750701</c:v>
                </c:pt>
                <c:pt idx="6">
                  <c:v>1048.3604726047499</c:v>
                </c:pt>
                <c:pt idx="7">
                  <c:v>986.34750832070199</c:v>
                </c:pt>
                <c:pt idx="8">
                  <c:v>917.30899515692499</c:v>
                </c:pt>
                <c:pt idx="9">
                  <c:v>845.76706793100004</c:v>
                </c:pt>
                <c:pt idx="10">
                  <c:v>775.68892332065195</c:v>
                </c:pt>
                <c:pt idx="11">
                  <c:v>708.16776145871404</c:v>
                </c:pt>
                <c:pt idx="12">
                  <c:v>644.66910965524096</c:v>
                </c:pt>
                <c:pt idx="13">
                  <c:v>586.00188023943997</c:v>
                </c:pt>
                <c:pt idx="14">
                  <c:v>533.09746212622395</c:v>
                </c:pt>
                <c:pt idx="15">
                  <c:v>485.72211328974299</c:v>
                </c:pt>
                <c:pt idx="16">
                  <c:v>443.012861606179</c:v>
                </c:pt>
                <c:pt idx="17">
                  <c:v>404.60330761199901</c:v>
                </c:pt>
                <c:pt idx="18">
                  <c:v>370.20350394962702</c:v>
                </c:pt>
                <c:pt idx="19">
                  <c:v>339.50263605603101</c:v>
                </c:pt>
                <c:pt idx="20">
                  <c:v>312.11321929318001</c:v>
                </c:pt>
                <c:pt idx="21">
                  <c:v>287.63827145338502</c:v>
                </c:pt>
                <c:pt idx="22">
                  <c:v>265.74656175464997</c:v>
                </c:pt>
                <c:pt idx="23">
                  <c:v>246.14689469110499</c:v>
                </c:pt>
                <c:pt idx="24">
                  <c:v>228.570974743146</c:v>
                </c:pt>
                <c:pt idx="25">
                  <c:v>212.78764333319401</c:v>
                </c:pt>
                <c:pt idx="26">
                  <c:v>198.58054838835201</c:v>
                </c:pt>
                <c:pt idx="27">
                  <c:v>185.67928654660699</c:v>
                </c:pt>
                <c:pt idx="28">
                  <c:v>173.83798355704499</c:v>
                </c:pt>
                <c:pt idx="29">
                  <c:v>162.956408240364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6-4CB9-8FAC-FD5024BEE511}"/>
            </c:ext>
          </c:extLst>
        </c:ser>
        <c:ser>
          <c:idx val="1"/>
          <c:order val="1"/>
          <c:tx>
            <c:strRef>
              <c:f>'FT140-61 4t (2)'!$A$27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(2)'!$B$27:$AE$27</c:f>
              <c:numCache>
                <c:formatCode>0</c:formatCode>
                <c:ptCount val="30"/>
                <c:pt idx="0">
                  <c:v>253.29770208212801</c:v>
                </c:pt>
                <c:pt idx="1">
                  <c:v>135.69585192462901</c:v>
                </c:pt>
                <c:pt idx="2">
                  <c:v>15.5136330082548</c:v>
                </c:pt>
                <c:pt idx="3">
                  <c:v>-104.29354847254299</c:v>
                </c:pt>
                <c:pt idx="4">
                  <c:v>-216.882058737725</c:v>
                </c:pt>
                <c:pt idx="5">
                  <c:v>-321.078245777044</c:v>
                </c:pt>
                <c:pt idx="6">
                  <c:v>-411.55717426367897</c:v>
                </c:pt>
                <c:pt idx="7">
                  <c:v>-486.73529330346901</c:v>
                </c:pt>
                <c:pt idx="8">
                  <c:v>-546.40828111979295</c:v>
                </c:pt>
                <c:pt idx="9">
                  <c:v>-591.12770937198104</c:v>
                </c:pt>
                <c:pt idx="10">
                  <c:v>-622.38556311955199</c:v>
                </c:pt>
                <c:pt idx="11">
                  <c:v>-641.42194908986198</c:v>
                </c:pt>
                <c:pt idx="12">
                  <c:v>-652.63829879321702</c:v>
                </c:pt>
                <c:pt idx="13">
                  <c:v>-657.23608757349598</c:v>
                </c:pt>
                <c:pt idx="14">
                  <c:v>-654.50504354805901</c:v>
                </c:pt>
                <c:pt idx="15">
                  <c:v>-646.94027021923398</c:v>
                </c:pt>
                <c:pt idx="16">
                  <c:v>-636.98840176723195</c:v>
                </c:pt>
                <c:pt idx="17">
                  <c:v>-625.31773699269297</c:v>
                </c:pt>
                <c:pt idx="18">
                  <c:v>-612.42618664115901</c:v>
                </c:pt>
                <c:pt idx="19">
                  <c:v>-598.78228853377595</c:v>
                </c:pt>
                <c:pt idx="20">
                  <c:v>-584.64905033089497</c:v>
                </c:pt>
                <c:pt idx="21">
                  <c:v>-570.14911967992805</c:v>
                </c:pt>
                <c:pt idx="22">
                  <c:v>-555.51184174969603</c:v>
                </c:pt>
                <c:pt idx="23">
                  <c:v>-541.08648831771302</c:v>
                </c:pt>
                <c:pt idx="24">
                  <c:v>-527.061156331147</c:v>
                </c:pt>
                <c:pt idx="25">
                  <c:v>-513.39699465420699</c:v>
                </c:pt>
                <c:pt idx="26">
                  <c:v>-500.07091839296697</c:v>
                </c:pt>
                <c:pt idx="27">
                  <c:v>-487.21118818530903</c:v>
                </c:pt>
                <c:pt idx="28">
                  <c:v>-474.93794852933098</c:v>
                </c:pt>
                <c:pt idx="29">
                  <c:v>-463.22088558939998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D6-4CB9-8FAC-FD5024BEE511}"/>
            </c:ext>
          </c:extLst>
        </c:ser>
        <c:ser>
          <c:idx val="2"/>
          <c:order val="2"/>
          <c:tx>
            <c:strRef>
              <c:f>'FT140-61 4t (2)'!$A$28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(2)'!$B$28:$AE$28</c:f>
              <c:numCache>
                <c:formatCode>0</c:formatCode>
                <c:ptCount val="30"/>
                <c:pt idx="0">
                  <c:v>1111.0573380768649</c:v>
                </c:pt>
                <c:pt idx="1">
                  <c:v>1136.9957312609049</c:v>
                </c:pt>
                <c:pt idx="2">
                  <c:v>1154.2648754075306</c:v>
                </c:pt>
                <c:pt idx="3">
                  <c:v>1160.8917775213965</c:v>
                </c:pt>
                <c:pt idx="4">
                  <c:v>1157.7781396312128</c:v>
                </c:pt>
                <c:pt idx="5">
                  <c:v>1146.039779063834</c:v>
                </c:pt>
                <c:pt idx="6">
                  <c:v>1126.2499670179611</c:v>
                </c:pt>
                <c:pt idx="7">
                  <c:v>1099.9057472882262</c:v>
                </c:pt>
                <c:pt idx="8">
                  <c:v>1067.7161618483135</c:v>
                </c:pt>
                <c:pt idx="9">
                  <c:v>1031.8691302602119</c:v>
                </c:pt>
                <c:pt idx="10">
                  <c:v>994.51349661127983</c:v>
                </c:pt>
                <c:pt idx="11">
                  <c:v>955.47040516369918</c:v>
                </c:pt>
                <c:pt idx="12">
                  <c:v>917.35217337475456</c:v>
                </c:pt>
                <c:pt idx="13">
                  <c:v>880.54385379325379</c:v>
                </c:pt>
                <c:pt idx="14">
                  <c:v>844.13846977570415</c:v>
                </c:pt>
                <c:pt idx="15">
                  <c:v>808.98558984075203</c:v>
                </c:pt>
                <c:pt idx="16">
                  <c:v>775.89601077365262</c:v>
                </c:pt>
                <c:pt idx="17">
                  <c:v>744.79937481729451</c:v>
                </c:pt>
                <c:pt idx="18">
                  <c:v>715.6231329550584</c:v>
                </c:pt>
                <c:pt idx="19">
                  <c:v>688.33296372521636</c:v>
                </c:pt>
                <c:pt idx="20">
                  <c:v>662.74367119601379</c:v>
                </c:pt>
                <c:pt idx="21">
                  <c:v>638.59673807222669</c:v>
                </c:pt>
                <c:pt idx="22">
                  <c:v>615.80406088995323</c:v>
                </c:pt>
                <c:pt idx="23">
                  <c:v>594.44333759078211</c:v>
                </c:pt>
                <c:pt idx="24">
                  <c:v>574.48947162516185</c:v>
                </c:pt>
                <c:pt idx="25">
                  <c:v>555.74729443809838</c:v>
                </c:pt>
                <c:pt idx="26">
                  <c:v>538.05683493531058</c:v>
                </c:pt>
                <c:pt idx="27">
                  <c:v>521.39384283418383</c:v>
                </c:pt>
                <c:pt idx="28">
                  <c:v>505.75260699321058</c:v>
                </c:pt>
                <c:pt idx="29">
                  <c:v>491.04824593193302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D6-4CB9-8FAC-FD5024BEE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441832"/>
        <c:axId val="377443008"/>
      </c:scatterChart>
      <c:valAx>
        <c:axId val="377441832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983471074380163"/>
              <c:y val="0.93032193009772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443008"/>
        <c:crosses val="autoZero"/>
        <c:crossBetween val="midCat"/>
      </c:valAx>
      <c:valAx>
        <c:axId val="377443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446280991735537E-2"/>
              <c:y val="0.435029039449164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4418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578512396694211"/>
          <c:y val="0.46327762701978631"/>
          <c:w val="8.0991735537190079E-2"/>
          <c:h val="0.114877787169259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8448914182756855"/>
          <c:y val="2.819548872180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3157906813457118"/>
          <c:w val="0.80363165808010084"/>
          <c:h val="0.7424818844736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'FT140-61 4t (2)'!$A$19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(2)'!$B$19:$AE$19</c:f>
              <c:numCache>
                <c:formatCode>0</c:formatCode>
                <c:ptCount val="30"/>
                <c:pt idx="0">
                  <c:v>73.150000000000006</c:v>
                </c:pt>
                <c:pt idx="1">
                  <c:v>69.900703656001923</c:v>
                </c:pt>
                <c:pt idx="2">
                  <c:v>66.892326420374161</c:v>
                </c:pt>
                <c:pt idx="3">
                  <c:v>64.196133003784468</c:v>
                </c:pt>
                <c:pt idx="4">
                  <c:v>61.700281397899587</c:v>
                </c:pt>
                <c:pt idx="5">
                  <c:v>59.54310614721949</c:v>
                </c:pt>
                <c:pt idx="6">
                  <c:v>57.57973921271163</c:v>
                </c:pt>
                <c:pt idx="7">
                  <c:v>55.79301765363266</c:v>
                </c:pt>
                <c:pt idx="8">
                  <c:v>54.205525336336166</c:v>
                </c:pt>
                <c:pt idx="9">
                  <c:v>52.77377266149599</c:v>
                </c:pt>
                <c:pt idx="10">
                  <c:v>51.43</c:v>
                </c:pt>
                <c:pt idx="11">
                  <c:v>50.177772097456838</c:v>
                </c:pt>
                <c:pt idx="12">
                  <c:v>49.090120624888741</c:v>
                </c:pt>
                <c:pt idx="13">
                  <c:v>48.115474095358238</c:v>
                </c:pt>
                <c:pt idx="14">
                  <c:v>47.116383484825207</c:v>
                </c:pt>
                <c:pt idx="15">
                  <c:v>46.128780763385315</c:v>
                </c:pt>
                <c:pt idx="16">
                  <c:v>45.228081203491477</c:v>
                </c:pt>
                <c:pt idx="17">
                  <c:v>44.401949429431291</c:v>
                </c:pt>
                <c:pt idx="18">
                  <c:v>43.628799587229473</c:v>
                </c:pt>
                <c:pt idx="19">
                  <c:v>42.889793992214912</c:v>
                </c:pt>
                <c:pt idx="20">
                  <c:v>42.176265353918033</c:v>
                </c:pt>
                <c:pt idx="21">
                  <c:v>41.487295079807176</c:v>
                </c:pt>
                <c:pt idx="22">
                  <c:v>40.820505043383079</c:v>
                </c:pt>
                <c:pt idx="23">
                  <c:v>40.171360576909088</c:v>
                </c:pt>
                <c:pt idx="24">
                  <c:v>39.535616980310792</c:v>
                </c:pt>
                <c:pt idx="25">
                  <c:v>38.909999999999997</c:v>
                </c:pt>
                <c:pt idx="26">
                  <c:v>38.294908017447575</c:v>
                </c:pt>
                <c:pt idx="27">
                  <c:v>37.704913839514433</c:v>
                </c:pt>
                <c:pt idx="28">
                  <c:v>37.156684638935729</c:v>
                </c:pt>
                <c:pt idx="29">
                  <c:v>36.645279506102625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E4-4F1B-B627-69AB799F5ED8}"/>
            </c:ext>
          </c:extLst>
        </c:ser>
        <c:ser>
          <c:idx val="1"/>
          <c:order val="1"/>
          <c:tx>
            <c:strRef>
              <c:f>'FT140-61 4t (2)'!$A$20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'FT140-61 4t (2)'!$B$18:$AE$18</c:f>
              <c:numCache>
                <c:formatCode>0.000</c:formatCode>
                <c:ptCount val="30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  <c:pt idx="21">
                  <c:v>155</c:v>
                </c:pt>
                <c:pt idx="22">
                  <c:v>160</c:v>
                </c:pt>
                <c:pt idx="23">
                  <c:v>165</c:v>
                </c:pt>
                <c:pt idx="24">
                  <c:v>170</c:v>
                </c:pt>
                <c:pt idx="25">
                  <c:v>175</c:v>
                </c:pt>
                <c:pt idx="26">
                  <c:v>180</c:v>
                </c:pt>
                <c:pt idx="27">
                  <c:v>185</c:v>
                </c:pt>
                <c:pt idx="28">
                  <c:v>190</c:v>
                </c:pt>
                <c:pt idx="29">
                  <c:v>195</c:v>
                </c:pt>
              </c:numCache>
            </c:numRef>
          </c:xVal>
          <c:yVal>
            <c:numRef>
              <c:f>'FT140-61 4t (2)'!$B$20:$AE$20</c:f>
              <c:numCache>
                <c:formatCode>0</c:formatCode>
                <c:ptCount val="30"/>
                <c:pt idx="0">
                  <c:v>64.33</c:v>
                </c:pt>
                <c:pt idx="1">
                  <c:v>58.195687025583865</c:v>
                </c:pt>
                <c:pt idx="2">
                  <c:v>53.298329461685185</c:v>
                </c:pt>
                <c:pt idx="3">
                  <c:v>49.217282367345469</c:v>
                </c:pt>
                <c:pt idx="4">
                  <c:v>45.806753054488759</c:v>
                </c:pt>
                <c:pt idx="5">
                  <c:v>42.9191925994973</c:v>
                </c:pt>
                <c:pt idx="6">
                  <c:v>40.429233744265879</c:v>
                </c:pt>
                <c:pt idx="7">
                  <c:v>38.253481638071122</c:v>
                </c:pt>
                <c:pt idx="8">
                  <c:v>36.281743090432563</c:v>
                </c:pt>
                <c:pt idx="9">
                  <c:v>34.497730781510072</c:v>
                </c:pt>
                <c:pt idx="10">
                  <c:v>32.9</c:v>
                </c:pt>
                <c:pt idx="11">
                  <c:v>31.367498280330398</c:v>
                </c:pt>
                <c:pt idx="12">
                  <c:v>30.024364154999088</c:v>
                </c:pt>
                <c:pt idx="13">
                  <c:v>28.837075978733935</c:v>
                </c:pt>
                <c:pt idx="14">
                  <c:v>27.625820813954022</c:v>
                </c:pt>
                <c:pt idx="15">
                  <c:v>26.427870384907788</c:v>
                </c:pt>
                <c:pt idx="16">
                  <c:v>25.332384768299708</c:v>
                </c:pt>
                <c:pt idx="17">
                  <c:v>24.323846236154409</c:v>
                </c:pt>
                <c:pt idx="18">
                  <c:v>23.386315032811208</c:v>
                </c:pt>
                <c:pt idx="19">
                  <c:v>22.513674461563141</c:v>
                </c:pt>
                <c:pt idx="20">
                  <c:v>21.686639819566388</c:v>
                </c:pt>
                <c:pt idx="21">
                  <c:v>20.876177117147432</c:v>
                </c:pt>
                <c:pt idx="22">
                  <c:v>20.076238310032796</c:v>
                </c:pt>
                <c:pt idx="23">
                  <c:v>19.31091253020557</c:v>
                </c:pt>
                <c:pt idx="24">
                  <c:v>18.59209957918106</c:v>
                </c:pt>
                <c:pt idx="25">
                  <c:v>17.899999999999999</c:v>
                </c:pt>
                <c:pt idx="26">
                  <c:v>17.218929944337621</c:v>
                </c:pt>
                <c:pt idx="27">
                  <c:v>16.566828690007725</c:v>
                </c:pt>
                <c:pt idx="28">
                  <c:v>15.968110555070552</c:v>
                </c:pt>
                <c:pt idx="29">
                  <c:v>15.418335526208111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E4-4F1B-B627-69AB799F5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59080"/>
        <c:axId val="603059472"/>
      </c:scatterChart>
      <c:valAx>
        <c:axId val="603059080"/>
        <c:scaling>
          <c:orientation val="minMax"/>
          <c:max val="2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8778947186057183"/>
              <c:y val="0.930451917194561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59472"/>
        <c:crosses val="autoZero"/>
        <c:crossBetween val="midCat"/>
      </c:valAx>
      <c:valAx>
        <c:axId val="603059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590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24231005777734"/>
          <c:y val="0.46428610897322042"/>
          <c:w val="7.7557929021248584E-2"/>
          <c:h val="7.70676691729322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545161561619429"/>
          <c:y val="0.14508944384922992"/>
          <c:w val="0.74247552263691685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 12t'!$A$26</c:f>
              <c:strCache>
                <c:ptCount val="1"/>
                <c:pt idx="0">
                  <c:v>R</c:v>
                </c:pt>
              </c:strCache>
            </c:strRef>
          </c:tx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12t'!$B$26:$AE$26</c:f>
              <c:numCache>
                <c:formatCode>0</c:formatCode>
                <c:ptCount val="30"/>
                <c:pt idx="0">
                  <c:v>1.20582384332653</c:v>
                </c:pt>
                <c:pt idx="1">
                  <c:v>3.05382771330587</c:v>
                </c:pt>
                <c:pt idx="2">
                  <c:v>4.9950875674342896</c:v>
                </c:pt>
                <c:pt idx="3">
                  <c:v>7.7917627792803499</c:v>
                </c:pt>
                <c:pt idx="4">
                  <c:v>12.2181404677121</c:v>
                </c:pt>
                <c:pt idx="5">
                  <c:v>19.142127188487599</c:v>
                </c:pt>
                <c:pt idx="6">
                  <c:v>30.727447814182099</c:v>
                </c:pt>
                <c:pt idx="7">
                  <c:v>55.516219604887503</c:v>
                </c:pt>
                <c:pt idx="8">
                  <c:v>106.454339119064</c:v>
                </c:pt>
                <c:pt idx="9">
                  <c:v>250.46177399004401</c:v>
                </c:pt>
                <c:pt idx="10">
                  <c:v>812.96721472952197</c:v>
                </c:pt>
                <c:pt idx="11">
                  <c:v>7174.5877762502196</c:v>
                </c:pt>
                <c:pt idx="12">
                  <c:v>13727.160288518</c:v>
                </c:pt>
                <c:pt idx="13">
                  <c:v>1850.05293587909</c:v>
                </c:pt>
                <c:pt idx="14">
                  <c:v>835.62618104359296</c:v>
                </c:pt>
                <c:pt idx="15">
                  <c:v>543.78682258082597</c:v>
                </c:pt>
                <c:pt idx="16">
                  <c:v>418.21889223897398</c:v>
                </c:pt>
                <c:pt idx="17">
                  <c:v>358.00947326417099</c:v>
                </c:pt>
                <c:pt idx="18">
                  <c:v>321.51798215358798</c:v>
                </c:pt>
                <c:pt idx="19">
                  <c:v>294.530174447619</c:v>
                </c:pt>
                <c:pt idx="20">
                  <c:v>277.717853492583</c:v>
                </c:pt>
                <c:pt idx="21">
                  <c:v>262.52056401073202</c:v>
                </c:pt>
                <c:pt idx="22">
                  <c:v>246.84813111345599</c:v>
                </c:pt>
                <c:pt idx="23">
                  <c:v>232.487412580029</c:v>
                </c:pt>
                <c:pt idx="24">
                  <c:v>219.097709781144</c:v>
                </c:pt>
                <c:pt idx="25">
                  <c:v>206.37145310062201</c:v>
                </c:pt>
                <c:pt idx="26">
                  <c:v>194.48346316050899</c:v>
                </c:pt>
                <c:pt idx="27">
                  <c:v>183.27009249947599</c:v>
                </c:pt>
                <c:pt idx="28">
                  <c:v>172.30788943612001</c:v>
                </c:pt>
                <c:pt idx="29">
                  <c:v>161.674876705939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BB-46D6-B83C-161BAE404B36}"/>
            </c:ext>
          </c:extLst>
        </c:ser>
        <c:ser>
          <c:idx val="1"/>
          <c:order val="1"/>
          <c:tx>
            <c:strRef>
              <c:f>'FT240-61 12t'!$A$27</c:f>
              <c:strCache>
                <c:ptCount val="1"/>
                <c:pt idx="0">
                  <c:v>X</c:v>
                </c:pt>
              </c:strCache>
            </c:strRef>
          </c:tx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12t'!$B$27:$AE$27</c:f>
              <c:numCache>
                <c:formatCode>0</c:formatCode>
                <c:ptCount val="30"/>
                <c:pt idx="0">
                  <c:v>229.28280569568599</c:v>
                </c:pt>
                <c:pt idx="1">
                  <c:v>466.510024688123</c:v>
                </c:pt>
                <c:pt idx="2">
                  <c:v>722.21440634114401</c:v>
                </c:pt>
                <c:pt idx="3">
                  <c:v>1009.14445765008</c:v>
                </c:pt>
                <c:pt idx="4">
                  <c:v>1345.0851950879701</c:v>
                </c:pt>
                <c:pt idx="5">
                  <c:v>1757.2216790664299</c:v>
                </c:pt>
                <c:pt idx="6">
                  <c:v>2292.0309905099298</c:v>
                </c:pt>
                <c:pt idx="7">
                  <c:v>3033.11634148954</c:v>
                </c:pt>
                <c:pt idx="8">
                  <c:v>4159.0261370159596</c:v>
                </c:pt>
                <c:pt idx="9">
                  <c:v>6122.2822551647896</c:v>
                </c:pt>
                <c:pt idx="10">
                  <c:v>10515.9388042996</c:v>
                </c:pt>
                <c:pt idx="11">
                  <c:v>28663.614778046802</c:v>
                </c:pt>
                <c:pt idx="12">
                  <c:v>-35318.097535157598</c:v>
                </c:pt>
                <c:pt idx="13">
                  <c:v>-12652.634509035701</c:v>
                </c:pt>
                <c:pt idx="14">
                  <c:v>-7778.0167844417701</c:v>
                </c:pt>
                <c:pt idx="15">
                  <c:v>-5688.5583354626997</c:v>
                </c:pt>
                <c:pt idx="16">
                  <c:v>-4532.8404105536101</c:v>
                </c:pt>
                <c:pt idx="17">
                  <c:v>-3794.0598568782998</c:v>
                </c:pt>
                <c:pt idx="18">
                  <c:v>-3284.4146794723802</c:v>
                </c:pt>
                <c:pt idx="19">
                  <c:v>-2915.6935678104801</c:v>
                </c:pt>
                <c:pt idx="20">
                  <c:v>-2631.8388681002398</c:v>
                </c:pt>
                <c:pt idx="21">
                  <c:v>-2407.88916248225</c:v>
                </c:pt>
                <c:pt idx="22">
                  <c:v>-2228.0344556784798</c:v>
                </c:pt>
                <c:pt idx="23">
                  <c:v>-2078.4396735497999</c:v>
                </c:pt>
                <c:pt idx="24">
                  <c:v>-1951.3972065294899</c:v>
                </c:pt>
                <c:pt idx="25">
                  <c:v>-1841.9948123972099</c:v>
                </c:pt>
                <c:pt idx="26">
                  <c:v>-1746.3110195941999</c:v>
                </c:pt>
                <c:pt idx="27">
                  <c:v>-1661.5739106343999</c:v>
                </c:pt>
                <c:pt idx="28">
                  <c:v>-1585.9593154500999</c:v>
                </c:pt>
                <c:pt idx="29">
                  <c:v>-1517.95721692857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BB-46D6-B83C-161BAE404B36}"/>
            </c:ext>
          </c:extLst>
        </c:ser>
        <c:ser>
          <c:idx val="2"/>
          <c:order val="2"/>
          <c:tx>
            <c:strRef>
              <c:f>'FT240-61 12t'!$A$28</c:f>
              <c:strCache>
                <c:ptCount val="1"/>
                <c:pt idx="0">
                  <c:v>|Z|</c:v>
                </c:pt>
              </c:strCache>
            </c:strRef>
          </c:tx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12t'!$B$28:$AE$28</c:f>
              <c:numCache>
                <c:formatCode>0</c:formatCode>
                <c:ptCount val="30"/>
                <c:pt idx="0">
                  <c:v>229.28597645479067</c:v>
                </c:pt>
                <c:pt idx="1">
                  <c:v>466.5200199329239</c:v>
                </c:pt>
                <c:pt idx="2">
                  <c:v>722.2316800213747</c:v>
                </c:pt>
                <c:pt idx="3">
                  <c:v>1009.1745379135775</c:v>
                </c:pt>
                <c:pt idx="4">
                  <c:v>1345.1406859512247</c:v>
                </c:pt>
                <c:pt idx="5">
                  <c:v>1757.3259374442589</c:v>
                </c:pt>
                <c:pt idx="6">
                  <c:v>2292.236950558799</c:v>
                </c:pt>
                <c:pt idx="7">
                  <c:v>3033.6243656145216</c:v>
                </c:pt>
                <c:pt idx="8">
                  <c:v>4160.3883153738398</c:v>
                </c:pt>
                <c:pt idx="9">
                  <c:v>6127.4032927608005</c:v>
                </c:pt>
                <c:pt idx="10">
                  <c:v>10547.316465717673</c:v>
                </c:pt>
                <c:pt idx="11">
                  <c:v>29547.885235721722</c:v>
                </c:pt>
                <c:pt idx="12">
                  <c:v>37891.990487299168</c:v>
                </c:pt>
                <c:pt idx="13">
                  <c:v>12787.175445922214</c:v>
                </c:pt>
                <c:pt idx="14">
                  <c:v>7822.775480192654</c:v>
                </c:pt>
                <c:pt idx="15">
                  <c:v>5714.490357361251</c:v>
                </c:pt>
                <c:pt idx="16">
                  <c:v>4552.0928405924915</c:v>
                </c:pt>
                <c:pt idx="17">
                  <c:v>3810.9134050149014</c:v>
                </c:pt>
                <c:pt idx="18">
                  <c:v>3300.1141797795076</c:v>
                </c:pt>
                <c:pt idx="19">
                  <c:v>2930.5318638485319</c:v>
                </c:pt>
                <c:pt idx="20">
                  <c:v>2646.4510261464652</c:v>
                </c:pt>
                <c:pt idx="21">
                  <c:v>2422.157564100235</c:v>
                </c:pt>
                <c:pt idx="22">
                  <c:v>2241.6671330785725</c:v>
                </c:pt>
                <c:pt idx="23">
                  <c:v>2091.4018919361133</c:v>
                </c:pt>
                <c:pt idx="24">
                  <c:v>1963.6585406028307</c:v>
                </c:pt>
                <c:pt idx="25">
                  <c:v>1853.5193728561603</c:v>
                </c:pt>
                <c:pt idx="26">
                  <c:v>1757.1072803329453</c:v>
                </c:pt>
                <c:pt idx="27">
                  <c:v>1671.6506175949744</c:v>
                </c:pt>
                <c:pt idx="28">
                  <c:v>1595.2921234134144</c:v>
                </c:pt>
                <c:pt idx="29">
                  <c:v>1526.5427862275628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BB-46D6-B83C-161BAE404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449040"/>
        <c:axId val="603059864"/>
      </c:scatterChart>
      <c:valAx>
        <c:axId val="43444904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642175580895197"/>
              <c:y val="0.919643794525684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03059864"/>
        <c:crosses val="autoZero"/>
        <c:crossBetween val="midCat"/>
      </c:valAx>
      <c:valAx>
        <c:axId val="603059864"/>
        <c:scaling>
          <c:orientation val="minMax"/>
          <c:max val="5000"/>
          <c:min val="-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34449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9186246368033428"/>
          <c:y val="0.45758975440569927"/>
          <c:w val="9.4760312151616496E-2"/>
          <c:h val="0.12946452005999254"/>
        </c:manualLayout>
      </c:layout>
      <c:overlay val="0"/>
    </c:legend>
    <c:plotVisOnly val="1"/>
    <c:dispBlanksAs val="gap"/>
    <c:showDLblsOverMax val="0"/>
  </c:chart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 12t'!$A$19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12t'!$B$19:$AE$19</c:f>
              <c:numCache>
                <c:formatCode>0</c:formatCode>
                <c:ptCount val="30"/>
                <c:pt idx="0">
                  <c:v>0.62</c:v>
                </c:pt>
                <c:pt idx="1">
                  <c:v>0.75819431100099222</c:v>
                </c:pt>
                <c:pt idx="2">
                  <c:v>0.77887091186070234</c:v>
                </c:pt>
                <c:pt idx="3">
                  <c:v>0.83511143762440576</c:v>
                </c:pt>
                <c:pt idx="4">
                  <c:v>0.93</c:v>
                </c:pt>
                <c:pt idx="5">
                  <c:v>1.036969921462761</c:v>
                </c:pt>
                <c:pt idx="6">
                  <c:v>1.1594707528103099</c:v>
                </c:pt>
                <c:pt idx="7">
                  <c:v>1.3926436921793786</c:v>
                </c:pt>
                <c:pt idx="8">
                  <c:v>1.6331035608136657</c:v>
                </c:pt>
                <c:pt idx="9">
                  <c:v>2.02</c:v>
                </c:pt>
                <c:pt idx="10">
                  <c:v>2.5096010234877921</c:v>
                </c:pt>
                <c:pt idx="11">
                  <c:v>3.1827756414461343</c:v>
                </c:pt>
                <c:pt idx="12">
                  <c:v>4.1862588520627675</c:v>
                </c:pt>
                <c:pt idx="13">
                  <c:v>5.5699800869711646</c:v>
                </c:pt>
                <c:pt idx="14">
                  <c:v>7.5596708892868953</c:v>
                </c:pt>
                <c:pt idx="15">
                  <c:v>10.364762073298381</c:v>
                </c:pt>
                <c:pt idx="16">
                  <c:v>14.071540778907028</c:v>
                </c:pt>
                <c:pt idx="17">
                  <c:v>19.176551161213411</c:v>
                </c:pt>
                <c:pt idx="18">
                  <c:v>25.391368669797036</c:v>
                </c:pt>
                <c:pt idx="19">
                  <c:v>32.089654518261241</c:v>
                </c:pt>
                <c:pt idx="20">
                  <c:v>39.794608051729639</c:v>
                </c:pt>
                <c:pt idx="21">
                  <c:v>47.421943915918163</c:v>
                </c:pt>
                <c:pt idx="22">
                  <c:v>54.059097865518069</c:v>
                </c:pt>
                <c:pt idx="23">
                  <c:v>59.964781915008828</c:v>
                </c:pt>
                <c:pt idx="24">
                  <c:v>65.050788171679642</c:v>
                </c:pt>
                <c:pt idx="25">
                  <c:v>69.197236673813947</c:v>
                </c:pt>
                <c:pt idx="26">
                  <c:v>72.536485290986661</c:v>
                </c:pt>
                <c:pt idx="27">
                  <c:v>75.170528211419636</c:v>
                </c:pt>
                <c:pt idx="28">
                  <c:v>77.095025191458149</c:v>
                </c:pt>
                <c:pt idx="29">
                  <c:v>78.419182905316077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EC-44CA-9144-59A8D69E2418}"/>
            </c:ext>
          </c:extLst>
        </c:ser>
        <c:ser>
          <c:idx val="1"/>
          <c:order val="1"/>
          <c:tx>
            <c:strRef>
              <c:f>'FT240-61 12t'!$A$20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 12t'!$B$20:$AE$20</c:f>
              <c:numCache>
                <c:formatCode>0</c:formatCode>
                <c:ptCount val="30"/>
                <c:pt idx="0">
                  <c:v>118.57</c:v>
                </c:pt>
                <c:pt idx="1">
                  <c:v>118.53968029339639</c:v>
                </c:pt>
                <c:pt idx="2">
                  <c:v>118.74548534852252</c:v>
                </c:pt>
                <c:pt idx="3">
                  <c:v>119.13224502943993</c:v>
                </c:pt>
                <c:pt idx="4">
                  <c:v>119.69</c:v>
                </c:pt>
                <c:pt idx="5">
                  <c:v>120.41980665671979</c:v>
                </c:pt>
                <c:pt idx="6">
                  <c:v>121.36869399692092</c:v>
                </c:pt>
                <c:pt idx="7">
                  <c:v>122.50340698858074</c:v>
                </c:pt>
                <c:pt idx="8">
                  <c:v>123.86522642233432</c:v>
                </c:pt>
                <c:pt idx="9">
                  <c:v>125.48</c:v>
                </c:pt>
                <c:pt idx="10">
                  <c:v>127.40209539131958</c:v>
                </c:pt>
                <c:pt idx="11">
                  <c:v>129.52648939190286</c:v>
                </c:pt>
                <c:pt idx="12">
                  <c:v>132.29104551836008</c:v>
                </c:pt>
                <c:pt idx="13">
                  <c:v>135.12198912144072</c:v>
                </c:pt>
                <c:pt idx="14">
                  <c:v>138.34472114290378</c:v>
                </c:pt>
                <c:pt idx="15">
                  <c:v>141.86529900339437</c:v>
                </c:pt>
                <c:pt idx="16">
                  <c:v>145.37170500941278</c:v>
                </c:pt>
                <c:pt idx="17">
                  <c:v>148.69565743233508</c:v>
                </c:pt>
                <c:pt idx="18">
                  <c:v>151.32572567542223</c:v>
                </c:pt>
                <c:pt idx="19">
                  <c:v>152.65425339002283</c:v>
                </c:pt>
                <c:pt idx="20">
                  <c:v>152.55221676355956</c:v>
                </c:pt>
                <c:pt idx="21">
                  <c:v>151.01754547328326</c:v>
                </c:pt>
                <c:pt idx="22">
                  <c:v>148.20067609090967</c:v>
                </c:pt>
                <c:pt idx="23">
                  <c:v>144.40610074717381</c:v>
                </c:pt>
                <c:pt idx="24">
                  <c:v>139.95141627964244</c:v>
                </c:pt>
                <c:pt idx="25">
                  <c:v>135.11398557250098</c:v>
                </c:pt>
                <c:pt idx="26">
                  <c:v>130.0795700595983</c:v>
                </c:pt>
                <c:pt idx="27">
                  <c:v>125.05991362921905</c:v>
                </c:pt>
                <c:pt idx="28">
                  <c:v>120.32684003060784</c:v>
                </c:pt>
                <c:pt idx="29">
                  <c:v>115.96025934130439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EC-44CA-9144-59A8D69E2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61040"/>
        <c:axId val="603061432"/>
      </c:scatterChart>
      <c:valAx>
        <c:axId val="60306104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1432"/>
        <c:crosses val="autoZero"/>
        <c:crossBetween val="midCat"/>
      </c:valAx>
      <c:valAx>
        <c:axId val="603061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10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9609995239661"/>
          <c:y val="0.14508944384922992"/>
          <c:w val="0.7391310383007145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'FT240-61x2 12t'!$A$26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12t'!$B$26:$AE$26</c:f>
              <c:numCache>
                <c:formatCode>0</c:formatCode>
                <c:ptCount val="30"/>
                <c:pt idx="0">
                  <c:v>1.07047217704759</c:v>
                </c:pt>
                <c:pt idx="1">
                  <c:v>2.70042337314863</c:v>
                </c:pt>
                <c:pt idx="2">
                  <c:v>4.3868329695980703</c:v>
                </c:pt>
                <c:pt idx="3">
                  <c:v>6.77246882575845</c:v>
                </c:pt>
                <c:pt idx="4">
                  <c:v>10.463836933685201</c:v>
                </c:pt>
                <c:pt idx="5">
                  <c:v>16.0558542929518</c:v>
                </c:pt>
                <c:pt idx="6">
                  <c:v>25.020976144547301</c:v>
                </c:pt>
                <c:pt idx="7">
                  <c:v>43.2831739317444</c:v>
                </c:pt>
                <c:pt idx="8">
                  <c:v>77.563081005684893</c:v>
                </c:pt>
                <c:pt idx="9">
                  <c:v>162.362073458803</c:v>
                </c:pt>
                <c:pt idx="10">
                  <c:v>412.69456875277098</c:v>
                </c:pt>
                <c:pt idx="11">
                  <c:v>1634.61796688799</c:v>
                </c:pt>
                <c:pt idx="12">
                  <c:v>37207.212327607704</c:v>
                </c:pt>
                <c:pt idx="13">
                  <c:v>6310.3941521238903</c:v>
                </c:pt>
                <c:pt idx="14">
                  <c:v>1629.74316953173</c:v>
                </c:pt>
                <c:pt idx="15">
                  <c:v>868.02570883557598</c:v>
                </c:pt>
                <c:pt idx="16">
                  <c:v>603.17212627474498</c:v>
                </c:pt>
                <c:pt idx="17">
                  <c:v>485.64534747177902</c:v>
                </c:pt>
                <c:pt idx="18">
                  <c:v>418.97249933210799</c:v>
                </c:pt>
                <c:pt idx="19">
                  <c:v>373.41851520178398</c:v>
                </c:pt>
                <c:pt idx="20">
                  <c:v>345.06246513316398</c:v>
                </c:pt>
                <c:pt idx="21">
                  <c:v>321.29560143453699</c:v>
                </c:pt>
                <c:pt idx="22">
                  <c:v>298.72452302951302</c:v>
                </c:pt>
                <c:pt idx="23">
                  <c:v>278.868434358233</c:v>
                </c:pt>
                <c:pt idx="24">
                  <c:v>260.94931335441902</c:v>
                </c:pt>
                <c:pt idx="25">
                  <c:v>244.38242873994901</c:v>
                </c:pt>
                <c:pt idx="26">
                  <c:v>229.21100224145499</c:v>
                </c:pt>
                <c:pt idx="27">
                  <c:v>215.13081793923701</c:v>
                </c:pt>
                <c:pt idx="28">
                  <c:v>201.577914064288</c:v>
                </c:pt>
                <c:pt idx="29">
                  <c:v>188.592412099863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2E9-A30A-5370AE63A5AE}"/>
            </c:ext>
          </c:extLst>
        </c:ser>
        <c:ser>
          <c:idx val="1"/>
          <c:order val="1"/>
          <c:tx>
            <c:strRef>
              <c:f>'FT240-61x2 12t'!$A$27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12t'!$B$27:$AE$27</c:f>
              <c:numCache>
                <c:formatCode>0</c:formatCode>
                <c:ptCount val="30"/>
                <c:pt idx="0">
                  <c:v>203.67653232051799</c:v>
                </c:pt>
                <c:pt idx="1">
                  <c:v>413.59800079345001</c:v>
                </c:pt>
                <c:pt idx="2">
                  <c:v>638.10773183591698</c:v>
                </c:pt>
                <c:pt idx="3">
                  <c:v>887.01918157663704</c:v>
                </c:pt>
                <c:pt idx="4">
                  <c:v>1173.5919192439401</c:v>
                </c:pt>
                <c:pt idx="5">
                  <c:v>1517.3066267706599</c:v>
                </c:pt>
                <c:pt idx="6">
                  <c:v>1950.0079373374299</c:v>
                </c:pt>
                <c:pt idx="7">
                  <c:v>2525.05798211721</c:v>
                </c:pt>
                <c:pt idx="8">
                  <c:v>3347.2402261962402</c:v>
                </c:pt>
                <c:pt idx="9">
                  <c:v>4648.4377278656202</c:v>
                </c:pt>
                <c:pt idx="10">
                  <c:v>7073.0310754026495</c:v>
                </c:pt>
                <c:pt idx="11">
                  <c:v>13196.333782416001</c:v>
                </c:pt>
                <c:pt idx="12">
                  <c:v>45551.371816140498</c:v>
                </c:pt>
                <c:pt idx="13">
                  <c:v>-21352.661564181701</c:v>
                </c:pt>
                <c:pt idx="14">
                  <c:v>-10170.270356151401</c:v>
                </c:pt>
                <c:pt idx="15">
                  <c:v>-6751.3876775332001</c:v>
                </c:pt>
                <c:pt idx="16">
                  <c:v>-5118.6941890542803</c:v>
                </c:pt>
                <c:pt idx="17">
                  <c:v>-4156.4324855409895</c:v>
                </c:pt>
                <c:pt idx="18">
                  <c:v>-3526.9555873690301</c:v>
                </c:pt>
                <c:pt idx="19">
                  <c:v>-3088.5307723399701</c:v>
                </c:pt>
                <c:pt idx="20">
                  <c:v>-2759.7261982140499</c:v>
                </c:pt>
                <c:pt idx="21">
                  <c:v>-2505.8554575629501</c:v>
                </c:pt>
                <c:pt idx="22">
                  <c:v>-2305.6886226030101</c:v>
                </c:pt>
                <c:pt idx="23">
                  <c:v>-2141.4584085630499</c:v>
                </c:pt>
                <c:pt idx="24">
                  <c:v>-2003.53138004741</c:v>
                </c:pt>
                <c:pt idx="25">
                  <c:v>-1885.8837653149801</c:v>
                </c:pt>
                <c:pt idx="26">
                  <c:v>-1783.78398420693</c:v>
                </c:pt>
                <c:pt idx="27">
                  <c:v>-1693.9491398038699</c:v>
                </c:pt>
                <c:pt idx="28">
                  <c:v>-1614.2579080246701</c:v>
                </c:pt>
                <c:pt idx="29">
                  <c:v>-1542.9556411291301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C8-42E9-A30A-5370AE63A5AE}"/>
            </c:ext>
          </c:extLst>
        </c:ser>
        <c:ser>
          <c:idx val="2"/>
          <c:order val="2"/>
          <c:tx>
            <c:strRef>
              <c:f>'FT240-61x2 12t'!$A$28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12t'!$B$28:$AE$28</c:f>
              <c:numCache>
                <c:formatCode>0</c:formatCode>
                <c:ptCount val="30"/>
                <c:pt idx="0">
                  <c:v>203.67934536617315</c:v>
                </c:pt>
                <c:pt idx="1">
                  <c:v>413.60681636879838</c:v>
                </c:pt>
                <c:pt idx="2">
                  <c:v>638.1228108540563</c:v>
                </c:pt>
                <c:pt idx="3">
                  <c:v>887.0450353949808</c:v>
                </c:pt>
                <c:pt idx="4">
                  <c:v>1173.6385665093192</c:v>
                </c:pt>
                <c:pt idx="5">
                  <c:v>1517.3915744128919</c:v>
                </c:pt>
                <c:pt idx="6">
                  <c:v>1950.1684555253692</c:v>
                </c:pt>
                <c:pt idx="7">
                  <c:v>2525.4289232127362</c:v>
                </c:pt>
                <c:pt idx="8">
                  <c:v>3348.138761073285</c:v>
                </c:pt>
                <c:pt idx="9">
                  <c:v>4651.272379977584</c:v>
                </c:pt>
                <c:pt idx="10">
                  <c:v>7085.0607196191058</c:v>
                </c:pt>
                <c:pt idx="11">
                  <c:v>13297.187717506542</c:v>
                </c:pt>
                <c:pt idx="12">
                  <c:v>58815.849254465087</c:v>
                </c:pt>
                <c:pt idx="13">
                  <c:v>22265.606441991244</c:v>
                </c:pt>
                <c:pt idx="14">
                  <c:v>10300.022423074975</c:v>
                </c:pt>
                <c:pt idx="15">
                  <c:v>6806.959982513973</c:v>
                </c:pt>
                <c:pt idx="16">
                  <c:v>5154.1097014880133</c:v>
                </c:pt>
                <c:pt idx="17">
                  <c:v>4184.7081631078445</c:v>
                </c:pt>
                <c:pt idx="18">
                  <c:v>3551.7536049774358</c:v>
                </c:pt>
                <c:pt idx="19">
                  <c:v>3111.0229377467526</c:v>
                </c:pt>
                <c:pt idx="20">
                  <c:v>2781.2149852092966</c:v>
                </c:pt>
                <c:pt idx="21">
                  <c:v>2526.369418295591</c:v>
                </c:pt>
                <c:pt idx="22">
                  <c:v>2324.9594329923643</c:v>
                </c:pt>
                <c:pt idx="23">
                  <c:v>2159.539700789685</c:v>
                </c:pt>
                <c:pt idx="24">
                  <c:v>2020.453546849029</c:v>
                </c:pt>
                <c:pt idx="25">
                  <c:v>1901.6520049040105</c:v>
                </c:pt>
                <c:pt idx="26">
                  <c:v>1798.4501621845632</c:v>
                </c:pt>
                <c:pt idx="27">
                  <c:v>1707.555257398564</c:v>
                </c:pt>
                <c:pt idx="28">
                  <c:v>1626.7950851470796</c:v>
                </c:pt>
                <c:pt idx="29">
                  <c:v>1554.4385508581063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42E9-A30A-5370AE63A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62216"/>
        <c:axId val="603062608"/>
      </c:scatterChart>
      <c:valAx>
        <c:axId val="603062216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809399661162756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2608"/>
        <c:crosses val="autoZero"/>
        <c:crossBetween val="midCat"/>
      </c:valAx>
      <c:valAx>
        <c:axId val="603062608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22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'FT240-61x2 12t'!$A$19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12t'!$B$19:$AE$19</c:f>
              <c:numCache>
                <c:formatCode>0</c:formatCode>
                <c:ptCount val="30"/>
                <c:pt idx="0">
                  <c:v>0.62</c:v>
                </c:pt>
                <c:pt idx="1">
                  <c:v>0.75819431100099222</c:v>
                </c:pt>
                <c:pt idx="2">
                  <c:v>0.77887091186070234</c:v>
                </c:pt>
                <c:pt idx="3">
                  <c:v>0.83511143762440576</c:v>
                </c:pt>
                <c:pt idx="4">
                  <c:v>0.93</c:v>
                </c:pt>
                <c:pt idx="5">
                  <c:v>1.036969921462761</c:v>
                </c:pt>
                <c:pt idx="6">
                  <c:v>1.1594707528103099</c:v>
                </c:pt>
                <c:pt idx="7">
                  <c:v>1.3926436921793786</c:v>
                </c:pt>
                <c:pt idx="8">
                  <c:v>1.6331035608136657</c:v>
                </c:pt>
                <c:pt idx="9">
                  <c:v>2.02</c:v>
                </c:pt>
                <c:pt idx="10">
                  <c:v>2.5096010234877921</c:v>
                </c:pt>
                <c:pt idx="11">
                  <c:v>3.1827756414461343</c:v>
                </c:pt>
                <c:pt idx="12">
                  <c:v>4.1862588520627675</c:v>
                </c:pt>
                <c:pt idx="13">
                  <c:v>5.5699800869711646</c:v>
                </c:pt>
                <c:pt idx="14">
                  <c:v>7.5596708892868953</c:v>
                </c:pt>
                <c:pt idx="15">
                  <c:v>10.364762073298381</c:v>
                </c:pt>
                <c:pt idx="16">
                  <c:v>14.071540778907028</c:v>
                </c:pt>
                <c:pt idx="17">
                  <c:v>19.176551161213411</c:v>
                </c:pt>
                <c:pt idx="18">
                  <c:v>25.391368669797036</c:v>
                </c:pt>
                <c:pt idx="19">
                  <c:v>32.089654518261241</c:v>
                </c:pt>
                <c:pt idx="20">
                  <c:v>39.794608051729639</c:v>
                </c:pt>
                <c:pt idx="21">
                  <c:v>47.421943915918163</c:v>
                </c:pt>
                <c:pt idx="22">
                  <c:v>54.059097865518069</c:v>
                </c:pt>
                <c:pt idx="23">
                  <c:v>59.964781915008828</c:v>
                </c:pt>
                <c:pt idx="24">
                  <c:v>65.050788171679642</c:v>
                </c:pt>
                <c:pt idx="25">
                  <c:v>69.197236673813947</c:v>
                </c:pt>
                <c:pt idx="26">
                  <c:v>72.536485290986661</c:v>
                </c:pt>
                <c:pt idx="27">
                  <c:v>75.170528211419636</c:v>
                </c:pt>
                <c:pt idx="28">
                  <c:v>77.095025191458149</c:v>
                </c:pt>
                <c:pt idx="29">
                  <c:v>78.419182905316077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C2-4C99-9650-7BF92CDEEF5D}"/>
            </c:ext>
          </c:extLst>
        </c:ser>
        <c:ser>
          <c:idx val="1"/>
          <c:order val="1"/>
          <c:tx>
            <c:strRef>
              <c:f>'FT240-61x2 12t'!$A$20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'FT240-61x2 12t'!$B$18:$AE$18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'FT240-61x2 12t'!$B$20:$AE$20</c:f>
              <c:numCache>
                <c:formatCode>0</c:formatCode>
                <c:ptCount val="30"/>
                <c:pt idx="0">
                  <c:v>118.57</c:v>
                </c:pt>
                <c:pt idx="1">
                  <c:v>118.53968029339639</c:v>
                </c:pt>
                <c:pt idx="2">
                  <c:v>118.74548534852252</c:v>
                </c:pt>
                <c:pt idx="3">
                  <c:v>119.13224502943993</c:v>
                </c:pt>
                <c:pt idx="4">
                  <c:v>119.69</c:v>
                </c:pt>
                <c:pt idx="5">
                  <c:v>120.41980665671979</c:v>
                </c:pt>
                <c:pt idx="6">
                  <c:v>121.36869399692092</c:v>
                </c:pt>
                <c:pt idx="7">
                  <c:v>122.50340698858074</c:v>
                </c:pt>
                <c:pt idx="8">
                  <c:v>123.86522642233432</c:v>
                </c:pt>
                <c:pt idx="9">
                  <c:v>125.48</c:v>
                </c:pt>
                <c:pt idx="10">
                  <c:v>127.40209539131958</c:v>
                </c:pt>
                <c:pt idx="11">
                  <c:v>129.52648939190286</c:v>
                </c:pt>
                <c:pt idx="12">
                  <c:v>132.29104551836008</c:v>
                </c:pt>
                <c:pt idx="13">
                  <c:v>135.12198912144072</c:v>
                </c:pt>
                <c:pt idx="14">
                  <c:v>138.34472114290378</c:v>
                </c:pt>
                <c:pt idx="15">
                  <c:v>141.86529900339437</c:v>
                </c:pt>
                <c:pt idx="16">
                  <c:v>145.37170500941278</c:v>
                </c:pt>
                <c:pt idx="17">
                  <c:v>148.69565743233508</c:v>
                </c:pt>
                <c:pt idx="18">
                  <c:v>151.32572567542223</c:v>
                </c:pt>
                <c:pt idx="19">
                  <c:v>152.65425339002283</c:v>
                </c:pt>
                <c:pt idx="20">
                  <c:v>152.55221676355956</c:v>
                </c:pt>
                <c:pt idx="21">
                  <c:v>151.01754547328326</c:v>
                </c:pt>
                <c:pt idx="22">
                  <c:v>148.20067609090967</c:v>
                </c:pt>
                <c:pt idx="23">
                  <c:v>144.40610074717381</c:v>
                </c:pt>
                <c:pt idx="24">
                  <c:v>139.95141627964244</c:v>
                </c:pt>
                <c:pt idx="25">
                  <c:v>135.11398557250098</c:v>
                </c:pt>
                <c:pt idx="26">
                  <c:v>130.0795700595983</c:v>
                </c:pt>
                <c:pt idx="27">
                  <c:v>125.05991362921905</c:v>
                </c:pt>
                <c:pt idx="28">
                  <c:v>120.32684003060784</c:v>
                </c:pt>
                <c:pt idx="29">
                  <c:v>115.96025934130439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C2-4C99-9650-7BF92CDEE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63784"/>
        <c:axId val="603064176"/>
      </c:scatterChart>
      <c:valAx>
        <c:axId val="60306378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4176"/>
        <c:crosses val="autoZero"/>
        <c:crossBetween val="midCat"/>
      </c:valAx>
      <c:valAx>
        <c:axId val="603064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37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79609995239661"/>
          <c:y val="0.14508944384922992"/>
          <c:w val="0.73913103830071458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'FT240-61x3 13t'!$A$26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13t'!$B$26:$AE$26</c:f>
              <c:numCache>
                <c:formatCode>0</c:formatCode>
                <c:ptCount val="30"/>
                <c:pt idx="0">
                  <c:v>2.6391568201878099</c:v>
                </c:pt>
                <c:pt idx="1">
                  <c:v>10.6480191319542</c:v>
                </c:pt>
                <c:pt idx="2">
                  <c:v>59.633280272841802</c:v>
                </c:pt>
                <c:pt idx="3">
                  <c:v>1106.5778219967499</c:v>
                </c:pt>
                <c:pt idx="4">
                  <c:v>31.756787081572298</c:v>
                </c:pt>
                <c:pt idx="5">
                  <c:v>10.021214372755299</c:v>
                </c:pt>
                <c:pt idx="6">
                  <c:v>4.99684424583781</c:v>
                </c:pt>
                <c:pt idx="7">
                  <c:v>3.2697059937014599</c:v>
                </c:pt>
                <c:pt idx="8">
                  <c:v>2.3369848780419198</c:v>
                </c:pt>
                <c:pt idx="9">
                  <c:v>1.8924612385881701</c:v>
                </c:pt>
                <c:pt idx="10">
                  <c:v>1.6160881511459599</c:v>
                </c:pt>
                <c:pt idx="11">
                  <c:v>1.4623574372994399</c:v>
                </c:pt>
                <c:pt idx="12">
                  <c:v>1.40186976936888</c:v>
                </c:pt>
                <c:pt idx="13">
                  <c:v>1.3938540227959499</c:v>
                </c:pt>
                <c:pt idx="14">
                  <c:v>1.4352167824870901</c:v>
                </c:pt>
                <c:pt idx="15">
                  <c:v>1.5125648308167099</c:v>
                </c:pt>
                <c:pt idx="16">
                  <c:v>1.6017589329330399</c:v>
                </c:pt>
                <c:pt idx="17">
                  <c:v>1.7253431588513299</c:v>
                </c:pt>
                <c:pt idx="18">
                  <c:v>1.8372756296781501</c:v>
                </c:pt>
                <c:pt idx="19">
                  <c:v>1.9117801955051701</c:v>
                </c:pt>
                <c:pt idx="20">
                  <c:v>1.9924155344702901</c:v>
                </c:pt>
                <c:pt idx="21">
                  <c:v>2.0380227304494198</c:v>
                </c:pt>
                <c:pt idx="22">
                  <c:v>2.0384361441939598</c:v>
                </c:pt>
                <c:pt idx="23">
                  <c:v>2.0185258316907002</c:v>
                </c:pt>
                <c:pt idx="24">
                  <c:v>1.98270205212557</c:v>
                </c:pt>
                <c:pt idx="25">
                  <c:v>1.9330001599897599</c:v>
                </c:pt>
                <c:pt idx="26">
                  <c:v>1.8755330527709</c:v>
                </c:pt>
                <c:pt idx="27">
                  <c:v>1.8122274665490301</c:v>
                </c:pt>
                <c:pt idx="28">
                  <c:v>1.7410825094993601</c:v>
                </c:pt>
                <c:pt idx="29">
                  <c:v>1.6646388413675901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42-484D-80EE-E318E12FC28E}"/>
            </c:ext>
          </c:extLst>
        </c:ser>
        <c:ser>
          <c:idx val="1"/>
          <c:order val="1"/>
          <c:tx>
            <c:strRef>
              <c:f>'FT240-61x3 13t'!$A$27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13t'!$B$27:$AE$27</c:f>
              <c:numCache>
                <c:formatCode>0</c:formatCode>
                <c:ptCount val="30"/>
                <c:pt idx="0">
                  <c:v>470.01522527421099</c:v>
                </c:pt>
                <c:pt idx="1">
                  <c:v>1207.0246710592701</c:v>
                </c:pt>
                <c:pt idx="2">
                  <c:v>3457.2863444263198</c:v>
                </c:pt>
                <c:pt idx="3">
                  <c:v>-16627.631946400201</c:v>
                </c:pt>
                <c:pt idx="4">
                  <c:v>-3004.7600118260898</c:v>
                </c:pt>
                <c:pt idx="5">
                  <c:v>-1761.8177684713</c:v>
                </c:pt>
                <c:pt idx="6">
                  <c:v>-1280.8299663968501</c:v>
                </c:pt>
                <c:pt idx="7">
                  <c:v>-1020.12783219431</c:v>
                </c:pt>
                <c:pt idx="8">
                  <c:v>-854.14012412521095</c:v>
                </c:pt>
                <c:pt idx="9">
                  <c:v>-738.02049513187399</c:v>
                </c:pt>
                <c:pt idx="10">
                  <c:v>-651.60928302716695</c:v>
                </c:pt>
                <c:pt idx="11">
                  <c:v>-584.52615842854505</c:v>
                </c:pt>
                <c:pt idx="12">
                  <c:v>-530.59114886075395</c:v>
                </c:pt>
                <c:pt idx="13">
                  <c:v>-486.34003701669201</c:v>
                </c:pt>
                <c:pt idx="14">
                  <c:v>-449.22301314989301</c:v>
                </c:pt>
                <c:pt idx="15">
                  <c:v>-417.60715348228399</c:v>
                </c:pt>
                <c:pt idx="16">
                  <c:v>-390.35057439941198</c:v>
                </c:pt>
                <c:pt idx="17">
                  <c:v>-366.57713133643801</c:v>
                </c:pt>
                <c:pt idx="18">
                  <c:v>-345.66703897713597</c:v>
                </c:pt>
                <c:pt idx="19">
                  <c:v>-327.14759250923299</c:v>
                </c:pt>
                <c:pt idx="20">
                  <c:v>-310.594384929873</c:v>
                </c:pt>
                <c:pt idx="21">
                  <c:v>-295.70967825742599</c:v>
                </c:pt>
                <c:pt idx="22">
                  <c:v>-282.256561965814</c:v>
                </c:pt>
                <c:pt idx="23">
                  <c:v>-270.018431435688</c:v>
                </c:pt>
                <c:pt idx="24">
                  <c:v>-258.82942795693401</c:v>
                </c:pt>
                <c:pt idx="25">
                  <c:v>-248.556855034162</c:v>
                </c:pt>
                <c:pt idx="26">
                  <c:v>-239.08732432619101</c:v>
                </c:pt>
                <c:pt idx="27">
                  <c:v>-230.32614544080101</c:v>
                </c:pt>
                <c:pt idx="28">
                  <c:v>-222.19516158599501</c:v>
                </c:pt>
                <c:pt idx="29">
                  <c:v>-214.62745525085799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42-484D-80EE-E318E12FC28E}"/>
            </c:ext>
          </c:extLst>
        </c:ser>
        <c:ser>
          <c:idx val="2"/>
          <c:order val="2"/>
          <c:tx>
            <c:strRef>
              <c:f>'FT240-61x3 13t'!$A$28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13t'!$B$28:$AE$28</c:f>
              <c:numCache>
                <c:formatCode>0</c:formatCode>
                <c:ptCount val="30"/>
                <c:pt idx="0">
                  <c:v>470.02263470846685</c:v>
                </c:pt>
                <c:pt idx="1">
                  <c:v>1207.0716370030295</c:v>
                </c:pt>
                <c:pt idx="2">
                  <c:v>3457.8006008838629</c:v>
                </c:pt>
                <c:pt idx="3">
                  <c:v>16664.41293958727</c:v>
                </c:pt>
                <c:pt idx="4">
                  <c:v>3004.9278231256849</c:v>
                </c:pt>
                <c:pt idx="5">
                  <c:v>1761.8462685599716</c:v>
                </c:pt>
                <c:pt idx="6">
                  <c:v>1280.8397133414367</c:v>
                </c:pt>
                <c:pt idx="7">
                  <c:v>1020.1330721992831</c:v>
                </c:pt>
                <c:pt idx="8">
                  <c:v>854.14332119320056</c:v>
                </c:pt>
                <c:pt idx="9">
                  <c:v>738.02292148972992</c:v>
                </c:pt>
                <c:pt idx="10">
                  <c:v>651.61128709384013</c:v>
                </c:pt>
                <c:pt idx="11">
                  <c:v>584.52798767595982</c:v>
                </c:pt>
                <c:pt idx="12">
                  <c:v>530.59300079083687</c:v>
                </c:pt>
                <c:pt idx="13">
                  <c:v>486.34203441038727</c:v>
                </c:pt>
                <c:pt idx="14">
                  <c:v>449.22530582179104</c:v>
                </c:pt>
                <c:pt idx="15">
                  <c:v>417.60989271321552</c:v>
                </c:pt>
                <c:pt idx="16">
                  <c:v>390.3538607028629</c:v>
                </c:pt>
                <c:pt idx="17">
                  <c:v>366.58119159044145</c:v>
                </c:pt>
                <c:pt idx="18">
                  <c:v>345.6719216496478</c:v>
                </c:pt>
                <c:pt idx="19">
                  <c:v>327.15317847776305</c:v>
                </c:pt>
                <c:pt idx="20">
                  <c:v>310.60077538478254</c:v>
                </c:pt>
                <c:pt idx="21">
                  <c:v>295.71670117151012</c:v>
                </c:pt>
                <c:pt idx="22">
                  <c:v>282.26392258784216</c:v>
                </c:pt>
                <c:pt idx="23">
                  <c:v>270.02597608660272</c:v>
                </c:pt>
                <c:pt idx="24">
                  <c:v>258.83702185727066</c:v>
                </c:pt>
                <c:pt idx="25">
                  <c:v>248.56437128858983</c:v>
                </c:pt>
                <c:pt idx="26">
                  <c:v>239.09468057171262</c:v>
                </c:pt>
                <c:pt idx="27">
                  <c:v>230.33327471732679</c:v>
                </c:pt>
                <c:pt idx="28">
                  <c:v>222.20198289063785</c:v>
                </c:pt>
                <c:pt idx="29">
                  <c:v>214.6339105778284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42-484D-80EE-E318E12FC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64960"/>
        <c:axId val="603065352"/>
      </c:scatterChart>
      <c:valAx>
        <c:axId val="60306496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2809399661162756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5352"/>
        <c:crosses val="autoZero"/>
        <c:crossBetween val="midCat"/>
      </c:valAx>
      <c:valAx>
        <c:axId val="603065352"/>
        <c:scaling>
          <c:orientation val="minMax"/>
          <c:max val="5000"/>
          <c:min val="-5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49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769296719286232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'FT240-61x3 13t'!$A$19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13t'!$B$19:$AE$19</c:f>
              <c:numCache>
                <c:formatCode>0</c:formatCode>
                <c:ptCount val="30"/>
                <c:pt idx="0">
                  <c:v>0.62</c:v>
                </c:pt>
                <c:pt idx="1">
                  <c:v>0.75819431100099222</c:v>
                </c:pt>
                <c:pt idx="2">
                  <c:v>0.77887091186070234</c:v>
                </c:pt>
                <c:pt idx="3">
                  <c:v>0.83511143762440576</c:v>
                </c:pt>
                <c:pt idx="4">
                  <c:v>0.93</c:v>
                </c:pt>
                <c:pt idx="5">
                  <c:v>1.036969921462761</c:v>
                </c:pt>
                <c:pt idx="6">
                  <c:v>1.1594707528103099</c:v>
                </c:pt>
                <c:pt idx="7">
                  <c:v>1.3926436921793786</c:v>
                </c:pt>
                <c:pt idx="8">
                  <c:v>1.6331035608136657</c:v>
                </c:pt>
                <c:pt idx="9">
                  <c:v>2.02</c:v>
                </c:pt>
                <c:pt idx="10">
                  <c:v>2.5096010234877921</c:v>
                </c:pt>
                <c:pt idx="11">
                  <c:v>3.1827756414461343</c:v>
                </c:pt>
                <c:pt idx="12">
                  <c:v>4.1862588520627675</c:v>
                </c:pt>
                <c:pt idx="13">
                  <c:v>5.5699800869711646</c:v>
                </c:pt>
                <c:pt idx="14">
                  <c:v>7.5596708892868953</c:v>
                </c:pt>
                <c:pt idx="15">
                  <c:v>10.364762073298381</c:v>
                </c:pt>
                <c:pt idx="16">
                  <c:v>14.071540778907028</c:v>
                </c:pt>
                <c:pt idx="17">
                  <c:v>19.176551161213411</c:v>
                </c:pt>
                <c:pt idx="18">
                  <c:v>25.391368669797036</c:v>
                </c:pt>
                <c:pt idx="19">
                  <c:v>32.089654518261241</c:v>
                </c:pt>
                <c:pt idx="20">
                  <c:v>39.794608051729639</c:v>
                </c:pt>
                <c:pt idx="21">
                  <c:v>47.421943915918163</c:v>
                </c:pt>
                <c:pt idx="22">
                  <c:v>54.059097865518069</c:v>
                </c:pt>
                <c:pt idx="23">
                  <c:v>59.964781915008828</c:v>
                </c:pt>
                <c:pt idx="24">
                  <c:v>65.050788171679642</c:v>
                </c:pt>
                <c:pt idx="25">
                  <c:v>69.197236673813947</c:v>
                </c:pt>
                <c:pt idx="26">
                  <c:v>72.536485290986661</c:v>
                </c:pt>
                <c:pt idx="27">
                  <c:v>75.170528211419636</c:v>
                </c:pt>
                <c:pt idx="28">
                  <c:v>77.095025191458149</c:v>
                </c:pt>
                <c:pt idx="29">
                  <c:v>78.419182905316077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B-49AD-9425-CEA04B691D7C}"/>
            </c:ext>
          </c:extLst>
        </c:ser>
        <c:ser>
          <c:idx val="1"/>
          <c:order val="1"/>
          <c:tx>
            <c:strRef>
              <c:f>'FT240-61x3 13t'!$A$20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'FT240-61x3 13t'!$B$18:$AE$18</c:f>
              <c:numCache>
                <c:formatCode>0.000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'FT240-61x3 13t'!$B$20:$AE$20</c:f>
              <c:numCache>
                <c:formatCode>0</c:formatCode>
                <c:ptCount val="30"/>
                <c:pt idx="0">
                  <c:v>118.57</c:v>
                </c:pt>
                <c:pt idx="1">
                  <c:v>118.53968029339639</c:v>
                </c:pt>
                <c:pt idx="2">
                  <c:v>118.74548534852252</c:v>
                </c:pt>
                <c:pt idx="3">
                  <c:v>119.13224502943993</c:v>
                </c:pt>
                <c:pt idx="4">
                  <c:v>119.69</c:v>
                </c:pt>
                <c:pt idx="5">
                  <c:v>120.41980665671979</c:v>
                </c:pt>
                <c:pt idx="6">
                  <c:v>121.36869399692092</c:v>
                </c:pt>
                <c:pt idx="7">
                  <c:v>122.50340698858074</c:v>
                </c:pt>
                <c:pt idx="8">
                  <c:v>123.86522642233432</c:v>
                </c:pt>
                <c:pt idx="9">
                  <c:v>125.48</c:v>
                </c:pt>
                <c:pt idx="10">
                  <c:v>127.40209539131958</c:v>
                </c:pt>
                <c:pt idx="11">
                  <c:v>129.52648939190286</c:v>
                </c:pt>
                <c:pt idx="12">
                  <c:v>132.29104551836008</c:v>
                </c:pt>
                <c:pt idx="13">
                  <c:v>135.12198912144072</c:v>
                </c:pt>
                <c:pt idx="14">
                  <c:v>138.34472114290378</c:v>
                </c:pt>
                <c:pt idx="15">
                  <c:v>141.86529900339437</c:v>
                </c:pt>
                <c:pt idx="16">
                  <c:v>145.37170500941278</c:v>
                </c:pt>
                <c:pt idx="17">
                  <c:v>148.69565743233508</c:v>
                </c:pt>
                <c:pt idx="18">
                  <c:v>151.32572567542223</c:v>
                </c:pt>
                <c:pt idx="19">
                  <c:v>152.65425339002283</c:v>
                </c:pt>
                <c:pt idx="20">
                  <c:v>152.55221676355956</c:v>
                </c:pt>
                <c:pt idx="21">
                  <c:v>151.01754547328326</c:v>
                </c:pt>
                <c:pt idx="22">
                  <c:v>148.20067609090967</c:v>
                </c:pt>
                <c:pt idx="23">
                  <c:v>144.40610074717381</c:v>
                </c:pt>
                <c:pt idx="24">
                  <c:v>139.95141627964244</c:v>
                </c:pt>
                <c:pt idx="25">
                  <c:v>135.11398557250098</c:v>
                </c:pt>
                <c:pt idx="26">
                  <c:v>130.0795700595983</c:v>
                </c:pt>
                <c:pt idx="27">
                  <c:v>125.05991362921905</c:v>
                </c:pt>
                <c:pt idx="28">
                  <c:v>120.32684003060784</c:v>
                </c:pt>
                <c:pt idx="29">
                  <c:v>115.96025934130439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EB-49AD-9425-CEA04B69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66528"/>
        <c:axId val="609710112"/>
      </c:scatterChart>
      <c:valAx>
        <c:axId val="60306652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464918055811582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9710112"/>
        <c:crosses val="autoZero"/>
        <c:crossBetween val="midCat"/>
      </c:valAx>
      <c:valAx>
        <c:axId val="609710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0306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1035" name="Chart 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036" name="Chart 2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5</xdr:row>
      <xdr:rowOff>28575</xdr:rowOff>
    </xdr:from>
    <xdr:to>
      <xdr:col>17</xdr:col>
      <xdr:colOff>361950</xdr:colOff>
      <xdr:row>36</xdr:row>
      <xdr:rowOff>66675</xdr:rowOff>
    </xdr:to>
    <xdr:graphicFrame macro="">
      <xdr:nvGraphicFramePr>
        <xdr:cNvPr id="2059" name="Chart 1">
          <a:extLst>
            <a:ext uri="{FF2B5EF4-FFF2-40B4-BE49-F238E27FC236}">
              <a16:creationId xmlns:a16="http://schemas.microsoft.com/office/drawing/2014/main" id="{00000000-0008-0000-0100-00000B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36</xdr:row>
      <xdr:rowOff>19050</xdr:rowOff>
    </xdr:from>
    <xdr:to>
      <xdr:col>7</xdr:col>
      <xdr:colOff>504825</xdr:colOff>
      <xdr:row>67</xdr:row>
      <xdr:rowOff>66675</xdr:rowOff>
    </xdr:to>
    <xdr:graphicFrame macro="">
      <xdr:nvGraphicFramePr>
        <xdr:cNvPr id="2060" name="Chart 2">
          <a:extLst>
            <a:ext uri="{FF2B5EF4-FFF2-40B4-BE49-F238E27FC236}">
              <a16:creationId xmlns:a16="http://schemas.microsoft.com/office/drawing/2014/main" id="{00000000-0008-0000-0100-00000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5</xdr:row>
      <xdr:rowOff>28575</xdr:rowOff>
    </xdr:from>
    <xdr:to>
      <xdr:col>17</xdr:col>
      <xdr:colOff>361950</xdr:colOff>
      <xdr:row>36</xdr:row>
      <xdr:rowOff>66675</xdr:rowOff>
    </xdr:to>
    <xdr:graphicFrame macro="">
      <xdr:nvGraphicFramePr>
        <xdr:cNvPr id="41989" name="Chart 1">
          <a:extLst>
            <a:ext uri="{FF2B5EF4-FFF2-40B4-BE49-F238E27FC236}">
              <a16:creationId xmlns:a16="http://schemas.microsoft.com/office/drawing/2014/main" id="{00000000-0008-0000-0200-000005A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36</xdr:row>
      <xdr:rowOff>19050</xdr:rowOff>
    </xdr:from>
    <xdr:to>
      <xdr:col>7</xdr:col>
      <xdr:colOff>504825</xdr:colOff>
      <xdr:row>67</xdr:row>
      <xdr:rowOff>66675</xdr:rowOff>
    </xdr:to>
    <xdr:graphicFrame macro="">
      <xdr:nvGraphicFramePr>
        <xdr:cNvPr id="41990" name="Chart 2">
          <a:extLst>
            <a:ext uri="{FF2B5EF4-FFF2-40B4-BE49-F238E27FC236}">
              <a16:creationId xmlns:a16="http://schemas.microsoft.com/office/drawing/2014/main" id="{00000000-0008-0000-0200-000006A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5</xdr:row>
      <xdr:rowOff>28575</xdr:rowOff>
    </xdr:from>
    <xdr:to>
      <xdr:col>17</xdr:col>
      <xdr:colOff>361950</xdr:colOff>
      <xdr:row>36</xdr:row>
      <xdr:rowOff>66675</xdr:rowOff>
    </xdr:to>
    <xdr:graphicFrame macro="">
      <xdr:nvGraphicFramePr>
        <xdr:cNvPr id="3083" name="Chart 1">
          <a:extLst>
            <a:ext uri="{FF2B5EF4-FFF2-40B4-BE49-F238E27FC236}">
              <a16:creationId xmlns:a16="http://schemas.microsoft.com/office/drawing/2014/main" id="{00000000-0008-0000-03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36</xdr:row>
      <xdr:rowOff>19050</xdr:rowOff>
    </xdr:from>
    <xdr:to>
      <xdr:col>7</xdr:col>
      <xdr:colOff>504825</xdr:colOff>
      <xdr:row>67</xdr:row>
      <xdr:rowOff>66675</xdr:rowOff>
    </xdr:to>
    <xdr:graphicFrame macro="">
      <xdr:nvGraphicFramePr>
        <xdr:cNvPr id="3084" name="Chart 2">
          <a:extLst>
            <a:ext uri="{FF2B5EF4-FFF2-40B4-BE49-F238E27FC236}">
              <a16:creationId xmlns:a16="http://schemas.microsoft.com/office/drawing/2014/main" id="{00000000-0008-0000-03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4107" name="Chart 1">
          <a:extLst>
            <a:ext uri="{FF2B5EF4-FFF2-40B4-BE49-F238E27FC236}">
              <a16:creationId xmlns:a16="http://schemas.microsoft.com/office/drawing/2014/main" id="{00000000-0008-0000-0400-00000B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4108" name="Chart 2">
          <a:extLst>
            <a:ext uri="{FF2B5EF4-FFF2-40B4-BE49-F238E27FC236}">
              <a16:creationId xmlns:a16="http://schemas.microsoft.com/office/drawing/2014/main" id="{00000000-0008-0000-0400-00000C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5131" name="Chart 1">
          <a:extLst>
            <a:ext uri="{FF2B5EF4-FFF2-40B4-BE49-F238E27FC236}">
              <a16:creationId xmlns:a16="http://schemas.microsoft.com/office/drawing/2014/main" id="{00000000-0008-0000-0500-00000B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5132" name="Chart 2">
          <a:extLst>
            <a:ext uri="{FF2B5EF4-FFF2-40B4-BE49-F238E27FC236}">
              <a16:creationId xmlns:a16="http://schemas.microsoft.com/office/drawing/2014/main" id="{00000000-0008-0000-0500-00000C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0</xdr:row>
      <xdr:rowOff>209550</xdr:rowOff>
    </xdr:from>
    <xdr:to>
      <xdr:col>15</xdr:col>
      <xdr:colOff>361950</xdr:colOff>
      <xdr:row>27</xdr:row>
      <xdr:rowOff>9525</xdr:rowOff>
    </xdr:to>
    <xdr:graphicFrame macro="">
      <xdr:nvGraphicFramePr>
        <xdr:cNvPr id="16393" name="Chart 1">
          <a:extLst>
            <a:ext uri="{FF2B5EF4-FFF2-40B4-BE49-F238E27FC236}">
              <a16:creationId xmlns:a16="http://schemas.microsoft.com/office/drawing/2014/main" id="{00000000-0008-0000-0600-0000094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30</xdr:row>
      <xdr:rowOff>104775</xdr:rowOff>
    </xdr:from>
    <xdr:to>
      <xdr:col>13</xdr:col>
      <xdr:colOff>476250</xdr:colOff>
      <xdr:row>57</xdr:row>
      <xdr:rowOff>0</xdr:rowOff>
    </xdr:to>
    <xdr:graphicFrame macro="">
      <xdr:nvGraphicFramePr>
        <xdr:cNvPr id="16394" name="Chart 2">
          <a:extLst>
            <a:ext uri="{FF2B5EF4-FFF2-40B4-BE49-F238E27FC236}">
              <a16:creationId xmlns:a16="http://schemas.microsoft.com/office/drawing/2014/main" id="{00000000-0008-0000-0600-00000A4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ew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T240-61 12t"/>
      <sheetName val="MM"/>
      <sheetName val="Measured"/>
      <sheetName val="Mix"/>
    </sheetNames>
    <sheetDataSet>
      <sheetData sheetId="0"/>
      <sheetData sheetId="1"/>
      <sheetData sheetId="2"/>
      <sheetData sheetId="3">
        <row r="6">
          <cell r="J6">
            <v>10000</v>
          </cell>
          <cell r="K6">
            <v>0.45</v>
          </cell>
        </row>
        <row r="7">
          <cell r="J7">
            <v>50000</v>
          </cell>
          <cell r="K7">
            <v>0.45</v>
          </cell>
        </row>
        <row r="8">
          <cell r="J8">
            <v>100000</v>
          </cell>
          <cell r="K8">
            <v>0.45</v>
          </cell>
        </row>
        <row r="9">
          <cell r="J9">
            <v>300000</v>
          </cell>
          <cell r="K9">
            <v>0.46</v>
          </cell>
        </row>
        <row r="10">
          <cell r="J10">
            <v>500000</v>
          </cell>
          <cell r="K10">
            <v>0.48</v>
          </cell>
        </row>
        <row r="11">
          <cell r="J11">
            <v>700000</v>
          </cell>
          <cell r="K11">
            <v>0.57999999999999996</v>
          </cell>
        </row>
        <row r="12">
          <cell r="J12">
            <v>1000000</v>
          </cell>
          <cell r="K12">
            <v>0.62</v>
          </cell>
        </row>
        <row r="13">
          <cell r="J13">
            <v>1080000</v>
          </cell>
          <cell r="K13">
            <v>0.62</v>
          </cell>
        </row>
        <row r="14">
          <cell r="J14">
            <v>1160000</v>
          </cell>
          <cell r="K14">
            <v>0.62</v>
          </cell>
        </row>
        <row r="15">
          <cell r="J15">
            <v>1240000</v>
          </cell>
          <cell r="K15">
            <v>0.63</v>
          </cell>
        </row>
        <row r="16">
          <cell r="J16">
            <v>1320000</v>
          </cell>
          <cell r="K16">
            <v>0.65</v>
          </cell>
        </row>
        <row r="17">
          <cell r="J17">
            <v>1420000</v>
          </cell>
          <cell r="K17">
            <v>0.66</v>
          </cell>
        </row>
        <row r="18">
          <cell r="J18">
            <v>1530000</v>
          </cell>
          <cell r="K18">
            <v>0.7</v>
          </cell>
        </row>
        <row r="19">
          <cell r="J19">
            <v>1640000</v>
          </cell>
          <cell r="K19">
            <v>0.72</v>
          </cell>
        </row>
        <row r="20">
          <cell r="J20">
            <v>1750000</v>
          </cell>
          <cell r="K20">
            <v>0.75</v>
          </cell>
        </row>
        <row r="21">
          <cell r="J21">
            <v>1870000</v>
          </cell>
          <cell r="K21">
            <v>0.75</v>
          </cell>
        </row>
        <row r="22">
          <cell r="J22">
            <v>2020000</v>
          </cell>
          <cell r="K22">
            <v>0.76</v>
          </cell>
        </row>
        <row r="23">
          <cell r="J23">
            <v>2160000</v>
          </cell>
          <cell r="K23">
            <v>0.76</v>
          </cell>
        </row>
        <row r="24">
          <cell r="J24">
            <v>2310000</v>
          </cell>
          <cell r="K24">
            <v>0.74</v>
          </cell>
        </row>
        <row r="25">
          <cell r="J25">
            <v>2480000</v>
          </cell>
          <cell r="K25">
            <v>0.77</v>
          </cell>
        </row>
        <row r="26">
          <cell r="J26">
            <v>2670000</v>
          </cell>
          <cell r="K26">
            <v>0.76</v>
          </cell>
        </row>
        <row r="27">
          <cell r="J27">
            <v>2860000</v>
          </cell>
          <cell r="K27">
            <v>0.77</v>
          </cell>
        </row>
        <row r="28">
          <cell r="J28">
            <v>3050000</v>
          </cell>
          <cell r="K28">
            <v>0.78</v>
          </cell>
        </row>
        <row r="29">
          <cell r="J29">
            <v>3270000</v>
          </cell>
          <cell r="K29">
            <v>0.78</v>
          </cell>
        </row>
        <row r="30">
          <cell r="J30">
            <v>3530000</v>
          </cell>
          <cell r="K30">
            <v>0.8</v>
          </cell>
        </row>
        <row r="31">
          <cell r="J31">
            <v>3780000</v>
          </cell>
          <cell r="K31">
            <v>0.81</v>
          </cell>
        </row>
        <row r="32">
          <cell r="J32">
            <v>4040000</v>
          </cell>
          <cell r="K32">
            <v>0.84</v>
          </cell>
        </row>
        <row r="33">
          <cell r="J33">
            <v>4330000</v>
          </cell>
          <cell r="K33">
            <v>0.86</v>
          </cell>
        </row>
        <row r="34">
          <cell r="J34">
            <v>4660000</v>
          </cell>
          <cell r="K34">
            <v>0.87</v>
          </cell>
        </row>
        <row r="35">
          <cell r="J35">
            <v>5000000</v>
          </cell>
          <cell r="K35">
            <v>0.93</v>
          </cell>
        </row>
        <row r="36">
          <cell r="J36">
            <v>5340000</v>
          </cell>
          <cell r="K36">
            <v>0.95</v>
          </cell>
        </row>
        <row r="37">
          <cell r="J37">
            <v>5720000</v>
          </cell>
          <cell r="K37">
            <v>0.98</v>
          </cell>
        </row>
        <row r="38">
          <cell r="J38">
            <v>6170000</v>
          </cell>
          <cell r="K38">
            <v>1.07</v>
          </cell>
        </row>
        <row r="39">
          <cell r="J39">
            <v>6610000</v>
          </cell>
          <cell r="K39">
            <v>1.1100000000000001</v>
          </cell>
        </row>
        <row r="40">
          <cell r="J40">
            <v>7050000</v>
          </cell>
          <cell r="K40">
            <v>1.17</v>
          </cell>
        </row>
        <row r="41">
          <cell r="J41">
            <v>7560000</v>
          </cell>
          <cell r="K41">
            <v>1.31</v>
          </cell>
        </row>
        <row r="42">
          <cell r="J42">
            <v>8170000</v>
          </cell>
          <cell r="K42">
            <v>1.42</v>
          </cell>
        </row>
        <row r="43">
          <cell r="J43">
            <v>8780000</v>
          </cell>
          <cell r="K43">
            <v>1.56</v>
          </cell>
        </row>
        <row r="44">
          <cell r="J44">
            <v>9390000</v>
          </cell>
          <cell r="K44">
            <v>1.78</v>
          </cell>
        </row>
        <row r="45">
          <cell r="J45">
            <v>10000000</v>
          </cell>
          <cell r="K45">
            <v>2.02</v>
          </cell>
        </row>
        <row r="46">
          <cell r="J46">
            <v>10700000</v>
          </cell>
          <cell r="K46">
            <v>2.35</v>
          </cell>
        </row>
        <row r="47">
          <cell r="J47">
            <v>11600000</v>
          </cell>
          <cell r="K47">
            <v>2.88</v>
          </cell>
        </row>
        <row r="48">
          <cell r="J48">
            <v>12400000</v>
          </cell>
          <cell r="K48">
            <v>3.54</v>
          </cell>
        </row>
        <row r="49">
          <cell r="J49">
            <v>13200000</v>
          </cell>
          <cell r="K49">
            <v>4.43</v>
          </cell>
        </row>
        <row r="50">
          <cell r="J50">
            <v>14200000</v>
          </cell>
          <cell r="K50">
            <v>5.91</v>
          </cell>
        </row>
        <row r="51">
          <cell r="J51">
            <v>15300000</v>
          </cell>
          <cell r="K51">
            <v>8.31</v>
          </cell>
        </row>
        <row r="52">
          <cell r="J52">
            <v>16400000</v>
          </cell>
          <cell r="K52">
            <v>11.73</v>
          </cell>
        </row>
        <row r="53">
          <cell r="J53">
            <v>17500000</v>
          </cell>
          <cell r="K53">
            <v>16.41</v>
          </cell>
        </row>
        <row r="54">
          <cell r="J54">
            <v>18700000</v>
          </cell>
          <cell r="K54">
            <v>23.49</v>
          </cell>
        </row>
        <row r="55">
          <cell r="J55">
            <v>20200000</v>
          </cell>
          <cell r="K55">
            <v>33.549999999999997</v>
          </cell>
        </row>
        <row r="56">
          <cell r="J56">
            <v>21600000</v>
          </cell>
          <cell r="K56">
            <v>44.49</v>
          </cell>
        </row>
        <row r="57">
          <cell r="J57">
            <v>23100000</v>
          </cell>
          <cell r="K57">
            <v>54.68</v>
          </cell>
        </row>
        <row r="58">
          <cell r="J58">
            <v>24800000</v>
          </cell>
          <cell r="K58">
            <v>64.11</v>
          </cell>
        </row>
        <row r="59">
          <cell r="J59">
            <v>26700000</v>
          </cell>
          <cell r="K59">
            <v>71.61</v>
          </cell>
        </row>
        <row r="60">
          <cell r="J60">
            <v>28600000</v>
          </cell>
          <cell r="K60">
            <v>76.41</v>
          </cell>
        </row>
        <row r="61">
          <cell r="J61">
            <v>30500000</v>
          </cell>
          <cell r="K61">
            <v>78.94</v>
          </cell>
        </row>
        <row r="62">
          <cell r="J62">
            <v>32700000</v>
          </cell>
          <cell r="K62">
            <v>80.56</v>
          </cell>
        </row>
        <row r="63">
          <cell r="J63">
            <v>35300000</v>
          </cell>
          <cell r="K63">
            <v>80.98</v>
          </cell>
        </row>
        <row r="64">
          <cell r="J64">
            <v>37800000</v>
          </cell>
          <cell r="K64">
            <v>80.56</v>
          </cell>
        </row>
        <row r="65">
          <cell r="J65">
            <v>40400000</v>
          </cell>
          <cell r="K65">
            <v>79.37</v>
          </cell>
        </row>
        <row r="66">
          <cell r="J66">
            <v>43300000</v>
          </cell>
          <cell r="K66">
            <v>77.69</v>
          </cell>
        </row>
        <row r="67">
          <cell r="J67">
            <v>46600000</v>
          </cell>
          <cell r="K67">
            <v>75.44</v>
          </cell>
        </row>
        <row r="68">
          <cell r="J68">
            <v>50000000</v>
          </cell>
          <cell r="K68">
            <v>73.150000000000006</v>
          </cell>
        </row>
        <row r="69">
          <cell r="J69">
            <v>53400000</v>
          </cell>
          <cell r="K69">
            <v>70.95</v>
          </cell>
        </row>
        <row r="70">
          <cell r="J70">
            <v>57200000</v>
          </cell>
          <cell r="K70">
            <v>68.5</v>
          </cell>
        </row>
        <row r="71">
          <cell r="J71">
            <v>61700000</v>
          </cell>
          <cell r="K71">
            <v>65.97</v>
          </cell>
        </row>
        <row r="72">
          <cell r="J72">
            <v>66100000</v>
          </cell>
          <cell r="K72">
            <v>63.62</v>
          </cell>
        </row>
        <row r="73">
          <cell r="J73">
            <v>70500000</v>
          </cell>
          <cell r="K73">
            <v>61.47</v>
          </cell>
        </row>
        <row r="74">
          <cell r="J74">
            <v>75600000</v>
          </cell>
          <cell r="K74">
            <v>59.3</v>
          </cell>
        </row>
        <row r="75">
          <cell r="J75">
            <v>81700000</v>
          </cell>
          <cell r="K75">
            <v>56.95</v>
          </cell>
        </row>
        <row r="76">
          <cell r="J76">
            <v>87800000</v>
          </cell>
          <cell r="K76">
            <v>54.88</v>
          </cell>
        </row>
        <row r="77">
          <cell r="J77">
            <v>93900000</v>
          </cell>
          <cell r="K77">
            <v>53.08</v>
          </cell>
        </row>
        <row r="78">
          <cell r="J78">
            <v>100000000</v>
          </cell>
          <cell r="K78">
            <v>51.43</v>
          </cell>
        </row>
        <row r="79">
          <cell r="J79">
            <v>107000000</v>
          </cell>
          <cell r="K79">
            <v>49.72</v>
          </cell>
        </row>
        <row r="80">
          <cell r="J80">
            <v>116000000</v>
          </cell>
          <cell r="K80">
            <v>47.92</v>
          </cell>
        </row>
        <row r="81">
          <cell r="J81">
            <v>124000000</v>
          </cell>
          <cell r="K81">
            <v>46.32</v>
          </cell>
        </row>
        <row r="82">
          <cell r="J82">
            <v>132000000</v>
          </cell>
          <cell r="K82">
            <v>44.89</v>
          </cell>
        </row>
        <row r="83">
          <cell r="J83">
            <v>142000000</v>
          </cell>
          <cell r="K83">
            <v>43.33</v>
          </cell>
        </row>
        <row r="84">
          <cell r="J84">
            <v>153000000</v>
          </cell>
          <cell r="K84">
            <v>41.76</v>
          </cell>
        </row>
        <row r="85">
          <cell r="J85">
            <v>164000000</v>
          </cell>
          <cell r="K85">
            <v>40.299999999999997</v>
          </cell>
        </row>
        <row r="86">
          <cell r="J86">
            <v>175000000</v>
          </cell>
          <cell r="K86">
            <v>38.909999999999997</v>
          </cell>
        </row>
        <row r="87">
          <cell r="J87">
            <v>187000000</v>
          </cell>
          <cell r="K87">
            <v>37.479999999999997</v>
          </cell>
        </row>
        <row r="88">
          <cell r="J88">
            <v>202000000</v>
          </cell>
          <cell r="K88">
            <v>35.950000000000003</v>
          </cell>
        </row>
        <row r="89">
          <cell r="J89">
            <v>216000000</v>
          </cell>
          <cell r="K89">
            <v>34.549999999999997</v>
          </cell>
        </row>
        <row r="90">
          <cell r="J90">
            <v>231000000</v>
          </cell>
          <cell r="K90">
            <v>33.22</v>
          </cell>
        </row>
        <row r="91">
          <cell r="J91">
            <v>248000000</v>
          </cell>
          <cell r="K91">
            <v>31.81</v>
          </cell>
        </row>
        <row r="92">
          <cell r="J92">
            <v>267000000</v>
          </cell>
          <cell r="K92">
            <v>30.3</v>
          </cell>
        </row>
        <row r="93">
          <cell r="J93">
            <v>286000000</v>
          </cell>
          <cell r="K93">
            <v>28.89</v>
          </cell>
        </row>
        <row r="94">
          <cell r="J94">
            <v>305000000</v>
          </cell>
          <cell r="K94">
            <v>27.62</v>
          </cell>
        </row>
        <row r="95">
          <cell r="J95">
            <v>327000000</v>
          </cell>
          <cell r="K95">
            <v>26.28</v>
          </cell>
        </row>
        <row r="96">
          <cell r="J96">
            <v>353000000</v>
          </cell>
          <cell r="K96">
            <v>24.89</v>
          </cell>
        </row>
        <row r="97">
          <cell r="J97">
            <v>378000000</v>
          </cell>
          <cell r="K97">
            <v>23.63</v>
          </cell>
        </row>
        <row r="98">
          <cell r="J98">
            <v>404000000</v>
          </cell>
          <cell r="K98">
            <v>22.49</v>
          </cell>
        </row>
        <row r="99">
          <cell r="J99">
            <v>433000000</v>
          </cell>
          <cell r="K99">
            <v>21.36</v>
          </cell>
        </row>
        <row r="100">
          <cell r="J100">
            <v>466000000</v>
          </cell>
          <cell r="K100">
            <v>20.25</v>
          </cell>
        </row>
        <row r="101">
          <cell r="J101">
            <v>500000000</v>
          </cell>
          <cell r="K101">
            <v>19.170000000000002</v>
          </cell>
        </row>
        <row r="102">
          <cell r="J102">
            <v>534000000</v>
          </cell>
          <cell r="K102">
            <v>18.27</v>
          </cell>
        </row>
        <row r="103">
          <cell r="J103">
            <v>572000000</v>
          </cell>
          <cell r="K103">
            <v>17.329999999999998</v>
          </cell>
        </row>
        <row r="104">
          <cell r="J104">
            <v>617000000</v>
          </cell>
          <cell r="K104">
            <v>16.399999999999999</v>
          </cell>
        </row>
        <row r="105">
          <cell r="J105">
            <v>661000000</v>
          </cell>
          <cell r="K105">
            <v>15.59</v>
          </cell>
        </row>
        <row r="106">
          <cell r="J106">
            <v>705000000</v>
          </cell>
          <cell r="K106">
            <v>14.87</v>
          </cell>
        </row>
        <row r="107">
          <cell r="J107">
            <v>756000000</v>
          </cell>
          <cell r="K107">
            <v>14.13</v>
          </cell>
        </row>
        <row r="108">
          <cell r="J108">
            <v>817000000</v>
          </cell>
          <cell r="K108">
            <v>13.41</v>
          </cell>
        </row>
        <row r="109">
          <cell r="J109">
            <v>878000000</v>
          </cell>
          <cell r="K109">
            <v>12.79</v>
          </cell>
        </row>
        <row r="110">
          <cell r="J110">
            <v>939000000</v>
          </cell>
          <cell r="K110">
            <v>12.3</v>
          </cell>
        </row>
        <row r="111">
          <cell r="J111">
            <v>1000000000</v>
          </cell>
          <cell r="K111">
            <v>11.9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vk1od.net/blog/?p=806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vk1od.net/blog/?p=806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vk1od.net/blog/?p=80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://vk1od.net/blog/?p=806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5"/>
  <sheetViews>
    <sheetView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140</v>
      </c>
    </row>
    <row r="8" spans="1:2" x14ac:dyDescent="0.2">
      <c r="A8" t="s">
        <v>7</v>
      </c>
      <c r="B8" s="3">
        <v>12</v>
      </c>
    </row>
    <row r="9" spans="1:2" x14ac:dyDescent="0.2">
      <c r="A9" t="s">
        <v>10</v>
      </c>
      <c r="B9" s="3">
        <v>1.3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1.2666901579274048E-4</v>
      </c>
    </row>
    <row r="18" spans="1:31" x14ac:dyDescent="0.2">
      <c r="A18" t="s">
        <v>4</v>
      </c>
      <c r="B18" s="10">
        <v>1</v>
      </c>
      <c r="C18" s="10">
        <f>B18+1</f>
        <v>2</v>
      </c>
      <c r="D18" s="10">
        <f t="shared" ref="D18:AE18" si="0">C18+1</f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csinterpolate(CSTableU2,'FT140-61 12t'!B18*1000000)</f>
        <v>0.62</v>
      </c>
      <c r="C19" s="7">
        <f>csinterpolate(CSTableU2,'FT140-61 12t'!C18*1000000)</f>
        <v>0.75819431100099222</v>
      </c>
      <c r="D19" s="7">
        <f>csinterpolate(CSTableU2,'FT140-61 12t'!D18*1000000)</f>
        <v>0.77887091186070234</v>
      </c>
      <c r="E19" s="7">
        <f>csinterpolate(CSTableU2,'FT140-61 12t'!E18*1000000)</f>
        <v>0.83511143762440576</v>
      </c>
      <c r="F19" s="7">
        <f>csinterpolate(CSTableU2,'FT140-61 12t'!F18*1000000)</f>
        <v>0.93</v>
      </c>
      <c r="G19" s="7">
        <f>csinterpolate(CSTableU2,'FT140-61 12t'!G18*1000000)</f>
        <v>1.036969921462761</v>
      </c>
      <c r="H19" s="7">
        <f>csinterpolate(CSTableU2,'FT140-61 12t'!H18*1000000)</f>
        <v>1.1594707528103099</v>
      </c>
      <c r="I19" s="7">
        <f>csinterpolate(CSTableU2,'FT140-61 12t'!I18*1000000)</f>
        <v>1.3926436921793786</v>
      </c>
      <c r="J19" s="7">
        <f>csinterpolate(CSTableU2,'FT140-61 12t'!J18*1000000)</f>
        <v>1.6331035608136657</v>
      </c>
      <c r="K19" s="7">
        <f>csinterpolate(CSTableU2,'FT140-61 12t'!K18*1000000)</f>
        <v>2.02</v>
      </c>
      <c r="L19" s="7">
        <f>csinterpolate(CSTableU2,'FT140-61 12t'!L18*1000000)</f>
        <v>2.5096010234877921</v>
      </c>
      <c r="M19" s="7">
        <f>csinterpolate(CSTableU2,'FT140-61 12t'!M18*1000000)</f>
        <v>3.1827756414461343</v>
      </c>
      <c r="N19" s="7">
        <f>csinterpolate(CSTableU2,'FT140-61 12t'!N18*1000000)</f>
        <v>4.1862588520627675</v>
      </c>
      <c r="O19" s="7">
        <f>csinterpolate(CSTableU2,'FT140-61 12t'!O18*1000000)</f>
        <v>5.5699800869711646</v>
      </c>
      <c r="P19" s="7">
        <f>csinterpolate(CSTableU2,'FT140-61 12t'!P18*1000000)</f>
        <v>7.5596708892868953</v>
      </c>
      <c r="Q19" s="7">
        <f>csinterpolate(CSTableU2,'FT140-61 12t'!Q18*1000000)</f>
        <v>10.364762073298381</v>
      </c>
      <c r="R19" s="7">
        <f>csinterpolate(CSTableU2,'FT140-61 12t'!R18*1000000)</f>
        <v>14.071540778907028</v>
      </c>
      <c r="S19" s="7">
        <f>csinterpolate(CSTableU2,'FT140-61 12t'!S18*1000000)</f>
        <v>19.176551161213411</v>
      </c>
      <c r="T19" s="7">
        <f>csinterpolate(CSTableU2,'FT140-61 12t'!T18*1000000)</f>
        <v>25.391368669797036</v>
      </c>
      <c r="U19" s="7">
        <f>csinterpolate(CSTableU2,'FT140-61 12t'!U18*1000000)</f>
        <v>32.089654518261241</v>
      </c>
      <c r="V19" s="7">
        <f>csinterpolate(CSTableU2,'FT140-61 12t'!V18*1000000)</f>
        <v>39.794608051729639</v>
      </c>
      <c r="W19" s="7">
        <f>csinterpolate(CSTableU2,'FT140-61 12t'!W18*1000000)</f>
        <v>47.421943915918163</v>
      </c>
      <c r="X19" s="7">
        <f>csinterpolate(CSTableU2,'FT140-61 12t'!X18*1000000)</f>
        <v>54.059097865518069</v>
      </c>
      <c r="Y19" s="7">
        <f>csinterpolate(CSTableU2,'FT140-61 12t'!Y18*1000000)</f>
        <v>59.964781915008828</v>
      </c>
      <c r="Z19" s="7">
        <f>csinterpolate(CSTableU2,'FT140-61 12t'!Z18*1000000)</f>
        <v>65.050788171679642</v>
      </c>
      <c r="AA19" s="7">
        <f>csinterpolate(CSTableU2,'FT140-61 12t'!AA18*1000000)</f>
        <v>69.197236673813947</v>
      </c>
      <c r="AB19" s="7">
        <f>csinterpolate(CSTableU2,'FT140-61 12t'!AB18*1000000)</f>
        <v>72.536485290986661</v>
      </c>
      <c r="AC19" s="7">
        <f>csinterpolate(CSTableU2,'FT140-61 12t'!AC18*1000000)</f>
        <v>75.170528211419636</v>
      </c>
      <c r="AD19" s="7">
        <f>csinterpolate(CSTableU2,'FT140-61 12t'!AD18*1000000)</f>
        <v>77.095025191458149</v>
      </c>
      <c r="AE19" s="7">
        <f>csinterpolate(CSTableU2,'FT140-61 12t'!AE18*1000000)</f>
        <v>78.419182905316077</v>
      </c>
    </row>
    <row r="20" spans="1:31" x14ac:dyDescent="0.2">
      <c r="A20" t="s">
        <v>5</v>
      </c>
      <c r="B20" s="7">
        <f>csinterpolate(CSTableU1,'FT140-61 12t'!B18*1000000)</f>
        <v>118.57</v>
      </c>
      <c r="C20" s="7">
        <f>csinterpolate(CSTableU1,'FT140-61 12t'!C18*1000000)</f>
        <v>118.53968029339639</v>
      </c>
      <c r="D20" s="7">
        <f>csinterpolate(CSTableU1,'FT140-61 12t'!D18*1000000)</f>
        <v>118.74548534852252</v>
      </c>
      <c r="E20" s="7">
        <f>csinterpolate(CSTableU1,'FT140-61 12t'!E18*1000000)</f>
        <v>119.13224502943993</v>
      </c>
      <c r="F20" s="7">
        <f>csinterpolate(CSTableU1,'FT140-61 12t'!F18*1000000)</f>
        <v>119.69</v>
      </c>
      <c r="G20" s="7">
        <f>csinterpolate(CSTableU1,'FT140-61 12t'!G18*1000000)</f>
        <v>120.41980665671979</v>
      </c>
      <c r="H20" s="7">
        <f>csinterpolate(CSTableU1,'FT140-61 12t'!H18*1000000)</f>
        <v>121.36869399692092</v>
      </c>
      <c r="I20" s="7">
        <f>csinterpolate(CSTableU1,'FT140-61 12t'!I18*1000000)</f>
        <v>122.50340698858074</v>
      </c>
      <c r="J20" s="7">
        <f>csinterpolate(CSTableU1,'FT140-61 12t'!J18*1000000)</f>
        <v>123.86522642233432</v>
      </c>
      <c r="K20" s="7">
        <f>csinterpolate(CSTableU1,'FT140-61 12t'!K18*1000000)</f>
        <v>125.48</v>
      </c>
      <c r="L20" s="7">
        <f>csinterpolate(CSTableU1,'FT140-61 12t'!L18*1000000)</f>
        <v>127.40209539131958</v>
      </c>
      <c r="M20" s="7">
        <f>csinterpolate(CSTableU1,'FT140-61 12t'!M18*1000000)</f>
        <v>129.52648939190286</v>
      </c>
      <c r="N20" s="7">
        <f>csinterpolate(CSTableU1,'FT140-61 12t'!N18*1000000)</f>
        <v>132.29104551836008</v>
      </c>
      <c r="O20" s="7">
        <f>csinterpolate(CSTableU1,'FT140-61 12t'!O18*1000000)</f>
        <v>135.12198912144072</v>
      </c>
      <c r="P20" s="7">
        <f>csinterpolate(CSTableU1,'FT140-61 12t'!P18*1000000)</f>
        <v>138.34472114290378</v>
      </c>
      <c r="Q20" s="7">
        <f>csinterpolate(CSTableU1,'FT140-61 12t'!Q18*1000000)</f>
        <v>141.86529900339437</v>
      </c>
      <c r="R20" s="7">
        <f>csinterpolate(CSTableU1,'FT140-61 12t'!R18*1000000)</f>
        <v>145.37170500941278</v>
      </c>
      <c r="S20" s="7">
        <f>csinterpolate(CSTableU1,'FT140-61 12t'!S18*1000000)</f>
        <v>148.69565743233508</v>
      </c>
      <c r="T20" s="7">
        <f>csinterpolate(CSTableU1,'FT140-61 12t'!T18*1000000)</f>
        <v>151.32572567542223</v>
      </c>
      <c r="U20" s="7">
        <f>csinterpolate(CSTableU1,'FT140-61 12t'!U18*1000000)</f>
        <v>152.65425339002283</v>
      </c>
      <c r="V20" s="7">
        <f>csinterpolate(CSTableU1,'FT140-61 12t'!V18*1000000)</f>
        <v>152.55221676355956</v>
      </c>
      <c r="W20" s="7">
        <f>csinterpolate(CSTableU1,'FT140-61 12t'!W18*1000000)</f>
        <v>151.01754547328326</v>
      </c>
      <c r="X20" s="7">
        <f>csinterpolate(CSTableU1,'FT140-61 12t'!X18*1000000)</f>
        <v>148.20067609090967</v>
      </c>
      <c r="Y20" s="7">
        <f>csinterpolate(CSTableU1,'FT140-61 12t'!Y18*1000000)</f>
        <v>144.40610074717381</v>
      </c>
      <c r="Z20" s="7">
        <f>csinterpolate(CSTableU1,'FT140-61 12t'!Z18*1000000)</f>
        <v>139.95141627964244</v>
      </c>
      <c r="AA20" s="7">
        <f>csinterpolate(CSTableU1,'FT140-61 12t'!AA18*1000000)</f>
        <v>135.11398557250098</v>
      </c>
      <c r="AB20" s="7">
        <f>csinterpolate(CSTableU1,'FT140-61 12t'!AB18*1000000)</f>
        <v>130.0795700595983</v>
      </c>
      <c r="AC20" s="7">
        <f>csinterpolate(CSTableU1,'FT140-61 12t'!AC18*1000000)</f>
        <v>125.05991362921905</v>
      </c>
      <c r="AD20" s="7">
        <f>csinterpolate(CSTableU1,'FT140-61 12t'!AD18*1000000)</f>
        <v>120.32684003060784</v>
      </c>
      <c r="AE20" s="7">
        <f>csinterpolate(CSTableU1,'FT140-61 12t'!AE18*1000000)</f>
        <v>115.96025934130439</v>
      </c>
    </row>
    <row r="21" spans="1:31" x14ac:dyDescent="0.2">
      <c r="A21" t="s">
        <v>12</v>
      </c>
      <c r="B21" s="5">
        <f t="shared" ref="B21:AE21" si="1">B19/$B$13*$B$16*B18*1000000</f>
        <v>0.62827831833199277</v>
      </c>
      <c r="C21" s="5">
        <f t="shared" si="1"/>
        <v>1.5366356344664107</v>
      </c>
      <c r="D21" s="5">
        <f t="shared" si="1"/>
        <v>2.3678114840397475</v>
      </c>
      <c r="E21" s="5">
        <f t="shared" si="1"/>
        <v>3.3850478041966094</v>
      </c>
      <c r="F21" s="5">
        <f t="shared" si="1"/>
        <v>4.7120873874899463</v>
      </c>
      <c r="G21" s="5">
        <f t="shared" si="1"/>
        <v>6.3048940492014394</v>
      </c>
      <c r="H21" s="5">
        <f t="shared" si="1"/>
        <v>8.2246650695411923</v>
      </c>
      <c r="I21" s="5">
        <f t="shared" si="1"/>
        <v>11.289907573653128</v>
      </c>
      <c r="J21" s="5">
        <f t="shared" si="1"/>
        <v>14.894180692983861</v>
      </c>
      <c r="K21" s="5">
        <f t="shared" si="1"/>
        <v>20.46971295210686</v>
      </c>
      <c r="L21" s="5">
        <f t="shared" si="1"/>
        <v>27.97420486763345</v>
      </c>
      <c r="M21" s="5">
        <f t="shared" si="1"/>
        <v>38.703269567144645</v>
      </c>
      <c r="N21" s="5">
        <f t="shared" si="1"/>
        <v>55.148006019021587</v>
      </c>
      <c r="O21" s="5">
        <f t="shared" si="1"/>
        <v>79.020916307401649</v>
      </c>
      <c r="P21" s="5">
        <f t="shared" si="1"/>
        <v>114.90912855156024</v>
      </c>
      <c r="Q21" s="5">
        <f t="shared" si="1"/>
        <v>168.05045897608065</v>
      </c>
      <c r="R21" s="5">
        <f t="shared" si="1"/>
        <v>242.41023807661298</v>
      </c>
      <c r="S21" s="5">
        <f t="shared" si="1"/>
        <v>349.78678011216533</v>
      </c>
      <c r="T21" s="5">
        <f t="shared" si="1"/>
        <v>488.87755121314012</v>
      </c>
      <c r="U21" s="5">
        <f t="shared" si="1"/>
        <v>650.3623927931551</v>
      </c>
      <c r="V21" s="5">
        <f t="shared" si="1"/>
        <v>846.84496440943701</v>
      </c>
      <c r="W21" s="5">
        <f t="shared" si="1"/>
        <v>1057.2128094541888</v>
      </c>
      <c r="X21" s="5">
        <f t="shared" si="1"/>
        <v>1259.9607407134245</v>
      </c>
      <c r="Y21" s="5">
        <f t="shared" si="1"/>
        <v>1458.3705422208943</v>
      </c>
      <c r="Z21" s="5">
        <f t="shared" si="1"/>
        <v>1647.9838628497409</v>
      </c>
      <c r="AA21" s="5">
        <f t="shared" si="1"/>
        <v>1823.1503399302626</v>
      </c>
      <c r="AB21" s="5">
        <f t="shared" si="1"/>
        <v>1984.6350433887571</v>
      </c>
      <c r="AC21" s="5">
        <f t="shared" si="1"/>
        <v>2132.8780088360545</v>
      </c>
      <c r="AD21" s="5">
        <f t="shared" si="1"/>
        <v>2265.6078235363007</v>
      </c>
      <c r="AE21" s="5">
        <f t="shared" si="1"/>
        <v>2383.9873722929487</v>
      </c>
    </row>
    <row r="22" spans="1:31" x14ac:dyDescent="0.2">
      <c r="A22" t="s">
        <v>13</v>
      </c>
      <c r="B22" s="5">
        <f t="shared" ref="B22:AE22" si="2">B20/$B$13*$B$16*B18*1000000</f>
        <v>120.1531616203619</v>
      </c>
      <c r="C22" s="5">
        <f t="shared" si="2"/>
        <v>240.24487416241013</v>
      </c>
      <c r="D22" s="5">
        <f t="shared" si="2"/>
        <v>360.9929702142872</v>
      </c>
      <c r="E22" s="5">
        <f t="shared" si="2"/>
        <v>482.89165526588016</v>
      </c>
      <c r="F22" s="5">
        <f t="shared" si="2"/>
        <v>606.44058000932421</v>
      </c>
      <c r="G22" s="5">
        <f t="shared" si="2"/>
        <v>732.16600277562202</v>
      </c>
      <c r="H22" s="5">
        <f t="shared" si="2"/>
        <v>860.92456893185476</v>
      </c>
      <c r="I22" s="5">
        <f t="shared" si="2"/>
        <v>993.11270364806705</v>
      </c>
      <c r="J22" s="5">
        <f t="shared" si="2"/>
        <v>1129.6718151740668</v>
      </c>
      <c r="K22" s="5">
        <f t="shared" si="2"/>
        <v>1271.5542481338462</v>
      </c>
      <c r="L22" s="5">
        <f t="shared" si="2"/>
        <v>1420.1350269173133</v>
      </c>
      <c r="M22" s="5">
        <f t="shared" si="2"/>
        <v>1575.0713213146732</v>
      </c>
      <c r="N22" s="5">
        <f t="shared" si="2"/>
        <v>1742.7463595363436</v>
      </c>
      <c r="O22" s="5">
        <f t="shared" si="2"/>
        <v>1916.9661698846717</v>
      </c>
      <c r="P22" s="5">
        <f t="shared" si="2"/>
        <v>2102.8787600751307</v>
      </c>
      <c r="Q22" s="5">
        <f t="shared" si="2"/>
        <v>2300.15203838756</v>
      </c>
      <c r="R22" s="5">
        <f t="shared" si="2"/>
        <v>2504.316348481068</v>
      </c>
      <c r="S22" s="5">
        <f t="shared" si="2"/>
        <v>2712.2590914636071</v>
      </c>
      <c r="T22" s="5">
        <f t="shared" si="2"/>
        <v>2913.5786717850519</v>
      </c>
      <c r="U22" s="5">
        <f t="shared" si="2"/>
        <v>3093.8502453583696</v>
      </c>
      <c r="V22" s="5">
        <f t="shared" si="2"/>
        <v>3246.3713779460704</v>
      </c>
      <c r="W22" s="5">
        <f t="shared" si="2"/>
        <v>3366.7469180463754</v>
      </c>
      <c r="X22" s="5">
        <f t="shared" si="2"/>
        <v>3454.1278155667824</v>
      </c>
      <c r="Y22" s="5">
        <f t="shared" si="2"/>
        <v>3512.0215019734719</v>
      </c>
      <c r="Z22" s="5">
        <f t="shared" si="2"/>
        <v>3545.5016317884852</v>
      </c>
      <c r="AA22" s="5">
        <f t="shared" si="2"/>
        <v>3559.8691590390731</v>
      </c>
      <c r="AB22" s="5">
        <f t="shared" si="2"/>
        <v>3559.0430406655041</v>
      </c>
      <c r="AC22" s="5">
        <f t="shared" si="2"/>
        <v>3548.4324230965808</v>
      </c>
      <c r="AD22" s="5">
        <f t="shared" si="2"/>
        <v>3536.0703168296081</v>
      </c>
      <c r="AE22" s="5">
        <f t="shared" si="2"/>
        <v>3525.2572612401523</v>
      </c>
    </row>
    <row r="23" spans="1:31" x14ac:dyDescent="0.2">
      <c r="A23" t="s">
        <v>14</v>
      </c>
      <c r="B23" s="5" t="str">
        <f t="shared" ref="B23:AE23" si="3">IMDIV(1,COMPLEX(B21,B22))</f>
        <v>0.0000435180866147324-0.00832248311275616i</v>
      </c>
      <c r="C23" s="5" t="str">
        <f t="shared" si="3"/>
        <v>0.0000266222570648372-0.00416224943311437i</v>
      </c>
      <c r="D23" s="5" t="str">
        <f t="shared" si="3"/>
        <v>0.0000181689968227168-0.00277001787222364i</v>
      </c>
      <c r="E23" s="5" t="str">
        <f t="shared" si="3"/>
        <v>0.0000145159032434344-0.00207075614595789i</v>
      </c>
      <c r="F23" s="5" t="str">
        <f t="shared" si="3"/>
        <v>0.0000128118134927241-0.00164886662037005i</v>
      </c>
      <c r="G23" s="5" t="str">
        <f t="shared" si="3"/>
        <v>0.0000117605185445121-0.00136570920718242i</v>
      </c>
      <c r="H23" s="5" t="str">
        <f t="shared" si="3"/>
        <v>0.0000110955384677246-0.00116143594804469i</v>
      </c>
      <c r="I23" s="5" t="str">
        <f t="shared" si="3"/>
        <v>0.0000114455637594974-0.00100680494466553i</v>
      </c>
      <c r="J23" s="5" t="str">
        <f t="shared" si="3"/>
        <v>0.0000116690780294181-0.000885058992543996i</v>
      </c>
      <c r="K23" s="5" t="str">
        <f t="shared" si="3"/>
        <v>0.0000126569607342072-0.000786235362835803i</v>
      </c>
      <c r="L23" s="5" t="str">
        <f t="shared" si="3"/>
        <v>0.0000138653229500603-0.000703885271237271i</v>
      </c>
      <c r="M23" s="5" t="str">
        <f t="shared" si="3"/>
        <v>0.0000155913980002254-0.000634508766933867i</v>
      </c>
      <c r="N23" s="5" t="str">
        <f t="shared" si="3"/>
        <v>0.000018139561208028-0.00057323295148647i</v>
      </c>
      <c r="O23" s="5" t="str">
        <f t="shared" si="3"/>
        <v>0.0000214672205892397-0.000520772696066163i</v>
      </c>
      <c r="P23" s="5" t="str">
        <f t="shared" si="3"/>
        <v>0.0000259078407262009-0.000474122888836387i</v>
      </c>
      <c r="Q23" s="5" t="str">
        <f t="shared" si="3"/>
        <v>0.0000315947252110024-0.000432445540697545i</v>
      </c>
      <c r="R23" s="5" t="str">
        <f t="shared" si="3"/>
        <v>0.0000382932597024939-0.000395603902997193i</v>
      </c>
      <c r="S23" s="5" t="str">
        <f t="shared" si="3"/>
        <v>0.0000467710661111092-0.000362664504463614i</v>
      </c>
      <c r="T23" s="5" t="str">
        <f t="shared" si="3"/>
        <v>0.0000560129243245827-0.000333821958589511i</v>
      </c>
      <c r="U23" s="5" t="str">
        <f t="shared" si="3"/>
        <v>0.0000650695510981113-0.000309543492768159i</v>
      </c>
      <c r="V23" s="5" t="str">
        <f t="shared" si="3"/>
        <v>0.0000752344912378549-0.000288410640971611i</v>
      </c>
      <c r="W23" s="5" t="str">
        <f t="shared" si="3"/>
        <v>0.000084898390739063-0.000270363159443182i</v>
      </c>
      <c r="X23" s="5" t="str">
        <f t="shared" si="3"/>
        <v>0.0000932027027781336-0.000255511174078065i</v>
      </c>
      <c r="Y23" s="5" t="str">
        <f t="shared" si="3"/>
        <v>0.000100847552518507-0.000242859247778711i</v>
      </c>
      <c r="Z23" s="5" t="str">
        <f t="shared" si="3"/>
        <v>0.000107806962055197-0.000231937805036452i</v>
      </c>
      <c r="AA23" s="5" t="str">
        <f t="shared" si="3"/>
        <v>0.00011397150275388-0.000222539868916347i</v>
      </c>
      <c r="AB23" s="5" t="str">
        <f t="shared" si="3"/>
        <v>0.000119516271095312-0.000214328349338101i</v>
      </c>
      <c r="AC23" s="5" t="str">
        <f t="shared" si="3"/>
        <v>0.000124434694112143-0.000207019858293065i</v>
      </c>
      <c r="AD23" s="5" t="str">
        <f t="shared" si="3"/>
        <v>0.000128459324146813-0.000200494188939783i</v>
      </c>
      <c r="AE23" s="5" t="str">
        <f t="shared" si="3"/>
        <v>0.000131633214682593-0.00019464907879687i</v>
      </c>
    </row>
    <row r="24" spans="1:31" x14ac:dyDescent="0.2">
      <c r="A24" t="s">
        <v>15</v>
      </c>
      <c r="B24" s="6" t="str">
        <f t="shared" ref="B24:AE24" si="4">COMPLEX(0,2*PI()*B18*1000000*$B$9*0.000000000001)</f>
        <v>8.16814089933346E-06i</v>
      </c>
      <c r="C24" s="6" t="str">
        <f t="shared" si="4"/>
        <v>0.0000163362817986669i</v>
      </c>
      <c r="D24" s="6" t="str">
        <f t="shared" si="4"/>
        <v>0.0000245044226980004i</v>
      </c>
      <c r="E24" s="6" t="str">
        <f t="shared" si="4"/>
        <v>0.0000326725635973338i</v>
      </c>
      <c r="F24" s="6" t="str">
        <f t="shared" si="4"/>
        <v>0.0000408407044966673i</v>
      </c>
      <c r="G24" s="6" t="str">
        <f t="shared" si="4"/>
        <v>0.0000490088453960008i</v>
      </c>
      <c r="H24" s="6" t="str">
        <f t="shared" si="4"/>
        <v>0.0000571769862953342i</v>
      </c>
      <c r="I24" s="6" t="str">
        <f t="shared" si="4"/>
        <v>0.0000653451271946677i</v>
      </c>
      <c r="J24" s="6" t="str">
        <f t="shared" si="4"/>
        <v>0.0000735132680940012i</v>
      </c>
      <c r="K24" s="6" t="str">
        <f t="shared" si="4"/>
        <v>0.0000816814089933346i</v>
      </c>
      <c r="L24" s="6" t="str">
        <f t="shared" si="4"/>
        <v>0.0000898495498926681i</v>
      </c>
      <c r="M24" s="6" t="str">
        <f t="shared" si="4"/>
        <v>0.0000980176907920015i</v>
      </c>
      <c r="N24" s="6" t="str">
        <f t="shared" si="4"/>
        <v>0.000106185831691335i</v>
      </c>
      <c r="O24" s="6" t="str">
        <f t="shared" si="4"/>
        <v>0.000114353972590668i</v>
      </c>
      <c r="P24" s="6" t="str">
        <f t="shared" si="4"/>
        <v>0.000122522113490002i</v>
      </c>
      <c r="Q24" s="6" t="str">
        <f t="shared" si="4"/>
        <v>0.000130690254389335i</v>
      </c>
      <c r="R24" s="6" t="str">
        <f t="shared" si="4"/>
        <v>0.000138858395288669i</v>
      </c>
      <c r="S24" s="6" t="str">
        <f t="shared" si="4"/>
        <v>0.000147026536188002i</v>
      </c>
      <c r="T24" s="6" t="str">
        <f t="shared" si="4"/>
        <v>0.000155194677087336i</v>
      </c>
      <c r="U24" s="6" t="str">
        <f t="shared" si="4"/>
        <v>0.000163362817986669i</v>
      </c>
      <c r="V24" s="6" t="str">
        <f t="shared" si="4"/>
        <v>0.000171530958886003i</v>
      </c>
      <c r="W24" s="6" t="str">
        <f t="shared" si="4"/>
        <v>0.000179699099785336i</v>
      </c>
      <c r="X24" s="6" t="str">
        <f t="shared" si="4"/>
        <v>0.00018786724068467i</v>
      </c>
      <c r="Y24" s="6" t="str">
        <f t="shared" si="4"/>
        <v>0.000196035381584003i</v>
      </c>
      <c r="Z24" s="6" t="str">
        <f t="shared" si="4"/>
        <v>0.000204203522483337i</v>
      </c>
      <c r="AA24" s="6" t="str">
        <f t="shared" si="4"/>
        <v>0.00021237166338267i</v>
      </c>
      <c r="AB24" s="6" t="str">
        <f t="shared" si="4"/>
        <v>0.000220539804282003i</v>
      </c>
      <c r="AC24" s="6" t="str">
        <f t="shared" si="4"/>
        <v>0.000228707945181337i</v>
      </c>
      <c r="AD24" s="6" t="str">
        <f t="shared" si="4"/>
        <v>0.00023687608608067i</v>
      </c>
      <c r="AE24" s="6" t="str">
        <f t="shared" si="4"/>
        <v>0.000245044226980004i</v>
      </c>
    </row>
    <row r="25" spans="1:31" x14ac:dyDescent="0.2">
      <c r="A25" t="s">
        <v>16</v>
      </c>
      <c r="B25" s="6" t="str">
        <f t="shared" ref="B25:AE25" si="5">IMDIV(1,IMSUM(B23,B24))</f>
        <v>0.629513355977089+120.271195903458i</v>
      </c>
      <c r="C25" s="6" t="str">
        <f t="shared" si="5"/>
        <v>1.54876870705194+241.191441254386i</v>
      </c>
      <c r="D25" s="6" t="str">
        <f t="shared" si="5"/>
        <v>2.41026491388873+364.21464556191i</v>
      </c>
      <c r="E25" s="6" t="str">
        <f t="shared" si="5"/>
        <v>3.49444374516254+490.632123062656i</v>
      </c>
      <c r="F25" s="6" t="str">
        <f t="shared" si="5"/>
        <v>4.95446713809886+621.841050209671i</v>
      </c>
      <c r="G25" s="6" t="str">
        <f t="shared" si="5"/>
        <v>6.78293906924686+759.4136510775i</v>
      </c>
      <c r="H25" s="6" t="str">
        <f t="shared" si="5"/>
        <v>9.0983507167308+905.493261576611i</v>
      </c>
      <c r="I25" s="6" t="str">
        <f t="shared" si="5"/>
        <v>12.9112838311549+1062.02325847926i</v>
      </c>
      <c r="J25" s="6" t="str">
        <f t="shared" si="5"/>
        <v>17.7141686198429+1231.96175133784i</v>
      </c>
      <c r="K25" s="6" t="str">
        <f t="shared" si="5"/>
        <v>25.4894688407076+1418.8798108956i</v>
      </c>
      <c r="L25" s="6" t="str">
        <f t="shared" si="5"/>
        <v>36.7554151029173+1627.73978704491i</v>
      </c>
      <c r="M25" s="6" t="str">
        <f t="shared" si="5"/>
        <v>54.1244389821316+1862.39094882183i</v>
      </c>
      <c r="N25" s="6" t="str">
        <f t="shared" si="5"/>
        <v>83.0330060863549+2137.88668291497i</v>
      </c>
      <c r="O25" s="6" t="str">
        <f t="shared" si="5"/>
        <v>129.604001229391+2453.67081956422i</v>
      </c>
      <c r="P25" s="6" t="str">
        <f t="shared" si="5"/>
        <v>208.439455857945+2828.77585465143i</v>
      </c>
      <c r="Q25" s="6" t="str">
        <f t="shared" si="5"/>
        <v>343.217683602267+3278.0076322796i</v>
      </c>
      <c r="R25" s="6" t="str">
        <f t="shared" si="5"/>
        <v>568.27884942458+3810.14943227796i</v>
      </c>
      <c r="S25" s="6" t="str">
        <f t="shared" si="5"/>
        <v>960.642688858355+4429.04245911627i</v>
      </c>
      <c r="T25" s="6" t="str">
        <f t="shared" si="5"/>
        <v>1598.30729527824+5097.06091233923i</v>
      </c>
      <c r="U25" s="6" t="str">
        <f t="shared" si="5"/>
        <v>2541.497773617+5709.55006194551i</v>
      </c>
      <c r="V25" s="6" t="str">
        <f t="shared" si="5"/>
        <v>3893.9053687392+6049.33208268554i</v>
      </c>
      <c r="W25" s="6" t="str">
        <f t="shared" si="5"/>
        <v>5502.98127156659+5876.70293816018i</v>
      </c>
      <c r="X25" s="6" t="str">
        <f t="shared" si="5"/>
        <v>7027.56535864749+5100.41177850486i</v>
      </c>
      <c r="Y25" s="6" t="str">
        <f t="shared" si="5"/>
        <v>8157.40296576122+3787.51031062476i</v>
      </c>
      <c r="Z25" s="6" t="str">
        <f t="shared" si="5"/>
        <v>8700.05148978791+2238.16423025525i</v>
      </c>
      <c r="AA25" s="6" t="str">
        <f t="shared" si="5"/>
        <v>8704.83536369542+776.620058314198i</v>
      </c>
      <c r="AB25" s="6" t="str">
        <f t="shared" si="5"/>
        <v>8344.52260740217-433.678408213685i</v>
      </c>
      <c r="AC25" s="6" t="str">
        <f t="shared" si="5"/>
        <v>7799.41318015092-1359.3825414655i</v>
      </c>
      <c r="AD25" s="6" t="str">
        <f t="shared" si="5"/>
        <v>7206.51615138028-2041.00972120958i</v>
      </c>
      <c r="AE25" s="6" t="str">
        <f t="shared" si="5"/>
        <v>6625.73039905233-2536.62927010391i</v>
      </c>
    </row>
    <row r="26" spans="1:31" x14ac:dyDescent="0.2">
      <c r="A26" t="s">
        <v>8</v>
      </c>
      <c r="B26" s="5">
        <f t="shared" ref="B26:AE26" si="6">IMREAL(B25)</f>
        <v>0.62951335597708902</v>
      </c>
      <c r="C26" s="5">
        <f t="shared" si="6"/>
        <v>1.54876870705194</v>
      </c>
      <c r="D26" s="5">
        <f t="shared" si="6"/>
        <v>2.4102649138887302</v>
      </c>
      <c r="E26" s="5">
        <f t="shared" si="6"/>
        <v>3.4944437451625401</v>
      </c>
      <c r="F26" s="5">
        <f t="shared" si="6"/>
        <v>4.9544671380988596</v>
      </c>
      <c r="G26" s="5">
        <f t="shared" si="6"/>
        <v>6.7829390692468596</v>
      </c>
      <c r="H26" s="5">
        <f t="shared" si="6"/>
        <v>9.0983507167308009</v>
      </c>
      <c r="I26" s="5">
        <f t="shared" si="6"/>
        <v>12.911283831154901</v>
      </c>
      <c r="J26" s="5">
        <f t="shared" si="6"/>
        <v>17.714168619842901</v>
      </c>
      <c r="K26" s="5">
        <f t="shared" si="6"/>
        <v>25.489468840707602</v>
      </c>
      <c r="L26" s="5">
        <f t="shared" si="6"/>
        <v>36.755415102917297</v>
      </c>
      <c r="M26" s="5">
        <f t="shared" si="6"/>
        <v>54.124438982131601</v>
      </c>
      <c r="N26" s="5">
        <f t="shared" si="6"/>
        <v>83.033006086354902</v>
      </c>
      <c r="O26" s="5">
        <f t="shared" si="6"/>
        <v>129.604001229391</v>
      </c>
      <c r="P26" s="5">
        <f t="shared" si="6"/>
        <v>208.43945585794501</v>
      </c>
      <c r="Q26" s="5">
        <f t="shared" si="6"/>
        <v>343.21768360226702</v>
      </c>
      <c r="R26" s="5">
        <f t="shared" si="6"/>
        <v>568.27884942458002</v>
      </c>
      <c r="S26" s="5">
        <f t="shared" si="6"/>
        <v>960.64268885835497</v>
      </c>
      <c r="T26" s="5">
        <f t="shared" si="6"/>
        <v>1598.30729527824</v>
      </c>
      <c r="U26" s="5">
        <f t="shared" si="6"/>
        <v>2541.4977736169999</v>
      </c>
      <c r="V26" s="5">
        <f t="shared" si="6"/>
        <v>3893.9053687392002</v>
      </c>
      <c r="W26" s="5">
        <f t="shared" si="6"/>
        <v>5502.9812715665903</v>
      </c>
      <c r="X26" s="5">
        <f t="shared" si="6"/>
        <v>7027.56535864749</v>
      </c>
      <c r="Y26" s="5">
        <f t="shared" si="6"/>
        <v>8157.40296576122</v>
      </c>
      <c r="Z26" s="5">
        <f t="shared" si="6"/>
        <v>8700.0514897879093</v>
      </c>
      <c r="AA26" s="5">
        <f t="shared" si="6"/>
        <v>8704.8353636954198</v>
      </c>
      <c r="AB26" s="5">
        <f t="shared" si="6"/>
        <v>8344.5226074021703</v>
      </c>
      <c r="AC26" s="5">
        <f t="shared" si="6"/>
        <v>7799.4131801509202</v>
      </c>
      <c r="AD26" s="5">
        <f t="shared" si="6"/>
        <v>7206.5161513802796</v>
      </c>
      <c r="AE26" s="5">
        <f t="shared" si="6"/>
        <v>6625.7303990523296</v>
      </c>
    </row>
    <row r="27" spans="1:31" x14ac:dyDescent="0.2">
      <c r="A27" t="s">
        <v>9</v>
      </c>
      <c r="B27" s="5">
        <f t="shared" ref="B27:AE27" si="7">IMAGINARY(B25)</f>
        <v>120.27119590345799</v>
      </c>
      <c r="C27" s="5">
        <f t="shared" si="7"/>
        <v>241.19144125438601</v>
      </c>
      <c r="D27" s="5">
        <f t="shared" si="7"/>
        <v>364.21464556191</v>
      </c>
      <c r="E27" s="5">
        <f t="shared" si="7"/>
        <v>490.63212306265598</v>
      </c>
      <c r="F27" s="5">
        <f t="shared" si="7"/>
        <v>621.84105020967104</v>
      </c>
      <c r="G27" s="5">
        <f t="shared" si="7"/>
        <v>759.41365107750005</v>
      </c>
      <c r="H27" s="5">
        <f t="shared" si="7"/>
        <v>905.49326157661096</v>
      </c>
      <c r="I27" s="5">
        <f t="shared" si="7"/>
        <v>1062.02325847926</v>
      </c>
      <c r="J27" s="5">
        <f t="shared" si="7"/>
        <v>1231.96175133784</v>
      </c>
      <c r="K27" s="5">
        <f t="shared" si="7"/>
        <v>1418.8798108956</v>
      </c>
      <c r="L27" s="5">
        <f t="shared" si="7"/>
        <v>1627.7397870449099</v>
      </c>
      <c r="M27" s="5">
        <f t="shared" si="7"/>
        <v>1862.3909488218301</v>
      </c>
      <c r="N27" s="5">
        <f t="shared" si="7"/>
        <v>2137.8866829149702</v>
      </c>
      <c r="O27" s="5">
        <f t="shared" si="7"/>
        <v>2453.67081956422</v>
      </c>
      <c r="P27" s="5">
        <f t="shared" si="7"/>
        <v>2828.7758546514301</v>
      </c>
      <c r="Q27" s="5">
        <f t="shared" si="7"/>
        <v>3278.0076322795999</v>
      </c>
      <c r="R27" s="5">
        <f t="shared" si="7"/>
        <v>3810.1494322779599</v>
      </c>
      <c r="S27" s="5">
        <f t="shared" si="7"/>
        <v>4429.04245911627</v>
      </c>
      <c r="T27" s="5">
        <f t="shared" si="7"/>
        <v>5097.0609123392296</v>
      </c>
      <c r="U27" s="5">
        <f t="shared" si="7"/>
        <v>5709.5500619455097</v>
      </c>
      <c r="V27" s="5">
        <f t="shared" si="7"/>
        <v>6049.3320826855397</v>
      </c>
      <c r="W27" s="5">
        <f t="shared" si="7"/>
        <v>5876.7029381601797</v>
      </c>
      <c r="X27" s="5">
        <f t="shared" si="7"/>
        <v>5100.4117785048602</v>
      </c>
      <c r="Y27" s="5">
        <f t="shared" si="7"/>
        <v>3787.5103106247602</v>
      </c>
      <c r="Z27" s="5">
        <f t="shared" si="7"/>
        <v>2238.16423025525</v>
      </c>
      <c r="AA27" s="5">
        <f t="shared" si="7"/>
        <v>776.62005831419799</v>
      </c>
      <c r="AB27" s="5">
        <f t="shared" si="7"/>
        <v>-433.67840821368497</v>
      </c>
      <c r="AC27" s="5">
        <f t="shared" si="7"/>
        <v>-1359.3825414655</v>
      </c>
      <c r="AD27" s="5">
        <f t="shared" si="7"/>
        <v>-2041.00972120958</v>
      </c>
      <c r="AE27" s="5">
        <f t="shared" si="7"/>
        <v>-2536.6292701039101</v>
      </c>
    </row>
    <row r="28" spans="1:31" x14ac:dyDescent="0.2">
      <c r="A28" t="s">
        <v>17</v>
      </c>
      <c r="B28" s="5">
        <f t="shared" ref="B28:AE28" si="8">IMABS(B25)</f>
        <v>120.27284336504781</v>
      </c>
      <c r="C28" s="5">
        <f t="shared" si="8"/>
        <v>241.19641377697945</v>
      </c>
      <c r="D28" s="5">
        <f t="shared" si="8"/>
        <v>364.22262068512828</v>
      </c>
      <c r="E28" s="5">
        <f t="shared" si="8"/>
        <v>490.64456719509019</v>
      </c>
      <c r="F28" s="5">
        <f t="shared" si="8"/>
        <v>621.86078705003513</v>
      </c>
      <c r="G28" s="5">
        <f t="shared" si="8"/>
        <v>759.44394243767329</v>
      </c>
      <c r="H28" s="5">
        <f t="shared" si="8"/>
        <v>905.53897030796725</v>
      </c>
      <c r="I28" s="5">
        <f t="shared" si="8"/>
        <v>1062.1017384417905</v>
      </c>
      <c r="J28" s="5">
        <f t="shared" si="8"/>
        <v>1232.0890992656703</v>
      </c>
      <c r="K28" s="5">
        <f t="shared" si="8"/>
        <v>1419.108745230229</v>
      </c>
      <c r="L28" s="5">
        <f t="shared" si="8"/>
        <v>1628.1547146596349</v>
      </c>
      <c r="M28" s="5">
        <f t="shared" si="8"/>
        <v>1863.1772597229194</v>
      </c>
      <c r="N28" s="5">
        <f t="shared" si="8"/>
        <v>2139.4985274790238</v>
      </c>
      <c r="O28" s="5">
        <f t="shared" si="8"/>
        <v>2457.0913063855842</v>
      </c>
      <c r="P28" s="5">
        <f t="shared" si="8"/>
        <v>2836.4449302987159</v>
      </c>
      <c r="Q28" s="5">
        <f t="shared" si="8"/>
        <v>3295.926639902747</v>
      </c>
      <c r="R28" s="5">
        <f t="shared" si="8"/>
        <v>3852.295360819493</v>
      </c>
      <c r="S28" s="5">
        <f t="shared" si="8"/>
        <v>4532.0250970522775</v>
      </c>
      <c r="T28" s="5">
        <f t="shared" si="8"/>
        <v>5341.780242038797</v>
      </c>
      <c r="U28" s="5">
        <f t="shared" si="8"/>
        <v>6249.6538178656056</v>
      </c>
      <c r="V28" s="5">
        <f t="shared" si="8"/>
        <v>7194.2280800169619</v>
      </c>
      <c r="W28" s="5">
        <f t="shared" si="8"/>
        <v>8050.9900197797497</v>
      </c>
      <c r="X28" s="5">
        <f t="shared" si="8"/>
        <v>8683.3677326468987</v>
      </c>
      <c r="Y28" s="5">
        <f t="shared" si="8"/>
        <v>8993.801059557567</v>
      </c>
      <c r="Z28" s="5">
        <f t="shared" si="8"/>
        <v>8983.3331813172153</v>
      </c>
      <c r="AA28" s="5">
        <f t="shared" si="8"/>
        <v>8739.4105879068484</v>
      </c>
      <c r="AB28" s="5">
        <f t="shared" si="8"/>
        <v>8355.7844938220296</v>
      </c>
      <c r="AC28" s="5">
        <f t="shared" si="8"/>
        <v>7916.9922855054683</v>
      </c>
      <c r="AD28" s="5">
        <f t="shared" si="8"/>
        <v>7489.9663365182651</v>
      </c>
      <c r="AE28" s="5">
        <f t="shared" si="8"/>
        <v>7094.7016410046472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 xr:uid="{00000000-0004-0000-0000-000000000000}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5"/>
  <sheetViews>
    <sheetView topLeftCell="A13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140</v>
      </c>
    </row>
    <row r="8" spans="1:2" x14ac:dyDescent="0.2">
      <c r="A8" t="s">
        <v>7</v>
      </c>
      <c r="B8" s="3">
        <v>4</v>
      </c>
    </row>
    <row r="9" spans="1:2" x14ac:dyDescent="0.2">
      <c r="A9" t="s">
        <v>10</v>
      </c>
      <c r="B9" s="3">
        <v>1.3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1.4074335088082274E-5</v>
      </c>
    </row>
    <row r="18" spans="1:31" x14ac:dyDescent="0.2">
      <c r="A18" t="s">
        <v>4</v>
      </c>
      <c r="B18" s="10">
        <v>50</v>
      </c>
      <c r="C18" s="10">
        <f>B18+5</f>
        <v>55</v>
      </c>
      <c r="D18" s="10">
        <f t="shared" ref="D18:AE18" si="0">C18+5</f>
        <v>60</v>
      </c>
      <c r="E18" s="10">
        <f t="shared" si="0"/>
        <v>65</v>
      </c>
      <c r="F18" s="10">
        <f t="shared" si="0"/>
        <v>70</v>
      </c>
      <c r="G18" s="10">
        <f t="shared" si="0"/>
        <v>75</v>
      </c>
      <c r="H18" s="10">
        <f t="shared" si="0"/>
        <v>80</v>
      </c>
      <c r="I18" s="10">
        <f t="shared" si="0"/>
        <v>85</v>
      </c>
      <c r="J18" s="10">
        <f t="shared" si="0"/>
        <v>90</v>
      </c>
      <c r="K18" s="10">
        <f t="shared" si="0"/>
        <v>95</v>
      </c>
      <c r="L18" s="10">
        <f t="shared" si="0"/>
        <v>100</v>
      </c>
      <c r="M18" s="10">
        <f t="shared" si="0"/>
        <v>105</v>
      </c>
      <c r="N18" s="10">
        <f t="shared" si="0"/>
        <v>110</v>
      </c>
      <c r="O18" s="10">
        <f t="shared" si="0"/>
        <v>115</v>
      </c>
      <c r="P18" s="10">
        <f t="shared" si="0"/>
        <v>120</v>
      </c>
      <c r="Q18" s="10">
        <f t="shared" si="0"/>
        <v>125</v>
      </c>
      <c r="R18" s="10">
        <f t="shared" si="0"/>
        <v>130</v>
      </c>
      <c r="S18" s="10">
        <f t="shared" si="0"/>
        <v>135</v>
      </c>
      <c r="T18" s="10">
        <f t="shared" si="0"/>
        <v>140</v>
      </c>
      <c r="U18" s="10">
        <f t="shared" si="0"/>
        <v>145</v>
      </c>
      <c r="V18" s="10">
        <f t="shared" si="0"/>
        <v>150</v>
      </c>
      <c r="W18" s="10">
        <f t="shared" si="0"/>
        <v>155</v>
      </c>
      <c r="X18" s="10">
        <f t="shared" si="0"/>
        <v>160</v>
      </c>
      <c r="Y18" s="10">
        <f t="shared" si="0"/>
        <v>165</v>
      </c>
      <c r="Z18" s="10">
        <f t="shared" si="0"/>
        <v>170</v>
      </c>
      <c r="AA18" s="10">
        <f t="shared" si="0"/>
        <v>175</v>
      </c>
      <c r="AB18" s="10">
        <f t="shared" si="0"/>
        <v>180</v>
      </c>
      <c r="AC18" s="10">
        <f t="shared" si="0"/>
        <v>185</v>
      </c>
      <c r="AD18" s="10">
        <f t="shared" si="0"/>
        <v>190</v>
      </c>
      <c r="AE18" s="10">
        <f t="shared" si="0"/>
        <v>195</v>
      </c>
    </row>
    <row r="19" spans="1:31" x14ac:dyDescent="0.2">
      <c r="A19" t="s">
        <v>6</v>
      </c>
      <c r="B19" s="7">
        <f>csinterpolate(CSTableU2,'FT140-61 4t'!B18*1000000)</f>
        <v>73.150000000000006</v>
      </c>
      <c r="C19" s="7">
        <f>csinterpolate(CSTableU2,'FT140-61 4t'!C18*1000000)</f>
        <v>69.900703656001923</v>
      </c>
      <c r="D19" s="7">
        <f>csinterpolate(CSTableU2,'FT140-61 4t'!D18*1000000)</f>
        <v>66.892326420374161</v>
      </c>
      <c r="E19" s="7">
        <f>csinterpolate(CSTableU2,'FT140-61 4t'!E18*1000000)</f>
        <v>64.196133003784468</v>
      </c>
      <c r="F19" s="7">
        <f>csinterpolate(CSTableU2,'FT140-61 4t'!F18*1000000)</f>
        <v>61.700281397899587</v>
      </c>
      <c r="G19" s="7">
        <f>csinterpolate(CSTableU2,'FT140-61 4t'!G18*1000000)</f>
        <v>59.54310614721949</v>
      </c>
      <c r="H19" s="7">
        <f>csinterpolate(CSTableU2,'FT140-61 4t'!H18*1000000)</f>
        <v>57.57973921271163</v>
      </c>
      <c r="I19" s="7">
        <f>csinterpolate(CSTableU2,'FT140-61 4t'!I18*1000000)</f>
        <v>55.79301765363266</v>
      </c>
      <c r="J19" s="7">
        <f>csinterpolate(CSTableU2,'FT140-61 4t'!J18*1000000)</f>
        <v>54.205525336336166</v>
      </c>
      <c r="K19" s="7">
        <f>csinterpolate(CSTableU2,'FT140-61 4t'!K18*1000000)</f>
        <v>52.77377266149599</v>
      </c>
      <c r="L19" s="7">
        <f>csinterpolate(CSTableU2,'FT140-61 4t'!L18*1000000)</f>
        <v>51.43</v>
      </c>
      <c r="M19" s="7">
        <f>csinterpolate(CSTableU2,'FT140-61 4t'!M18*1000000)</f>
        <v>50.177772097456838</v>
      </c>
      <c r="N19" s="7">
        <f>csinterpolate(CSTableU2,'FT140-61 4t'!N18*1000000)</f>
        <v>49.090120624888741</v>
      </c>
      <c r="O19" s="7">
        <f>csinterpolate(CSTableU2,'FT140-61 4t'!O18*1000000)</f>
        <v>48.115474095358238</v>
      </c>
      <c r="P19" s="7">
        <f>csinterpolate(CSTableU2,'FT140-61 4t'!P18*1000000)</f>
        <v>47.116383484825207</v>
      </c>
      <c r="Q19" s="7">
        <f>csinterpolate(CSTableU2,'FT140-61 4t'!Q18*1000000)</f>
        <v>46.128780763385315</v>
      </c>
      <c r="R19" s="7">
        <f>csinterpolate(CSTableU2,'FT140-61 4t'!R18*1000000)</f>
        <v>45.228081203491477</v>
      </c>
      <c r="S19" s="7">
        <f>csinterpolate(CSTableU2,'FT140-61 4t'!S18*1000000)</f>
        <v>44.401949429431291</v>
      </c>
      <c r="T19" s="7">
        <f>csinterpolate(CSTableU2,'FT140-61 4t'!T18*1000000)</f>
        <v>43.628799587229473</v>
      </c>
      <c r="U19" s="7">
        <f>csinterpolate(CSTableU2,'FT140-61 4t'!U18*1000000)</f>
        <v>42.889793992214912</v>
      </c>
      <c r="V19" s="7">
        <f>csinterpolate(CSTableU2,'FT140-61 4t'!V18*1000000)</f>
        <v>42.176265353918033</v>
      </c>
      <c r="W19" s="7">
        <f>csinterpolate(CSTableU2,'FT140-61 4t'!W18*1000000)</f>
        <v>41.487295079807176</v>
      </c>
      <c r="X19" s="7">
        <f>csinterpolate(CSTableU2,'FT140-61 4t'!X18*1000000)</f>
        <v>40.820505043383079</v>
      </c>
      <c r="Y19" s="7">
        <f>csinterpolate(CSTableU2,'FT140-61 4t'!Y18*1000000)</f>
        <v>40.171360576909088</v>
      </c>
      <c r="Z19" s="7">
        <f>csinterpolate(CSTableU2,'FT140-61 4t'!Z18*1000000)</f>
        <v>39.535616980310792</v>
      </c>
      <c r="AA19" s="7">
        <f>csinterpolate(CSTableU2,'FT140-61 4t'!AA18*1000000)</f>
        <v>38.909999999999997</v>
      </c>
      <c r="AB19" s="7">
        <f>csinterpolate(CSTableU2,'FT140-61 4t'!AB18*1000000)</f>
        <v>38.294908017447575</v>
      </c>
      <c r="AC19" s="7">
        <f>csinterpolate(CSTableU2,'FT140-61 4t'!AC18*1000000)</f>
        <v>37.704913839514433</v>
      </c>
      <c r="AD19" s="7">
        <f>csinterpolate(CSTableU2,'FT140-61 4t'!AD18*1000000)</f>
        <v>37.156684638935729</v>
      </c>
      <c r="AE19" s="7">
        <f>csinterpolate(CSTableU2,'FT140-61 4t'!AE18*1000000)</f>
        <v>36.645279506102625</v>
      </c>
    </row>
    <row r="20" spans="1:31" x14ac:dyDescent="0.2">
      <c r="A20" t="s">
        <v>5</v>
      </c>
      <c r="B20" s="7">
        <f>csinterpolate(CSTableU1,'FT140-61 4t'!B18*1000000)</f>
        <v>64.33</v>
      </c>
      <c r="C20" s="7">
        <f>csinterpolate(CSTableU1,'FT140-61 4t'!C18*1000000)</f>
        <v>58.195687025583865</v>
      </c>
      <c r="D20" s="7">
        <f>csinterpolate(CSTableU1,'FT140-61 4t'!D18*1000000)</f>
        <v>53.298329461685185</v>
      </c>
      <c r="E20" s="7">
        <f>csinterpolate(CSTableU1,'FT140-61 4t'!E18*1000000)</f>
        <v>49.217282367345469</v>
      </c>
      <c r="F20" s="7">
        <f>csinterpolate(CSTableU1,'FT140-61 4t'!F18*1000000)</f>
        <v>45.806753054488759</v>
      </c>
      <c r="G20" s="7">
        <f>csinterpolate(CSTableU1,'FT140-61 4t'!G18*1000000)</f>
        <v>42.9191925994973</v>
      </c>
      <c r="H20" s="7">
        <f>csinterpolate(CSTableU1,'FT140-61 4t'!H18*1000000)</f>
        <v>40.429233744265879</v>
      </c>
      <c r="I20" s="7">
        <f>csinterpolate(CSTableU1,'FT140-61 4t'!I18*1000000)</f>
        <v>38.253481638071122</v>
      </c>
      <c r="J20" s="7">
        <f>csinterpolate(CSTableU1,'FT140-61 4t'!J18*1000000)</f>
        <v>36.281743090432563</v>
      </c>
      <c r="K20" s="7">
        <f>csinterpolate(CSTableU1,'FT140-61 4t'!K18*1000000)</f>
        <v>34.497730781510072</v>
      </c>
      <c r="L20" s="7">
        <f>csinterpolate(CSTableU1,'FT140-61 4t'!L18*1000000)</f>
        <v>32.9</v>
      </c>
      <c r="M20" s="7">
        <f>csinterpolate(CSTableU1,'FT140-61 4t'!M18*1000000)</f>
        <v>31.367498280330398</v>
      </c>
      <c r="N20" s="7">
        <f>csinterpolate(CSTableU1,'FT140-61 4t'!N18*1000000)</f>
        <v>30.024364154999088</v>
      </c>
      <c r="O20" s="7">
        <f>csinterpolate(CSTableU1,'FT140-61 4t'!O18*1000000)</f>
        <v>28.837075978733935</v>
      </c>
      <c r="P20" s="7">
        <f>csinterpolate(CSTableU1,'FT140-61 4t'!P18*1000000)</f>
        <v>27.625820813954022</v>
      </c>
      <c r="Q20" s="7">
        <f>csinterpolate(CSTableU1,'FT140-61 4t'!Q18*1000000)</f>
        <v>26.427870384907788</v>
      </c>
      <c r="R20" s="7">
        <f>csinterpolate(CSTableU1,'FT140-61 4t'!R18*1000000)</f>
        <v>25.332384768299708</v>
      </c>
      <c r="S20" s="7">
        <f>csinterpolate(CSTableU1,'FT140-61 4t'!S18*1000000)</f>
        <v>24.323846236154409</v>
      </c>
      <c r="T20" s="7">
        <f>csinterpolate(CSTableU1,'FT140-61 4t'!T18*1000000)</f>
        <v>23.386315032811208</v>
      </c>
      <c r="U20" s="7">
        <f>csinterpolate(CSTableU1,'FT140-61 4t'!U18*1000000)</f>
        <v>22.513674461563141</v>
      </c>
      <c r="V20" s="7">
        <f>csinterpolate(CSTableU1,'FT140-61 4t'!V18*1000000)</f>
        <v>21.686639819566388</v>
      </c>
      <c r="W20" s="7">
        <f>csinterpolate(CSTableU1,'FT140-61 4t'!W18*1000000)</f>
        <v>20.876177117147432</v>
      </c>
      <c r="X20" s="7">
        <f>csinterpolate(CSTableU1,'FT140-61 4t'!X18*1000000)</f>
        <v>20.076238310032796</v>
      </c>
      <c r="Y20" s="7">
        <f>csinterpolate(CSTableU1,'FT140-61 4t'!Y18*1000000)</f>
        <v>19.31091253020557</v>
      </c>
      <c r="Z20" s="7">
        <f>csinterpolate(CSTableU1,'FT140-61 4t'!Z18*1000000)</f>
        <v>18.59209957918106</v>
      </c>
      <c r="AA20" s="7">
        <f>csinterpolate(CSTableU1,'FT140-61 4t'!AA18*1000000)</f>
        <v>17.899999999999999</v>
      </c>
      <c r="AB20" s="7">
        <f>csinterpolate(CSTableU1,'FT140-61 4t'!AB18*1000000)</f>
        <v>17.218929944337621</v>
      </c>
      <c r="AC20" s="7">
        <f>csinterpolate(CSTableU1,'FT140-61 4t'!AC18*1000000)</f>
        <v>16.566828690007725</v>
      </c>
      <c r="AD20" s="7">
        <f>csinterpolate(CSTableU1,'FT140-61 4t'!AD18*1000000)</f>
        <v>15.968110555070552</v>
      </c>
      <c r="AE20" s="7">
        <f>csinterpolate(CSTableU1,'FT140-61 4t'!AE18*1000000)</f>
        <v>15.418335526208111</v>
      </c>
    </row>
    <row r="21" spans="1:31" x14ac:dyDescent="0.2">
      <c r="A21" t="s">
        <v>12</v>
      </c>
      <c r="B21" s="5">
        <f t="shared" ref="B21:AE21" si="1">B19/$B$13*$B$16*B18*1000000</f>
        <v>411.8150446772874</v>
      </c>
      <c r="C21" s="5">
        <f t="shared" si="1"/>
        <v>432.87460750481591</v>
      </c>
      <c r="D21" s="5">
        <f t="shared" si="1"/>
        <v>451.903208093628</v>
      </c>
      <c r="E21" s="5">
        <f t="shared" si="1"/>
        <v>469.82930137226731</v>
      </c>
      <c r="F21" s="5">
        <f t="shared" si="1"/>
        <v>486.29864383688459</v>
      </c>
      <c r="G21" s="5">
        <f t="shared" si="1"/>
        <v>502.81777686073116</v>
      </c>
      <c r="H21" s="5">
        <f t="shared" si="1"/>
        <v>518.65378813702023</v>
      </c>
      <c r="I21" s="5">
        <f t="shared" si="1"/>
        <v>533.96974570211091</v>
      </c>
      <c r="J21" s="5">
        <f t="shared" si="1"/>
        <v>549.29284359057283</v>
      </c>
      <c r="K21" s="5">
        <f t="shared" si="1"/>
        <v>564.49437782812913</v>
      </c>
      <c r="L21" s="5">
        <f t="shared" si="1"/>
        <v>579.074442864057</v>
      </c>
      <c r="M21" s="5">
        <f t="shared" si="1"/>
        <v>593.22377391734722</v>
      </c>
      <c r="N21" s="5">
        <f t="shared" si="1"/>
        <v>608.00151032637541</v>
      </c>
      <c r="O21" s="5">
        <f t="shared" si="1"/>
        <v>623.01784091281309</v>
      </c>
      <c r="P21" s="5">
        <f t="shared" si="1"/>
        <v>636.60649853185498</v>
      </c>
      <c r="Q21" s="5">
        <f t="shared" si="1"/>
        <v>649.23191766856849</v>
      </c>
      <c r="R21" s="5">
        <f t="shared" si="1"/>
        <v>662.01737705889195</v>
      </c>
      <c r="S21" s="5">
        <f t="shared" si="1"/>
        <v>674.92214802061153</v>
      </c>
      <c r="T21" s="5">
        <f t="shared" si="1"/>
        <v>687.7319062672276</v>
      </c>
      <c r="U21" s="5">
        <f t="shared" si="1"/>
        <v>700.22858570609071</v>
      </c>
      <c r="V21" s="5">
        <f t="shared" si="1"/>
        <v>712.32346962590077</v>
      </c>
      <c r="W21" s="5">
        <f t="shared" si="1"/>
        <v>724.04355513567805</v>
      </c>
      <c r="X21" s="5">
        <f t="shared" si="1"/>
        <v>735.3874770500172</v>
      </c>
      <c r="Y21" s="5">
        <f t="shared" si="1"/>
        <v>746.30845040874749</v>
      </c>
      <c r="Z21" s="5">
        <f t="shared" si="1"/>
        <v>756.7550289611587</v>
      </c>
      <c r="AA21" s="5">
        <f t="shared" si="1"/>
        <v>766.68532958819367</v>
      </c>
      <c r="AB21" s="5">
        <f t="shared" si="1"/>
        <v>776.12452935097781</v>
      </c>
      <c r="AC21" s="5">
        <f t="shared" si="1"/>
        <v>785.39395593000347</v>
      </c>
      <c r="AD21" s="5">
        <f t="shared" si="1"/>
        <v>794.89255816328273</v>
      </c>
      <c r="AE21" s="5">
        <f t="shared" si="1"/>
        <v>804.58239133790312</v>
      </c>
    </row>
    <row r="22" spans="1:31" x14ac:dyDescent="0.2">
      <c r="A22" t="s">
        <v>13</v>
      </c>
      <c r="B22" s="5">
        <f t="shared" ref="B22:AE22" si="2">B20/$B$13*$B$16*B18*1000000</f>
        <v>362.16079048653302</v>
      </c>
      <c r="C22" s="5">
        <f t="shared" si="2"/>
        <v>360.38886394686097</v>
      </c>
      <c r="D22" s="5">
        <f t="shared" si="2"/>
        <v>360.06650326980719</v>
      </c>
      <c r="E22" s="5">
        <f t="shared" si="2"/>
        <v>360.2042725646474</v>
      </c>
      <c r="F22" s="5">
        <f t="shared" si="2"/>
        <v>361.03177140011019</v>
      </c>
      <c r="G22" s="5">
        <f t="shared" si="2"/>
        <v>362.43545901315963</v>
      </c>
      <c r="H22" s="5">
        <f t="shared" si="2"/>
        <v>364.16933316556879</v>
      </c>
      <c r="I22" s="5">
        <f t="shared" si="2"/>
        <v>366.10677682481048</v>
      </c>
      <c r="J22" s="5">
        <f t="shared" si="2"/>
        <v>367.66181508081235</v>
      </c>
      <c r="K22" s="5">
        <f t="shared" si="2"/>
        <v>369.00479332604158</v>
      </c>
      <c r="L22" s="5">
        <f t="shared" si="2"/>
        <v>370.43649951832543</v>
      </c>
      <c r="M22" s="5">
        <f t="shared" si="2"/>
        <v>370.84041260466023</v>
      </c>
      <c r="N22" s="5">
        <f t="shared" si="2"/>
        <v>371.86420649317574</v>
      </c>
      <c r="O22" s="5">
        <f t="shared" si="2"/>
        <v>373.39365666237433</v>
      </c>
      <c r="P22" s="5">
        <f t="shared" si="2"/>
        <v>373.26245685015044</v>
      </c>
      <c r="Q22" s="5">
        <f t="shared" si="2"/>
        <v>371.95470346159806</v>
      </c>
      <c r="R22" s="5">
        <f t="shared" si="2"/>
        <v>370.79793068165282</v>
      </c>
      <c r="S22" s="5">
        <f t="shared" si="2"/>
        <v>369.72931956331604</v>
      </c>
      <c r="T22" s="5">
        <f t="shared" si="2"/>
        <v>368.64445435690965</v>
      </c>
      <c r="U22" s="5">
        <f t="shared" si="2"/>
        <v>367.56339818580631</v>
      </c>
      <c r="V22" s="5">
        <f t="shared" si="2"/>
        <v>366.27004290615054</v>
      </c>
      <c r="W22" s="5">
        <f t="shared" si="2"/>
        <v>364.33470701006155</v>
      </c>
      <c r="X22" s="5">
        <f t="shared" si="2"/>
        <v>361.67642276300313</v>
      </c>
      <c r="Y22" s="5">
        <f t="shared" si="2"/>
        <v>358.7604950249231</v>
      </c>
      <c r="Z22" s="5">
        <f t="shared" si="2"/>
        <v>355.87315767700716</v>
      </c>
      <c r="AA22" s="5">
        <f t="shared" si="2"/>
        <v>352.70283730734178</v>
      </c>
      <c r="AB22" s="5">
        <f t="shared" si="2"/>
        <v>348.97678544854301</v>
      </c>
      <c r="AC22" s="5">
        <f t="shared" si="2"/>
        <v>345.08730552843525</v>
      </c>
      <c r="AD22" s="5">
        <f t="shared" si="2"/>
        <v>341.60561878692175</v>
      </c>
      <c r="AE22" s="5">
        <f t="shared" si="2"/>
        <v>338.52440028628462</v>
      </c>
    </row>
    <row r="23" spans="1:31" x14ac:dyDescent="0.2">
      <c r="A23" t="s">
        <v>14</v>
      </c>
      <c r="B23" s="5" t="str">
        <f t="shared" ref="B23:AE23" si="3">IMDIV(1,COMPLEX(B21,B22))</f>
        <v>0.0013692841608326-0.00120418386967001i</v>
      </c>
      <c r="C23" s="5" t="str">
        <f t="shared" si="3"/>
        <v>0.00136441355572515-0.00113593969887923i</v>
      </c>
      <c r="D23" s="5" t="str">
        <f t="shared" si="3"/>
        <v>0.00135355315856635-0.00107848128551858i</v>
      </c>
      <c r="E23" s="5" t="str">
        <f t="shared" si="3"/>
        <v>0.00134050540074341-0.00102772596628913i</v>
      </c>
      <c r="F23" s="5" t="str">
        <f t="shared" si="3"/>
        <v>0.00132567737537017-0.000984192855975715i</v>
      </c>
      <c r="G23" s="5" t="str">
        <f t="shared" si="3"/>
        <v>0.00130879014800086-0.000943387405680323i</v>
      </c>
      <c r="H23" s="5" t="str">
        <f t="shared" si="3"/>
        <v>0.00129140089012808-0.000906748609118659i</v>
      </c>
      <c r="I23" s="5" t="str">
        <f t="shared" si="3"/>
        <v>0.0012739108458249-0.000873434117721169i</v>
      </c>
      <c r="J23" s="5" t="str">
        <f t="shared" si="3"/>
        <v>0.00125725694991437-0.000841528116781777i</v>
      </c>
      <c r="K23" s="5" t="str">
        <f t="shared" si="3"/>
        <v>0.0012411422406434-0.000811323290338036i</v>
      </c>
      <c r="L23" s="5" t="str">
        <f t="shared" si="3"/>
        <v>0.0012254236372063-0.000783908957108445i</v>
      </c>
      <c r="M23" s="5" t="str">
        <f t="shared" si="3"/>
        <v>0.00121205324515658-0.000757687647217102i</v>
      </c>
      <c r="N23" s="5" t="str">
        <f t="shared" si="3"/>
        <v>0.00119697394864396-0.000732089904458553i</v>
      </c>
      <c r="O23" s="5" t="str">
        <f t="shared" si="3"/>
        <v>0.00118091069386589-0.000707755915188939i</v>
      </c>
      <c r="P23" s="5" t="str">
        <f t="shared" si="3"/>
        <v>0.00116895893682965-0.000685397471945759i</v>
      </c>
      <c r="Q23" s="5" t="str">
        <f t="shared" si="3"/>
        <v>0.00115964839272059-0.000664379957755406i</v>
      </c>
      <c r="R23" s="5" t="str">
        <f t="shared" si="3"/>
        <v>0.00114981858213831-0.000644016857699899i</v>
      </c>
      <c r="S23" s="5" t="str">
        <f t="shared" si="3"/>
        <v>0.00113964830246248-0.000624311104098i</v>
      </c>
      <c r="T23" s="5" t="str">
        <f t="shared" si="3"/>
        <v>0.00112951449639075-0.00060545286821169i</v>
      </c>
      <c r="U23" s="5" t="str">
        <f t="shared" si="3"/>
        <v>0.00111960812262953-0.000587703750733295i</v>
      </c>
      <c r="V23" s="5" t="str">
        <f t="shared" si="3"/>
        <v>0.00111030171567604-0.000570906721988272i</v>
      </c>
      <c r="W23" s="5" t="str">
        <f t="shared" si="3"/>
        <v>0.00110208046549244-0.000554560786638671i</v>
      </c>
      <c r="X23" s="5" t="str">
        <f t="shared" si="3"/>
        <v>0.00109497091462321-0.000538525846291396i</v>
      </c>
      <c r="Y23" s="5" t="str">
        <f t="shared" si="3"/>
        <v>0.00108841234599058-0.000523214432082278i</v>
      </c>
      <c r="Z23" s="5" t="str">
        <f t="shared" si="3"/>
        <v>0.00108212382350636-0.000508881748162774i</v>
      </c>
      <c r="AA23" s="5" t="str">
        <f t="shared" si="3"/>
        <v>0.00107649425524796-0.000495226090180891i</v>
      </c>
      <c r="AB23" s="5" t="str">
        <f t="shared" si="3"/>
        <v>0.00107176711256876-0.000481909574493777i</v>
      </c>
      <c r="AC23" s="5" t="str">
        <f t="shared" si="3"/>
        <v>0.00106721442860936-0.000468913911049623i</v>
      </c>
      <c r="AD23" s="5" t="str">
        <f t="shared" si="3"/>
        <v>0.00106191178732674-0.000456357314559691i</v>
      </c>
      <c r="AE23" s="5" t="str">
        <f t="shared" si="3"/>
        <v>0.00105594948239644-0.000444285966371272i</v>
      </c>
    </row>
    <row r="24" spans="1:31" x14ac:dyDescent="0.2">
      <c r="A24" t="s">
        <v>15</v>
      </c>
      <c r="B24" s="6" t="str">
        <f t="shared" ref="B24:AE24" si="4">COMPLEX(0,2*PI()*B18*1000000*$B$9*0.000000000001)</f>
        <v>0.000408407044966673i</v>
      </c>
      <c r="C24" s="6" t="str">
        <f t="shared" si="4"/>
        <v>0.00044924774946334i</v>
      </c>
      <c r="D24" s="6" t="str">
        <f t="shared" si="4"/>
        <v>0.000490088453960008i</v>
      </c>
      <c r="E24" s="6" t="str">
        <f t="shared" si="4"/>
        <v>0.000530929158456675i</v>
      </c>
      <c r="F24" s="6" t="str">
        <f t="shared" si="4"/>
        <v>0.000571769862953342i</v>
      </c>
      <c r="G24" s="6" t="str">
        <f t="shared" si="4"/>
        <v>0.00061261056745001i</v>
      </c>
      <c r="H24" s="6" t="str">
        <f t="shared" si="4"/>
        <v>0.000653451271946677i</v>
      </c>
      <c r="I24" s="6" t="str">
        <f t="shared" si="4"/>
        <v>0.000694291976443344i</v>
      </c>
      <c r="J24" s="6" t="str">
        <f t="shared" si="4"/>
        <v>0.000735132680940012i</v>
      </c>
      <c r="K24" s="6" t="str">
        <f t="shared" si="4"/>
        <v>0.000775973385436679i</v>
      </c>
      <c r="L24" s="6" t="str">
        <f t="shared" si="4"/>
        <v>0.000816814089933346i</v>
      </c>
      <c r="M24" s="6" t="str">
        <f t="shared" si="4"/>
        <v>0.000857654794430014i</v>
      </c>
      <c r="N24" s="6" t="str">
        <f t="shared" si="4"/>
        <v>0.000898495498926681i</v>
      </c>
      <c r="O24" s="6" t="str">
        <f t="shared" si="4"/>
        <v>0.000939336203423348i</v>
      </c>
      <c r="P24" s="6" t="str">
        <f t="shared" si="4"/>
        <v>0.000980176907920015i</v>
      </c>
      <c r="Q24" s="6" t="str">
        <f t="shared" si="4"/>
        <v>0.00102101761241668i</v>
      </c>
      <c r="R24" s="6" t="str">
        <f t="shared" si="4"/>
        <v>0.00106185831691335i</v>
      </c>
      <c r="S24" s="6" t="str">
        <f t="shared" si="4"/>
        <v>0.00110269902141002i</v>
      </c>
      <c r="T24" s="6" t="str">
        <f t="shared" si="4"/>
        <v>0.00114353972590668i</v>
      </c>
      <c r="U24" s="6" t="str">
        <f t="shared" si="4"/>
        <v>0.00118438043040335i</v>
      </c>
      <c r="V24" s="6" t="str">
        <f t="shared" si="4"/>
        <v>0.00122522113490002i</v>
      </c>
      <c r="W24" s="6" t="str">
        <f t="shared" si="4"/>
        <v>0.00126606183939669i</v>
      </c>
      <c r="X24" s="6" t="str">
        <f t="shared" si="4"/>
        <v>0.00130690254389335i</v>
      </c>
      <c r="Y24" s="6" t="str">
        <f t="shared" si="4"/>
        <v>0.00134774324839002i</v>
      </c>
      <c r="Z24" s="6" t="str">
        <f t="shared" si="4"/>
        <v>0.00138858395288669i</v>
      </c>
      <c r="AA24" s="6" t="str">
        <f t="shared" si="4"/>
        <v>0.00142942465738336i</v>
      </c>
      <c r="AB24" s="6" t="str">
        <f t="shared" si="4"/>
        <v>0.00147026536188002i</v>
      </c>
      <c r="AC24" s="6" t="str">
        <f t="shared" si="4"/>
        <v>0.00151110606637669i</v>
      </c>
      <c r="AD24" s="6" t="str">
        <f t="shared" si="4"/>
        <v>0.00155194677087336i</v>
      </c>
      <c r="AE24" s="6" t="str">
        <f t="shared" si="4"/>
        <v>0.00159278747537002i</v>
      </c>
    </row>
    <row r="25" spans="1:31" x14ac:dyDescent="0.2">
      <c r="A25" t="s">
        <v>16</v>
      </c>
      <c r="B25" s="6" t="str">
        <f t="shared" ref="B25:AE25" si="5">IMDIV(1,IMSUM(B23,B24))</f>
        <v>545.923065537326+317.270100722881i</v>
      </c>
      <c r="C25" s="6" t="str">
        <f t="shared" si="5"/>
        <v>584.789555783362+294.317128684276i</v>
      </c>
      <c r="D25" s="6" t="str">
        <f t="shared" si="5"/>
        <v>621.377004883576+270.114086805487i</v>
      </c>
      <c r="E25" s="6" t="str">
        <f t="shared" si="5"/>
        <v>655.900997002397+243.079603695895i</v>
      </c>
      <c r="F25" s="6" t="str">
        <f t="shared" si="5"/>
        <v>687.765643110769+213.966361876317i</v>
      </c>
      <c r="G25" s="6" t="str">
        <f t="shared" si="5"/>
        <v>718.190118133189+181.511647904149i</v>
      </c>
      <c r="H25" s="6" t="str">
        <f t="shared" si="5"/>
        <v>745.665994118488+146.256063607931i</v>
      </c>
      <c r="I25" s="6" t="str">
        <f t="shared" si="5"/>
        <v>769.762208047689+108.246860976458i</v>
      </c>
      <c r="J25" s="6" t="str">
        <f t="shared" si="5"/>
        <v>789.726810796203+66.8306731064893i</v>
      </c>
      <c r="K25" s="6" t="str">
        <f t="shared" si="5"/>
        <v>805.056354250594+22.9294150429035i</v>
      </c>
      <c r="L25" s="6" t="str">
        <f t="shared" si="5"/>
        <v>815.456350568948-21.8966720680801i</v>
      </c>
      <c r="M25" s="6" t="str">
        <f t="shared" si="5"/>
        <v>819.471771871556-67.5880004305642i</v>
      </c>
      <c r="N25" s="6" t="str">
        <f t="shared" si="5"/>
        <v>819.599596033413-113.942294365126i</v>
      </c>
      <c r="O25" s="6" t="str">
        <f t="shared" si="5"/>
        <v>815.444975216883-159.911315377987i</v>
      </c>
      <c r="P25" s="6" t="str">
        <f t="shared" si="5"/>
        <v>804.314834394894-202.826177856755i</v>
      </c>
      <c r="Q25" s="6" t="str">
        <f t="shared" si="5"/>
        <v>787.81809558888-242.285161324952i</v>
      </c>
      <c r="R25" s="6" t="str">
        <f t="shared" si="5"/>
        <v>768.249054102346-279.179960032046i</v>
      </c>
      <c r="S25" s="6" t="str">
        <f t="shared" si="5"/>
        <v>746.012421615691-313.152160973255i</v>
      </c>
      <c r="T25" s="6" t="str">
        <f t="shared" si="5"/>
        <v>721.577524111406-343.750685602637i</v>
      </c>
      <c r="U25" s="6" t="str">
        <f t="shared" si="5"/>
        <v>695.605179476158-370.711305556028i</v>
      </c>
      <c r="V25" s="6" t="str">
        <f t="shared" si="5"/>
        <v>668.495125244192-393.952372794625i</v>
      </c>
      <c r="W25" s="6" t="str">
        <f t="shared" si="5"/>
        <v>640.440954507494-413.467462339807i</v>
      </c>
      <c r="X25" s="6" t="str">
        <f t="shared" si="5"/>
        <v>611.93300078365-429.413285792704i</v>
      </c>
      <c r="Y25" s="6" t="str">
        <f t="shared" si="5"/>
        <v>583.758996167309-442.227723612199i</v>
      </c>
      <c r="Z25" s="6" t="str">
        <f t="shared" si="5"/>
        <v>556.39964140637-452.319762877768i</v>
      </c>
      <c r="AA25" s="6" t="str">
        <f t="shared" si="5"/>
        <v>529.883748663487-459.841412410771i</v>
      </c>
      <c r="AB25" s="6" t="str">
        <f t="shared" si="5"/>
        <v>504.234779784409-464.992214219837i</v>
      </c>
      <c r="AC25" s="6" t="str">
        <f t="shared" si="5"/>
        <v>479.622979947107-468.377576066707i</v>
      </c>
      <c r="AD25" s="6" t="str">
        <f t="shared" si="5"/>
        <v>456.152984830449-470.619505886018i</v>
      </c>
      <c r="AE25" s="6" t="str">
        <f t="shared" si="5"/>
        <v>433.817829416086-471.841162878548i</v>
      </c>
    </row>
    <row r="26" spans="1:31" x14ac:dyDescent="0.2">
      <c r="A26" t="s">
        <v>8</v>
      </c>
      <c r="B26" s="5">
        <f t="shared" ref="B26:AE26" si="6">IMREAL(B25)</f>
        <v>545.92306553732601</v>
      </c>
      <c r="C26" s="5">
        <f t="shared" si="6"/>
        <v>584.78955578336195</v>
      </c>
      <c r="D26" s="5">
        <f t="shared" si="6"/>
        <v>621.37700488357598</v>
      </c>
      <c r="E26" s="5">
        <f t="shared" si="6"/>
        <v>655.90099700239705</v>
      </c>
      <c r="F26" s="5">
        <f t="shared" si="6"/>
        <v>687.76564311076902</v>
      </c>
      <c r="G26" s="5">
        <f t="shared" si="6"/>
        <v>718.190118133189</v>
      </c>
      <c r="H26" s="5">
        <f t="shared" si="6"/>
        <v>745.66599411848802</v>
      </c>
      <c r="I26" s="5">
        <f t="shared" si="6"/>
        <v>769.762208047689</v>
      </c>
      <c r="J26" s="5">
        <f t="shared" si="6"/>
        <v>789.72681079620304</v>
      </c>
      <c r="K26" s="5">
        <f t="shared" si="6"/>
        <v>805.05635425059404</v>
      </c>
      <c r="L26" s="5">
        <f t="shared" si="6"/>
        <v>815.45635056894798</v>
      </c>
      <c r="M26" s="5">
        <f t="shared" si="6"/>
        <v>819.47177187155603</v>
      </c>
      <c r="N26" s="5">
        <f t="shared" si="6"/>
        <v>819.59959603341304</v>
      </c>
      <c r="O26" s="5">
        <f t="shared" si="6"/>
        <v>815.44497521688299</v>
      </c>
      <c r="P26" s="5">
        <f t="shared" si="6"/>
        <v>804.31483439489398</v>
      </c>
      <c r="Q26" s="5">
        <f t="shared" si="6"/>
        <v>787.81809558888006</v>
      </c>
      <c r="R26" s="5">
        <f t="shared" si="6"/>
        <v>768.24905410234601</v>
      </c>
      <c r="S26" s="5">
        <f t="shared" si="6"/>
        <v>746.01242161569098</v>
      </c>
      <c r="T26" s="5">
        <f t="shared" si="6"/>
        <v>721.57752411140598</v>
      </c>
      <c r="U26" s="5">
        <f t="shared" si="6"/>
        <v>695.60517947615801</v>
      </c>
      <c r="V26" s="5">
        <f t="shared" si="6"/>
        <v>668.49512524419197</v>
      </c>
      <c r="W26" s="5">
        <f t="shared" si="6"/>
        <v>640.44095450749398</v>
      </c>
      <c r="X26" s="5">
        <f t="shared" si="6"/>
        <v>611.93300078364996</v>
      </c>
      <c r="Y26" s="5">
        <f t="shared" si="6"/>
        <v>583.75899616730896</v>
      </c>
      <c r="Z26" s="5">
        <f t="shared" si="6"/>
        <v>556.39964140637005</v>
      </c>
      <c r="AA26" s="5">
        <f t="shared" si="6"/>
        <v>529.88374866348704</v>
      </c>
      <c r="AB26" s="5">
        <f t="shared" si="6"/>
        <v>504.234779784409</v>
      </c>
      <c r="AC26" s="5">
        <f t="shared" si="6"/>
        <v>479.62297994710701</v>
      </c>
      <c r="AD26" s="5">
        <f t="shared" si="6"/>
        <v>456.15298483044899</v>
      </c>
      <c r="AE26" s="5">
        <f t="shared" si="6"/>
        <v>433.817829416086</v>
      </c>
    </row>
    <row r="27" spans="1:31" x14ac:dyDescent="0.2">
      <c r="A27" t="s">
        <v>9</v>
      </c>
      <c r="B27" s="5">
        <f t="shared" ref="B27:AE27" si="7">IMAGINARY(B25)</f>
        <v>317.27010072288101</v>
      </c>
      <c r="C27" s="5">
        <f t="shared" si="7"/>
        <v>294.31712868427599</v>
      </c>
      <c r="D27" s="5">
        <f t="shared" si="7"/>
        <v>270.11408680548698</v>
      </c>
      <c r="E27" s="5">
        <f t="shared" si="7"/>
        <v>243.079603695895</v>
      </c>
      <c r="F27" s="5">
        <f t="shared" si="7"/>
        <v>213.96636187631699</v>
      </c>
      <c r="G27" s="5">
        <f t="shared" si="7"/>
        <v>181.51164790414899</v>
      </c>
      <c r="H27" s="5">
        <f t="shared" si="7"/>
        <v>146.256063607931</v>
      </c>
      <c r="I27" s="5">
        <f t="shared" si="7"/>
        <v>108.246860976458</v>
      </c>
      <c r="J27" s="5">
        <f t="shared" si="7"/>
        <v>66.8306731064893</v>
      </c>
      <c r="K27" s="5">
        <f t="shared" si="7"/>
        <v>22.9294150429035</v>
      </c>
      <c r="L27" s="5">
        <f t="shared" si="7"/>
        <v>-21.8966720680801</v>
      </c>
      <c r="M27" s="5">
        <f t="shared" si="7"/>
        <v>-67.588000430564193</v>
      </c>
      <c r="N27" s="5">
        <f t="shared" si="7"/>
        <v>-113.942294365126</v>
      </c>
      <c r="O27" s="5">
        <f t="shared" si="7"/>
        <v>-159.91131537798699</v>
      </c>
      <c r="P27" s="5">
        <f t="shared" si="7"/>
        <v>-202.82617785675501</v>
      </c>
      <c r="Q27" s="5">
        <f t="shared" si="7"/>
        <v>-242.28516132495201</v>
      </c>
      <c r="R27" s="5">
        <f t="shared" si="7"/>
        <v>-279.17996003204598</v>
      </c>
      <c r="S27" s="5">
        <f t="shared" si="7"/>
        <v>-313.15216097325498</v>
      </c>
      <c r="T27" s="5">
        <f t="shared" si="7"/>
        <v>-343.75068560263702</v>
      </c>
      <c r="U27" s="5">
        <f t="shared" si="7"/>
        <v>-370.71130555602798</v>
      </c>
      <c r="V27" s="5">
        <f t="shared" si="7"/>
        <v>-393.95237279462498</v>
      </c>
      <c r="W27" s="5">
        <f t="shared" si="7"/>
        <v>-413.46746233980701</v>
      </c>
      <c r="X27" s="5">
        <f t="shared" si="7"/>
        <v>-429.41328579270402</v>
      </c>
      <c r="Y27" s="5">
        <f t="shared" si="7"/>
        <v>-442.22772361219899</v>
      </c>
      <c r="Z27" s="5">
        <f t="shared" si="7"/>
        <v>-452.31976287776803</v>
      </c>
      <c r="AA27" s="5">
        <f t="shared" si="7"/>
        <v>-459.841412410771</v>
      </c>
      <c r="AB27" s="5">
        <f t="shared" si="7"/>
        <v>-464.99221421983702</v>
      </c>
      <c r="AC27" s="5">
        <f t="shared" si="7"/>
        <v>-468.37757606670698</v>
      </c>
      <c r="AD27" s="5">
        <f t="shared" si="7"/>
        <v>-470.61950588601798</v>
      </c>
      <c r="AE27" s="5">
        <f t="shared" si="7"/>
        <v>-471.841162878548</v>
      </c>
    </row>
    <row r="28" spans="1:31" x14ac:dyDescent="0.2">
      <c r="A28" t="s">
        <v>17</v>
      </c>
      <c r="B28" s="5">
        <f t="shared" ref="B28:AE28" si="8">IMABS(B25)</f>
        <v>631.42086622028773</v>
      </c>
      <c r="C28" s="5">
        <f t="shared" si="8"/>
        <v>654.67655891307004</v>
      </c>
      <c r="D28" s="5">
        <f t="shared" si="8"/>
        <v>677.54778583421387</v>
      </c>
      <c r="E28" s="5">
        <f t="shared" si="8"/>
        <v>699.49539784168121</v>
      </c>
      <c r="F28" s="5">
        <f t="shared" si="8"/>
        <v>720.27993437146142</v>
      </c>
      <c r="G28" s="5">
        <f t="shared" si="8"/>
        <v>740.7722484738772</v>
      </c>
      <c r="H28" s="5">
        <f t="shared" si="8"/>
        <v>759.87407570386301</v>
      </c>
      <c r="I28" s="5">
        <f t="shared" si="8"/>
        <v>777.33598903544294</v>
      </c>
      <c r="J28" s="5">
        <f t="shared" si="8"/>
        <v>792.54954075957198</v>
      </c>
      <c r="K28" s="5">
        <f t="shared" si="8"/>
        <v>805.38282300621972</v>
      </c>
      <c r="L28" s="5">
        <f t="shared" si="8"/>
        <v>815.75028282611345</v>
      </c>
      <c r="M28" s="5">
        <f t="shared" si="8"/>
        <v>822.25429320649312</v>
      </c>
      <c r="N28" s="5">
        <f t="shared" si="8"/>
        <v>827.48192987117409</v>
      </c>
      <c r="O28" s="5">
        <f t="shared" si="8"/>
        <v>830.97661603223287</v>
      </c>
      <c r="P28" s="5">
        <f t="shared" si="8"/>
        <v>829.49431056015419</v>
      </c>
      <c r="Q28" s="5">
        <f t="shared" si="8"/>
        <v>824.23264381820479</v>
      </c>
      <c r="R28" s="5">
        <f t="shared" si="8"/>
        <v>817.403241498738</v>
      </c>
      <c r="S28" s="5">
        <f t="shared" si="8"/>
        <v>809.07280829794718</v>
      </c>
      <c r="T28" s="5">
        <f t="shared" si="8"/>
        <v>799.27383114614088</v>
      </c>
      <c r="U28" s="5">
        <f t="shared" si="8"/>
        <v>788.22169329517487</v>
      </c>
      <c r="V28" s="5">
        <f t="shared" si="8"/>
        <v>775.94085116441909</v>
      </c>
      <c r="W28" s="5">
        <f t="shared" si="8"/>
        <v>762.31224483422125</v>
      </c>
      <c r="X28" s="5">
        <f t="shared" si="8"/>
        <v>747.56790157374269</v>
      </c>
      <c r="Y28" s="5">
        <f t="shared" si="8"/>
        <v>732.35232309148273</v>
      </c>
      <c r="Z28" s="5">
        <f t="shared" si="8"/>
        <v>717.05908323299104</v>
      </c>
      <c r="AA28" s="5">
        <f t="shared" si="8"/>
        <v>701.59169868635297</v>
      </c>
      <c r="AB28" s="5">
        <f t="shared" si="8"/>
        <v>685.90850149950631</v>
      </c>
      <c r="AC28" s="5">
        <f t="shared" si="8"/>
        <v>670.38478253572168</v>
      </c>
      <c r="AD28" s="5">
        <f t="shared" si="8"/>
        <v>655.40694601913356</v>
      </c>
      <c r="AE28" s="5">
        <f t="shared" si="8"/>
        <v>640.96177117349578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 xr:uid="{00000000-0004-0000-0100-000000000000}"/>
  </hyperlinks>
  <pageMargins left="0.75" right="0.75" top="1" bottom="1" header="0.5" footer="0.5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AE35"/>
  <sheetViews>
    <sheetView topLeftCell="A7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6" ht="20.25" x14ac:dyDescent="0.3">
      <c r="A1" s="9" t="s">
        <v>28</v>
      </c>
    </row>
    <row r="3" spans="1:6" x14ac:dyDescent="0.2">
      <c r="A3" s="8" t="s">
        <v>30</v>
      </c>
    </row>
    <row r="4" spans="1:6" x14ac:dyDescent="0.2">
      <c r="A4" s="12" t="s">
        <v>29</v>
      </c>
    </row>
    <row r="6" spans="1:6" x14ac:dyDescent="0.2">
      <c r="A6" s="8" t="s">
        <v>18</v>
      </c>
    </row>
    <row r="7" spans="1:6" x14ac:dyDescent="0.2">
      <c r="A7" t="s">
        <v>3</v>
      </c>
      <c r="B7" s="3">
        <v>140</v>
      </c>
    </row>
    <row r="8" spans="1:6" x14ac:dyDescent="0.2">
      <c r="A8" t="s">
        <v>7</v>
      </c>
      <c r="B8" s="3">
        <v>2</v>
      </c>
    </row>
    <row r="9" spans="1:6" x14ac:dyDescent="0.2">
      <c r="A9" t="s">
        <v>10</v>
      </c>
      <c r="B9" s="3">
        <v>1.3</v>
      </c>
    </row>
    <row r="11" spans="1:6" x14ac:dyDescent="0.2">
      <c r="A11" s="8" t="s">
        <v>19</v>
      </c>
    </row>
    <row r="12" spans="1:6" x14ac:dyDescent="0.2">
      <c r="A12" t="s">
        <v>20</v>
      </c>
      <c r="B12" t="str">
        <f>Mix!B1</f>
        <v>#61</v>
      </c>
    </row>
    <row r="13" spans="1:6" x14ac:dyDescent="0.2">
      <c r="A13" t="s">
        <v>31</v>
      </c>
      <c r="B13">
        <f>Mix!B2</f>
        <v>125</v>
      </c>
    </row>
    <row r="14" spans="1:6" x14ac:dyDescent="0.2">
      <c r="F14">
        <v>1.06</v>
      </c>
    </row>
    <row r="15" spans="1:6" x14ac:dyDescent="0.2">
      <c r="A15" s="8" t="s">
        <v>22</v>
      </c>
    </row>
    <row r="16" spans="1:6" x14ac:dyDescent="0.2">
      <c r="A16" s="2" t="s">
        <v>11</v>
      </c>
      <c r="B16" s="4">
        <f>2*PI()*$B$8^2*$B$7*0.000000001</f>
        <v>3.5185837720205686E-6</v>
      </c>
    </row>
    <row r="18" spans="1:31" x14ac:dyDescent="0.2">
      <c r="A18" t="s">
        <v>4</v>
      </c>
      <c r="B18" s="10">
        <v>100</v>
      </c>
      <c r="C18" s="10">
        <f>B18*$F$14</f>
        <v>106</v>
      </c>
      <c r="D18" s="10">
        <f t="shared" ref="D18:AE18" si="0">C18*$F$14</f>
        <v>112.36</v>
      </c>
      <c r="E18" s="10">
        <f t="shared" si="0"/>
        <v>119.1016</v>
      </c>
      <c r="F18" s="10">
        <f t="shared" si="0"/>
        <v>126.247696</v>
      </c>
      <c r="G18" s="10">
        <f t="shared" si="0"/>
        <v>133.82255776000002</v>
      </c>
      <c r="H18" s="10">
        <f t="shared" si="0"/>
        <v>141.85191122560002</v>
      </c>
      <c r="I18" s="10">
        <f t="shared" si="0"/>
        <v>150.36302589913603</v>
      </c>
      <c r="J18" s="10">
        <f t="shared" si="0"/>
        <v>159.38480745308419</v>
      </c>
      <c r="K18" s="10">
        <f t="shared" si="0"/>
        <v>168.94789590026926</v>
      </c>
      <c r="L18" s="10">
        <f t="shared" si="0"/>
        <v>179.08476965428542</v>
      </c>
      <c r="M18" s="10">
        <f t="shared" si="0"/>
        <v>189.82985583354255</v>
      </c>
      <c r="N18" s="10">
        <f t="shared" si="0"/>
        <v>201.21964718355511</v>
      </c>
      <c r="O18" s="10">
        <f t="shared" si="0"/>
        <v>213.29282601456842</v>
      </c>
      <c r="P18" s="10">
        <f t="shared" si="0"/>
        <v>226.09039557544253</v>
      </c>
      <c r="Q18" s="10">
        <f t="shared" si="0"/>
        <v>239.6558193099691</v>
      </c>
      <c r="R18" s="10">
        <f t="shared" si="0"/>
        <v>254.03516846856726</v>
      </c>
      <c r="S18" s="10">
        <f t="shared" si="0"/>
        <v>269.27727857668134</v>
      </c>
      <c r="T18" s="10">
        <f t="shared" si="0"/>
        <v>285.43391529128223</v>
      </c>
      <c r="U18" s="10">
        <f t="shared" si="0"/>
        <v>302.55995020875918</v>
      </c>
      <c r="V18" s="10">
        <f t="shared" si="0"/>
        <v>320.71354722128473</v>
      </c>
      <c r="W18" s="10">
        <f t="shared" si="0"/>
        <v>339.95636005456186</v>
      </c>
      <c r="X18" s="10">
        <f t="shared" si="0"/>
        <v>360.3537416578356</v>
      </c>
      <c r="Y18" s="10">
        <f t="shared" si="0"/>
        <v>381.97496615730574</v>
      </c>
      <c r="Z18" s="10">
        <f t="shared" si="0"/>
        <v>404.89346412674411</v>
      </c>
      <c r="AA18" s="10">
        <f t="shared" si="0"/>
        <v>429.18707197434878</v>
      </c>
      <c r="AB18" s="10">
        <f t="shared" si="0"/>
        <v>454.93829629280975</v>
      </c>
      <c r="AC18" s="10">
        <f t="shared" si="0"/>
        <v>482.23459407037836</v>
      </c>
      <c r="AD18" s="10">
        <f t="shared" si="0"/>
        <v>511.16866971460109</v>
      </c>
      <c r="AE18" s="10">
        <f t="shared" si="0"/>
        <v>541.83878989747723</v>
      </c>
    </row>
    <row r="19" spans="1:31" x14ac:dyDescent="0.2">
      <c r="A19" t="s">
        <v>6</v>
      </c>
      <c r="B19" s="7">
        <f>csinterpolate(CSTableU2,'FT140-61 4t (3)'!B18*1000000)</f>
        <v>51.43</v>
      </c>
      <c r="C19" s="7">
        <f>csinterpolate(CSTableU2,'FT140-61 4t (3)'!C18*1000000)</f>
        <v>49.945001859114114</v>
      </c>
      <c r="D19" s="7">
        <f>csinterpolate(CSTableU2,'FT140-61 4t (3)'!D18*1000000)</f>
        <v>48.625690017636998</v>
      </c>
      <c r="E19" s="7">
        <f>csinterpolate(CSTableU2,'FT140-61 4t (3)'!E18*1000000)</f>
        <v>47.298347849609428</v>
      </c>
      <c r="F19" s="7">
        <f>csinterpolate(CSTableU2,'FT140-61 4t (3)'!F18*1000000)</f>
        <v>45.895719521863711</v>
      </c>
      <c r="G19" s="7">
        <f>csinterpolate(CSTableU2,'FT140-61 4t (3)'!G18*1000000)</f>
        <v>44.590994733889126</v>
      </c>
      <c r="H19" s="7">
        <f>csinterpolate(CSTableU2,'FT140-61 4t (3)'!H18*1000000)</f>
        <v>43.351968258135472</v>
      </c>
      <c r="I19" s="7">
        <f>csinterpolate(CSTableU2,'FT140-61 4t (3)'!I18*1000000)</f>
        <v>42.125425282827749</v>
      </c>
      <c r="J19" s="7">
        <f>csinterpolate(CSTableU2,'FT140-61 4t (3)'!J18*1000000)</f>
        <v>40.901499433613061</v>
      </c>
      <c r="K19" s="7">
        <f>csinterpolate(CSTableU2,'FT140-61 4t (3)'!K18*1000000)</f>
        <v>39.668443434802072</v>
      </c>
      <c r="L19" s="7">
        <f>csinterpolate(CSTableU2,'FT140-61 4t (3)'!L18*1000000)</f>
        <v>38.406156248503166</v>
      </c>
      <c r="M19" s="7">
        <f>csinterpolate(CSTableU2,'FT140-61 4t (3)'!M18*1000000)</f>
        <v>37.174617826923182</v>
      </c>
      <c r="N19" s="7">
        <f>csinterpolate(CSTableU2,'FT140-61 4t (3)'!N18*1000000)</f>
        <v>36.027911474294029</v>
      </c>
      <c r="O19" s="7">
        <f>csinterpolate(CSTableU2,'FT140-61 4t (3)'!O18*1000000)</f>
        <v>34.812782297623777</v>
      </c>
      <c r="P19" s="7">
        <f>csinterpolate(CSTableU2,'FT140-61 4t (3)'!P18*1000000)</f>
        <v>33.638720749274846</v>
      </c>
      <c r="Q19" s="7">
        <f>csinterpolate(CSTableU2,'FT140-61 4t (3)'!Q18*1000000)</f>
        <v>32.49543453791933</v>
      </c>
      <c r="R19" s="7">
        <f>csinterpolate(CSTableU2,'FT140-61 4t (3)'!R18*1000000)</f>
        <v>31.322107454113251</v>
      </c>
      <c r="S19" s="7">
        <f>csinterpolate(CSTableU2,'FT140-61 4t (3)'!S18*1000000)</f>
        <v>30.124653698593889</v>
      </c>
      <c r="T19" s="7">
        <f>csinterpolate(CSTableU2,'FT140-61 4t (3)'!T18*1000000)</f>
        <v>28.929960600048361</v>
      </c>
      <c r="U19" s="7">
        <f>csinterpolate(CSTableU2,'FT140-61 4t (3)'!U18*1000000)</f>
        <v>27.776875487134532</v>
      </c>
      <c r="V19" s="7">
        <f>csinterpolate(CSTableU2,'FT140-61 4t (3)'!V18*1000000)</f>
        <v>26.646508501067313</v>
      </c>
      <c r="W19" s="7">
        <f>csinterpolate(CSTableU2,'FT140-61 4t (3)'!W18*1000000)</f>
        <v>25.570182375238179</v>
      </c>
      <c r="X19" s="7">
        <f>csinterpolate(CSTableU2,'FT140-61 4t (3)'!X18*1000000)</f>
        <v>24.509878050873301</v>
      </c>
      <c r="Y19" s="7">
        <f>csinterpolate(CSTableU2,'FT140-61 4t (3)'!Y18*1000000)</f>
        <v>23.444049610769046</v>
      </c>
      <c r="Z19" s="7">
        <f>csinterpolate(CSTableU2,'FT140-61 4t (3)'!Z18*1000000)</f>
        <v>22.453176141397329</v>
      </c>
      <c r="AA19" s="7">
        <f>csinterpolate(CSTableU2,'FT140-61 4t (3)'!AA18*1000000)</f>
        <v>21.499241655460377</v>
      </c>
      <c r="AB19" s="7">
        <f>csinterpolate(CSTableU2,'FT140-61 4t (3)'!AB18*1000000)</f>
        <v>20.611692269555039</v>
      </c>
      <c r="AC19" s="7">
        <f>csinterpolate(CSTableU2,'FT140-61 4t (3)'!AC18*1000000)</f>
        <v>19.71942652957603</v>
      </c>
      <c r="AD19" s="7">
        <f>csinterpolate(CSTableU2,'FT140-61 4t (3)'!AD18*1000000)</f>
        <v>18.858054906855191</v>
      </c>
      <c r="AE19" s="7">
        <f>csinterpolate(CSTableU2,'FT140-61 4t (3)'!AE18*1000000)</f>
        <v>18.070934691508107</v>
      </c>
    </row>
    <row r="20" spans="1:31" x14ac:dyDescent="0.2">
      <c r="A20" t="s">
        <v>5</v>
      </c>
      <c r="B20" s="7">
        <f>csinterpolate(CSTableU1,'FT140-61 4t (3)'!B18*1000000)</f>
        <v>32.9</v>
      </c>
      <c r="C20" s="7">
        <f>csinterpolate(CSTableU1,'FT140-61 4t (3)'!C18*1000000)</f>
        <v>31.078812373580771</v>
      </c>
      <c r="D20" s="7">
        <f>csinterpolate(CSTableU1,'FT140-61 4t (3)'!D18*1000000)</f>
        <v>29.45708587299038</v>
      </c>
      <c r="E20" s="7">
        <f>csinterpolate(CSTableU1,'FT140-61 4t (3)'!E18*1000000)</f>
        <v>27.846393530786482</v>
      </c>
      <c r="F20" s="7">
        <f>csinterpolate(CSTableU1,'FT140-61 4t (3)'!F18*1000000)</f>
        <v>26.144767094763431</v>
      </c>
      <c r="G20" s="7">
        <f>csinterpolate(CSTableU1,'FT140-61 4t (3)'!G18*1000000)</f>
        <v>24.554729804905289</v>
      </c>
      <c r="H20" s="7">
        <f>csinterpolate(CSTableU1,'FT140-61 4t (3)'!H18*1000000)</f>
        <v>23.056029232278391</v>
      </c>
      <c r="I20" s="7">
        <f>csinterpolate(CSTableU1,'FT140-61 4t (3)'!I18*1000000)</f>
        <v>21.627574568860808</v>
      </c>
      <c r="J20" s="7">
        <f>csinterpolate(CSTableU1,'FT140-61 4t (3)'!J18*1000000)</f>
        <v>20.173319194654429</v>
      </c>
      <c r="K20" s="7">
        <f>csinterpolate(CSTableU1,'FT140-61 4t (3)'!K18*1000000)</f>
        <v>18.740325957775624</v>
      </c>
      <c r="L20" s="7">
        <f>csinterpolate(CSTableU1,'FT140-61 4t (3)'!L18*1000000)</f>
        <v>17.342208147725188</v>
      </c>
      <c r="M20" s="7">
        <f>csinterpolate(CSTableU1,'FT140-61 4t (3)'!M18*1000000)</f>
        <v>15.987535632934017</v>
      </c>
      <c r="N20" s="7">
        <f>csinterpolate(CSTableU1,'FT140-61 4t (3)'!N18*1000000)</f>
        <v>14.76247421749761</v>
      </c>
      <c r="O20" s="7">
        <f>csinterpolate(CSTableU1,'FT140-61 4t (3)'!O18*1000000)</f>
        <v>13.493342805679609</v>
      </c>
      <c r="P20" s="7">
        <f>csinterpolate(CSTableU1,'FT140-61 4t (3)'!P18*1000000)</f>
        <v>12.362454455220307</v>
      </c>
      <c r="Q20" s="7">
        <f>csinterpolate(CSTableU1,'FT140-61 4t (3)'!Q18*1000000)</f>
        <v>11.271615927365524</v>
      </c>
      <c r="R20" s="7">
        <f>csinterpolate(CSTableU1,'FT140-61 4t (3)'!R18*1000000)</f>
        <v>10.183313101945837</v>
      </c>
      <c r="S20" s="7">
        <f>csinterpolate(CSTableU1,'FT140-61 4t (3)'!S18*1000000)</f>
        <v>9.1738644488517558</v>
      </c>
      <c r="T20" s="7">
        <f>csinterpolate(CSTableU1,'FT140-61 4t (3)'!T18*1000000)</f>
        <v>8.1917685225220911</v>
      </c>
      <c r="U20" s="7">
        <f>csinterpolate(CSTableU1,'FT140-61 4t (3)'!U18*1000000)</f>
        <v>7.3147251733427145</v>
      </c>
      <c r="V20" s="7">
        <f>csinterpolate(CSTableU1,'FT140-61 4t (3)'!V18*1000000)</f>
        <v>6.4991274466669982</v>
      </c>
      <c r="W20" s="7">
        <f>csinterpolate(CSTableU1,'FT140-61 4t (3)'!W18*1000000)</f>
        <v>5.7480367003667121</v>
      </c>
      <c r="X20" s="7">
        <f>csinterpolate(CSTableU1,'FT140-61 4t (3)'!X18*1000000)</f>
        <v>5.0635217909966501</v>
      </c>
      <c r="Y20" s="7">
        <f>csinterpolate(CSTableU1,'FT140-61 4t (3)'!Y18*1000000)</f>
        <v>4.4306549097756891</v>
      </c>
      <c r="Z20" s="7">
        <f>csinterpolate(CSTableU1,'FT140-61 4t (3)'!Z18*1000000)</f>
        <v>3.848473065720821</v>
      </c>
      <c r="AA20" s="7">
        <f>csinterpolate(CSTableU1,'FT140-61 4t (3)'!AA18*1000000)</f>
        <v>3.2919403794688438</v>
      </c>
      <c r="AB20" s="7">
        <f>csinterpolate(CSTableU1,'FT140-61 4t (3)'!AB18*1000000)</f>
        <v>2.7701248618936001</v>
      </c>
      <c r="AC20" s="7">
        <f>csinterpolate(CSTableU1,'FT140-61 4t (3)'!AC18*1000000)</f>
        <v>2.3040433608866033</v>
      </c>
      <c r="AD20" s="7">
        <f>csinterpolate(CSTableU1,'FT140-61 4t (3)'!AD18*1000000)</f>
        <v>1.9081441349945598</v>
      </c>
      <c r="AE20" s="7">
        <f>csinterpolate(CSTableU1,'FT140-61 4t (3)'!AE18*1000000)</f>
        <v>1.5293975245360434</v>
      </c>
    </row>
    <row r="21" spans="1:31" x14ac:dyDescent="0.2">
      <c r="A21" t="s">
        <v>12</v>
      </c>
      <c r="B21" s="5">
        <f t="shared" ref="B21:AE21" si="1">B19/$B$13*$B$16*B18*1000000</f>
        <v>144.76861071601425</v>
      </c>
      <c r="C21" s="5">
        <f t="shared" si="1"/>
        <v>149.02385073369362</v>
      </c>
      <c r="D21" s="5">
        <f t="shared" si="1"/>
        <v>153.79258262796881</v>
      </c>
      <c r="E21" s="5">
        <f t="shared" si="1"/>
        <v>158.57015440234198</v>
      </c>
      <c r="F21" s="5">
        <f t="shared" si="1"/>
        <v>163.09983670838773</v>
      </c>
      <c r="G21" s="5">
        <f t="shared" si="1"/>
        <v>167.97102382663675</v>
      </c>
      <c r="H21" s="5">
        <f t="shared" si="1"/>
        <v>173.10192358067613</v>
      </c>
      <c r="I21" s="5">
        <f t="shared" si="1"/>
        <v>178.29667227502861</v>
      </c>
      <c r="J21" s="5">
        <f t="shared" si="1"/>
        <v>183.50336554649985</v>
      </c>
      <c r="K21" s="5">
        <f t="shared" si="1"/>
        <v>188.64957411592289</v>
      </c>
      <c r="L21" s="5">
        <f t="shared" si="1"/>
        <v>193.60536123669596</v>
      </c>
      <c r="M21" s="5">
        <f t="shared" si="1"/>
        <v>198.64100907801645</v>
      </c>
      <c r="N21" s="5">
        <f t="shared" si="1"/>
        <v>204.06444975331485</v>
      </c>
      <c r="O21" s="5">
        <f t="shared" si="1"/>
        <v>209.01279123981976</v>
      </c>
      <c r="P21" s="5">
        <f t="shared" si="1"/>
        <v>214.08166198494428</v>
      </c>
      <c r="Q21" s="5">
        <f t="shared" si="1"/>
        <v>219.21396136705758</v>
      </c>
      <c r="R21" s="5">
        <f t="shared" si="1"/>
        <v>223.97662785800301</v>
      </c>
      <c r="S21" s="5">
        <f t="shared" si="1"/>
        <v>228.33876878581603</v>
      </c>
      <c r="T21" s="5">
        <f t="shared" si="1"/>
        <v>232.44023149817255</v>
      </c>
      <c r="U21" s="5">
        <f t="shared" si="1"/>
        <v>236.56621124556779</v>
      </c>
      <c r="V21" s="5">
        <f t="shared" si="1"/>
        <v>240.55561525112446</v>
      </c>
      <c r="W21" s="5">
        <f t="shared" si="1"/>
        <v>244.68924363202231</v>
      </c>
      <c r="X21" s="5">
        <f t="shared" si="1"/>
        <v>248.61542400434118</v>
      </c>
      <c r="Y21" s="5">
        <f t="shared" si="1"/>
        <v>252.07246896936849</v>
      </c>
      <c r="Z21" s="5">
        <f t="shared" si="1"/>
        <v>255.9036215390141</v>
      </c>
      <c r="AA21" s="5">
        <f t="shared" si="1"/>
        <v>259.73331306215323</v>
      </c>
      <c r="AB21" s="5">
        <f t="shared" si="1"/>
        <v>263.95143601761299</v>
      </c>
      <c r="AC21" s="5">
        <f t="shared" si="1"/>
        <v>267.67667277229526</v>
      </c>
      <c r="AD21" s="5">
        <f t="shared" si="1"/>
        <v>271.34323951786604</v>
      </c>
      <c r="AE21" s="5">
        <f t="shared" si="1"/>
        <v>275.61864378911935</v>
      </c>
    </row>
    <row r="22" spans="1:31" x14ac:dyDescent="0.2">
      <c r="A22" t="s">
        <v>13</v>
      </c>
      <c r="B22" s="5">
        <f t="shared" ref="B22:AE22" si="2">B20/$B$13*$B$16*B18*1000000</f>
        <v>92.609124879581358</v>
      </c>
      <c r="C22" s="5">
        <f t="shared" si="2"/>
        <v>92.731687330907647</v>
      </c>
      <c r="D22" s="5">
        <f t="shared" si="2"/>
        <v>93.166417000105696</v>
      </c>
      <c r="E22" s="5">
        <f t="shared" si="2"/>
        <v>93.35647274118584</v>
      </c>
      <c r="F22" s="5">
        <f t="shared" si="2"/>
        <v>92.910783148379863</v>
      </c>
      <c r="G22" s="5">
        <f t="shared" si="2"/>
        <v>92.49587567468572</v>
      </c>
      <c r="H22" s="5">
        <f t="shared" si="2"/>
        <v>92.061402759740332</v>
      </c>
      <c r="I22" s="5">
        <f t="shared" si="2"/>
        <v>91.539125103618872</v>
      </c>
      <c r="J22" s="5">
        <f t="shared" si="2"/>
        <v>90.506998954191801</v>
      </c>
      <c r="K22" s="5">
        <f t="shared" si="2"/>
        <v>89.12259228266808</v>
      </c>
      <c r="L22" s="5">
        <f t="shared" si="2"/>
        <v>87.422038575213136</v>
      </c>
      <c r="M22" s="5">
        <f t="shared" si="2"/>
        <v>85.428725201224381</v>
      </c>
      <c r="N22" s="5">
        <f t="shared" si="2"/>
        <v>83.615620637365197</v>
      </c>
      <c r="O22" s="5">
        <f t="shared" si="2"/>
        <v>81.012807849125593</v>
      </c>
      <c r="P22" s="5">
        <f t="shared" si="2"/>
        <v>78.67644003804142</v>
      </c>
      <c r="Q22" s="5">
        <f t="shared" si="2"/>
        <v>76.038237788834536</v>
      </c>
      <c r="R22" s="5">
        <f t="shared" si="2"/>
        <v>72.818348265277052</v>
      </c>
      <c r="S22" s="5">
        <f t="shared" si="2"/>
        <v>69.536032985386782</v>
      </c>
      <c r="T22" s="5">
        <f t="shared" si="2"/>
        <v>65.817461630116938</v>
      </c>
      <c r="U22" s="5">
        <f t="shared" si="2"/>
        <v>62.297029101122099</v>
      </c>
      <c r="V22" s="5">
        <f t="shared" si="2"/>
        <v>58.671911986736575</v>
      </c>
      <c r="W22" s="5">
        <f t="shared" si="2"/>
        <v>55.004799416051689</v>
      </c>
      <c r="X22" s="5">
        <f t="shared" si="2"/>
        <v>51.361725032287495</v>
      </c>
      <c r="Y22" s="5">
        <f t="shared" si="2"/>
        <v>47.638788554063979</v>
      </c>
      <c r="Z22" s="5">
        <f t="shared" si="2"/>
        <v>43.861865631452737</v>
      </c>
      <c r="AA22" s="5">
        <f t="shared" si="2"/>
        <v>39.770080957500433</v>
      </c>
      <c r="AB22" s="5">
        <f t="shared" si="2"/>
        <v>35.473964276330243</v>
      </c>
      <c r="AC22" s="5">
        <f t="shared" si="2"/>
        <v>31.275689475057092</v>
      </c>
      <c r="AD22" s="5">
        <f t="shared" si="2"/>
        <v>27.45574841168936</v>
      </c>
      <c r="AE22" s="5">
        <f t="shared" si="2"/>
        <v>23.326434339068594</v>
      </c>
    </row>
    <row r="23" spans="1:31" x14ac:dyDescent="0.2">
      <c r="A23" t="s">
        <v>14</v>
      </c>
      <c r="B23" s="5" t="str">
        <f t="shared" ref="B23:AE23" si="3">IMDIV(1,COMPLEX(B21,B22))</f>
        <v>0.00490169454882521-0.00313563582843379i</v>
      </c>
      <c r="C23" s="5" t="str">
        <f t="shared" si="3"/>
        <v>0.0048372943061254-0.00301005819481069i</v>
      </c>
      <c r="D23" s="5" t="str">
        <f t="shared" si="3"/>
        <v>0.00475664722228996-0.00288154195125446i</v>
      </c>
      <c r="E23" s="5" t="str">
        <f t="shared" si="3"/>
        <v>0.00468312186195956-0.00275713762213012i</v>
      </c>
      <c r="F23" s="5" t="str">
        <f t="shared" si="3"/>
        <v>0.00462905074404109-0.00263696603590977i</v>
      </c>
      <c r="G23" s="5" t="str">
        <f t="shared" si="3"/>
        <v>0.00456818486173508-0.00251554255849587i</v>
      </c>
      <c r="H23" s="5" t="str">
        <f t="shared" si="3"/>
        <v>0.00450322124677962-0.00239496393997483i</v>
      </c>
      <c r="I23" s="5" t="str">
        <f t="shared" si="3"/>
        <v>0.00443865077186738-0.00227884347538744i</v>
      </c>
      <c r="J23" s="5" t="str">
        <f t="shared" si="3"/>
        <v>0.00438321644962458-0.00216187733364291i</v>
      </c>
      <c r="K23" s="5" t="str">
        <f t="shared" si="3"/>
        <v>0.00433363384253093-0.00204731276951055i</v>
      </c>
      <c r="L23" s="5" t="str">
        <f t="shared" si="3"/>
        <v>0.00429036183840049-0.00193730264359631i</v>
      </c>
      <c r="M23" s="5" t="str">
        <f t="shared" si="3"/>
        <v>0.00424843142855983-0.001827105504202i</v>
      </c>
      <c r="N23" s="5" t="str">
        <f t="shared" si="3"/>
        <v>0.00419593264438506-0.00171928776735468i</v>
      </c>
      <c r="O23" s="5" t="str">
        <f t="shared" si="3"/>
        <v>0.00415950638198298-0.001612213727552i</v>
      </c>
      <c r="P23" s="5" t="str">
        <f t="shared" si="3"/>
        <v>0.00411529782235653-0.00151239942439389i</v>
      </c>
      <c r="Q23" s="5" t="str">
        <f t="shared" si="3"/>
        <v>0.00407184081729694-0.00141238996993206i</v>
      </c>
      <c r="R23" s="5" t="str">
        <f t="shared" si="3"/>
        <v>0.00403794006623838-0.00131279825412889i</v>
      </c>
      <c r="S23" s="5" t="str">
        <f t="shared" si="3"/>
        <v>0.00400778174381646-0.001220490261107i</v>
      </c>
      <c r="T23" s="5" t="str">
        <f t="shared" si="3"/>
        <v>0.00398284168017576-0.00112777606429917i</v>
      </c>
      <c r="U23" s="5" t="str">
        <f t="shared" si="3"/>
        <v>0.00395301560418313-0.00104098183267328i</v>
      </c>
      <c r="V23" s="5" t="str">
        <f t="shared" si="3"/>
        <v>0.00392363366634948-0.000956980733540277i</v>
      </c>
      <c r="W23" s="5" t="str">
        <f t="shared" si="3"/>
        <v>0.00389023286666421-0.0008745030036318i</v>
      </c>
      <c r="X23" s="5" t="str">
        <f t="shared" si="3"/>
        <v>0.00385763331064434-0.000796952571105355i</v>
      </c>
      <c r="Y23" s="5" t="str">
        <f t="shared" si="3"/>
        <v>0.00383030741633993-0.000723883912630915i</v>
      </c>
      <c r="Z23" s="5" t="str">
        <f t="shared" si="3"/>
        <v>0.00379619673347199-0.000650667896111516i</v>
      </c>
      <c r="AA23" s="5" t="str">
        <f t="shared" si="3"/>
        <v>0.00376190363580971-0.000576018572229377i</v>
      </c>
      <c r="AB23" s="5" t="str">
        <f t="shared" si="3"/>
        <v>0.00372135965588277-0.000500135106229742i</v>
      </c>
      <c r="AC23" s="5" t="str">
        <f t="shared" si="3"/>
        <v>0.00368553585636776-0.000430622787556096i</v>
      </c>
      <c r="AD23" s="5" t="str">
        <f t="shared" si="3"/>
        <v>0.00364801955558347-0.000369123281998805i</v>
      </c>
      <c r="AE23" s="5" t="str">
        <f t="shared" si="3"/>
        <v>0.00360239851955402-0.000304881815592375i</v>
      </c>
    </row>
    <row r="24" spans="1:31" x14ac:dyDescent="0.2">
      <c r="A24" t="s">
        <v>15</v>
      </c>
      <c r="B24" s="6" t="str">
        <f t="shared" ref="B24:AE24" si="4">COMPLEX(0,2*PI()*B18*1000000*$B$9*0.000000000001)</f>
        <v>0.000816814089933346i</v>
      </c>
      <c r="C24" s="6" t="str">
        <f t="shared" si="4"/>
        <v>0.000865822935329347i</v>
      </c>
      <c r="D24" s="6" t="str">
        <f t="shared" si="4"/>
        <v>0.000917772311449108i</v>
      </c>
      <c r="E24" s="6" t="str">
        <f t="shared" si="4"/>
        <v>0.000972838650136054i</v>
      </c>
      <c r="F24" s="6" t="str">
        <f t="shared" si="4"/>
        <v>0.00103120896914422i</v>
      </c>
      <c r="G24" s="6" t="str">
        <f t="shared" si="4"/>
        <v>0.00109308150729287i</v>
      </c>
      <c r="H24" s="6" t="str">
        <f t="shared" si="4"/>
        <v>0.00115866639773044i</v>
      </c>
      <c r="I24" s="6" t="str">
        <f t="shared" si="4"/>
        <v>0.00122818638159427i</v>
      </c>
      <c r="J24" s="6" t="str">
        <f t="shared" si="4"/>
        <v>0.00130187756448993i</v>
      </c>
      <c r="K24" s="6" t="str">
        <f t="shared" si="4"/>
        <v>0.00137999021835932i</v>
      </c>
      <c r="L24" s="6" t="str">
        <f t="shared" si="4"/>
        <v>0.00146278963146088i</v>
      </c>
      <c r="M24" s="6" t="str">
        <f t="shared" si="4"/>
        <v>0.00155055700934853i</v>
      </c>
      <c r="N24" s="6" t="str">
        <f t="shared" si="4"/>
        <v>0.00164359042990945i</v>
      </c>
      <c r="O24" s="6" t="str">
        <f t="shared" si="4"/>
        <v>0.00174220585570401i</v>
      </c>
      <c r="P24" s="6" t="str">
        <f t="shared" si="4"/>
        <v>0.00184673820704625i</v>
      </c>
      <c r="Q24" s="6" t="str">
        <f t="shared" si="4"/>
        <v>0.00195754249946903i</v>
      </c>
      <c r="R24" s="6" t="str">
        <f t="shared" si="4"/>
        <v>0.00207499504943717i</v>
      </c>
      <c r="S24" s="6" t="str">
        <f t="shared" si="4"/>
        <v>0.0021994947524034i</v>
      </c>
      <c r="T24" s="6" t="str">
        <f t="shared" si="4"/>
        <v>0.00233146443754761i</v>
      </c>
      <c r="U24" s="6" t="str">
        <f t="shared" si="4"/>
        <v>0.00247135230380046i</v>
      </c>
      <c r="V24" s="6" t="str">
        <f t="shared" si="4"/>
        <v>0.00261963344202849i</v>
      </c>
      <c r="W24" s="6" t="str">
        <f t="shared" si="4"/>
        <v>0.0027768114485502i</v>
      </c>
      <c r="X24" s="6" t="str">
        <f t="shared" si="4"/>
        <v>0.00294342013546321i</v>
      </c>
      <c r="Y24" s="6" t="str">
        <f t="shared" si="4"/>
        <v>0.003120025343591i</v>
      </c>
      <c r="Z24" s="6" t="str">
        <f t="shared" si="4"/>
        <v>0.00330722686420646i</v>
      </c>
      <c r="AA24" s="6" t="str">
        <f t="shared" si="4"/>
        <v>0.00350566047605885i</v>
      </c>
      <c r="AB24" s="6" t="str">
        <f t="shared" si="4"/>
        <v>0.00371600010462238i</v>
      </c>
      <c r="AC24" s="6" t="str">
        <f t="shared" si="4"/>
        <v>0.00393896011089973i</v>
      </c>
      <c r="AD24" s="6" t="str">
        <f t="shared" si="4"/>
        <v>0.00417529771755371i</v>
      </c>
      <c r="AE24" s="6" t="str">
        <f t="shared" si="4"/>
        <v>0.00442581558060693i</v>
      </c>
    </row>
    <row r="25" spans="1:31" x14ac:dyDescent="0.2">
      <c r="A25" t="s">
        <v>16</v>
      </c>
      <c r="B25" s="6" t="str">
        <f t="shared" ref="B25:AE25" si="5">IMDIV(1,IMSUM(B23,B24))</f>
        <v>166.704210826268+78.8619821396577i</v>
      </c>
      <c r="C25" s="6" t="str">
        <f t="shared" si="5"/>
        <v>172.778029069725+76.5875959884985i</v>
      </c>
      <c r="D25" s="6" t="str">
        <f t="shared" si="5"/>
        <v>179.617556650415+74.1546488613237i</v>
      </c>
      <c r="E25" s="6" t="str">
        <f t="shared" si="5"/>
        <v>186.464503426258+71.0441520814154i</v>
      </c>
      <c r="F25" s="6" t="str">
        <f t="shared" si="5"/>
        <v>192.824356399039+66.8882434116449i</v>
      </c>
      <c r="G25" s="6" t="str">
        <f t="shared" si="5"/>
        <v>199.556310401375+62.1387022765791i</v>
      </c>
      <c r="H25" s="6" t="str">
        <f t="shared" si="5"/>
        <v>206.499371261658+56.6915661424292i</v>
      </c>
      <c r="I25" s="6" t="str">
        <f t="shared" si="5"/>
        <v>213.340249348262+50.4990047403648i</v>
      </c>
      <c r="J25" s="6" t="str">
        <f t="shared" si="5"/>
        <v>219.686025343529+43.1030347811714i</v>
      </c>
      <c r="K25" s="6" t="str">
        <f t="shared" si="5"/>
        <v>225.408357898991+34.7099191832312i</v>
      </c>
      <c r="L25" s="6" t="str">
        <f t="shared" si="5"/>
        <v>230.263914864387+25.4671349279788i</v>
      </c>
      <c r="M25" s="6" t="str">
        <f t="shared" si="5"/>
        <v>234.387828273752+15.2573019503937i</v>
      </c>
      <c r="N25" s="6" t="str">
        <f t="shared" si="5"/>
        <v>238.248495791677+4.29815688435678i</v>
      </c>
      <c r="O25" s="6" t="str">
        <f t="shared" si="5"/>
        <v>240.178565728018-7.50601634624687i</v>
      </c>
      <c r="P25" s="6" t="str">
        <f t="shared" si="5"/>
        <v>241.402423771616-19.6122360949601i</v>
      </c>
      <c r="Q25" s="6" t="str">
        <f t="shared" si="5"/>
        <v>241.264547979417-32.3013557062099i</v>
      </c>
      <c r="R25" s="6" t="str">
        <f t="shared" si="5"/>
        <v>239.130820723941-45.1380511412639i</v>
      </c>
      <c r="S25" s="6" t="str">
        <f t="shared" si="5"/>
        <v>235.464264304828-57.518245011694i</v>
      </c>
      <c r="T25" s="6" t="str">
        <f t="shared" si="5"/>
        <v>230.063896179104-69.5295618486153i</v>
      </c>
      <c r="U25" s="6" t="str">
        <f t="shared" si="5"/>
        <v>223.684375102206-80.9385939838323i</v>
      </c>
      <c r="V25" s="6" t="str">
        <f t="shared" si="5"/>
        <v>216.067270607877-91.5592186326813i</v>
      </c>
      <c r="W25" s="6" t="str">
        <f t="shared" si="5"/>
        <v>207.449333269115-101.441901319629i</v>
      </c>
      <c r="X25" s="6" t="str">
        <f t="shared" si="5"/>
        <v>197.94248312596-110.139322590866i</v>
      </c>
      <c r="Y25" s="6" t="str">
        <f t="shared" si="5"/>
        <v>187.642902971196-117.384555640848i</v>
      </c>
      <c r="Z25" s="6" t="str">
        <f t="shared" si="5"/>
        <v>176.827059652118-123.742667754487i</v>
      </c>
      <c r="AA25" s="6" t="str">
        <f t="shared" si="5"/>
        <v>165.469534187751-128.862014579286i</v>
      </c>
      <c r="AB25" s="6" t="str">
        <f t="shared" si="5"/>
        <v>153.836820081065-132.940239834294i</v>
      </c>
      <c r="AC25" s="6" t="str">
        <f t="shared" si="5"/>
        <v>142.344818345528-135.500957919958i</v>
      </c>
      <c r="AD25" s="6" t="str">
        <f t="shared" si="5"/>
        <v>131.247281019589-136.937326716975i</v>
      </c>
      <c r="AE25" s="6" t="str">
        <f t="shared" si="5"/>
        <v>120.242798723385-137.550747528175i</v>
      </c>
    </row>
    <row r="26" spans="1:31" x14ac:dyDescent="0.2">
      <c r="A26" t="s">
        <v>8</v>
      </c>
      <c r="B26" s="5">
        <f t="shared" ref="B26:AE26" si="6">IMREAL(B25)</f>
        <v>166.704210826268</v>
      </c>
      <c r="C26" s="5">
        <f t="shared" si="6"/>
        <v>172.77802906972499</v>
      </c>
      <c r="D26" s="5">
        <f t="shared" si="6"/>
        <v>179.617556650415</v>
      </c>
      <c r="E26" s="5">
        <f t="shared" si="6"/>
        <v>186.46450342625801</v>
      </c>
      <c r="F26" s="5">
        <f t="shared" si="6"/>
        <v>192.824356399039</v>
      </c>
      <c r="G26" s="5">
        <f t="shared" si="6"/>
        <v>199.55631040137499</v>
      </c>
      <c r="H26" s="5">
        <f t="shared" si="6"/>
        <v>206.49937126165801</v>
      </c>
      <c r="I26" s="5">
        <f t="shared" si="6"/>
        <v>213.34024934826201</v>
      </c>
      <c r="J26" s="5">
        <f t="shared" si="6"/>
        <v>219.686025343529</v>
      </c>
      <c r="K26" s="5">
        <f t="shared" si="6"/>
        <v>225.408357898991</v>
      </c>
      <c r="L26" s="5">
        <f t="shared" si="6"/>
        <v>230.263914864387</v>
      </c>
      <c r="M26" s="5">
        <f t="shared" si="6"/>
        <v>234.38782827375201</v>
      </c>
      <c r="N26" s="5">
        <f t="shared" si="6"/>
        <v>238.24849579167699</v>
      </c>
      <c r="O26" s="5">
        <f t="shared" si="6"/>
        <v>240.17856572801799</v>
      </c>
      <c r="P26" s="5">
        <f t="shared" si="6"/>
        <v>241.40242377161599</v>
      </c>
      <c r="Q26" s="5">
        <f t="shared" si="6"/>
        <v>241.26454797941699</v>
      </c>
      <c r="R26" s="5">
        <f t="shared" si="6"/>
        <v>239.13082072394101</v>
      </c>
      <c r="S26" s="5">
        <f t="shared" si="6"/>
        <v>235.46426430482799</v>
      </c>
      <c r="T26" s="5">
        <f t="shared" si="6"/>
        <v>230.06389617910401</v>
      </c>
      <c r="U26" s="5">
        <f t="shared" si="6"/>
        <v>223.68437510220599</v>
      </c>
      <c r="V26" s="5">
        <f t="shared" si="6"/>
        <v>216.06727060787699</v>
      </c>
      <c r="W26" s="5">
        <f t="shared" si="6"/>
        <v>207.44933326911499</v>
      </c>
      <c r="X26" s="5">
        <f t="shared" si="6"/>
        <v>197.94248312596</v>
      </c>
      <c r="Y26" s="5">
        <f t="shared" si="6"/>
        <v>187.64290297119601</v>
      </c>
      <c r="Z26" s="5">
        <f t="shared" si="6"/>
        <v>176.82705965211801</v>
      </c>
      <c r="AA26" s="5">
        <f t="shared" si="6"/>
        <v>165.46953418775101</v>
      </c>
      <c r="AB26" s="5">
        <f t="shared" si="6"/>
        <v>153.83682008106501</v>
      </c>
      <c r="AC26" s="5">
        <f t="shared" si="6"/>
        <v>142.34481834552801</v>
      </c>
      <c r="AD26" s="5">
        <f t="shared" si="6"/>
        <v>131.247281019589</v>
      </c>
      <c r="AE26" s="5">
        <f t="shared" si="6"/>
        <v>120.24279872338499</v>
      </c>
    </row>
    <row r="27" spans="1:31" x14ac:dyDescent="0.2">
      <c r="A27" t="s">
        <v>9</v>
      </c>
      <c r="B27" s="5">
        <f t="shared" ref="B27:AE27" si="7">IMAGINARY(B25)</f>
        <v>78.861982139657698</v>
      </c>
      <c r="C27" s="5">
        <f t="shared" si="7"/>
        <v>76.587595988498506</v>
      </c>
      <c r="D27" s="5">
        <f t="shared" si="7"/>
        <v>74.154648861323693</v>
      </c>
      <c r="E27" s="5">
        <f t="shared" si="7"/>
        <v>71.044152081415405</v>
      </c>
      <c r="F27" s="5">
        <f t="shared" si="7"/>
        <v>66.888243411644893</v>
      </c>
      <c r="G27" s="5">
        <f t="shared" si="7"/>
        <v>62.138702276579103</v>
      </c>
      <c r="H27" s="5">
        <f t="shared" si="7"/>
        <v>56.691566142429203</v>
      </c>
      <c r="I27" s="5">
        <f t="shared" si="7"/>
        <v>50.499004740364803</v>
      </c>
      <c r="J27" s="5">
        <f t="shared" si="7"/>
        <v>43.103034781171402</v>
      </c>
      <c r="K27" s="5">
        <f t="shared" si="7"/>
        <v>34.7099191832312</v>
      </c>
      <c r="L27" s="5">
        <f t="shared" si="7"/>
        <v>25.467134927978801</v>
      </c>
      <c r="M27" s="5">
        <f t="shared" si="7"/>
        <v>15.2573019503937</v>
      </c>
      <c r="N27" s="5">
        <f t="shared" si="7"/>
        <v>4.2981568843567803</v>
      </c>
      <c r="O27" s="5">
        <f t="shared" si="7"/>
        <v>-7.5060163462468701</v>
      </c>
      <c r="P27" s="5">
        <f t="shared" si="7"/>
        <v>-19.6122360949601</v>
      </c>
      <c r="Q27" s="5">
        <f t="shared" si="7"/>
        <v>-32.301355706209897</v>
      </c>
      <c r="R27" s="5">
        <f t="shared" si="7"/>
        <v>-45.138051141263901</v>
      </c>
      <c r="S27" s="5">
        <f t="shared" si="7"/>
        <v>-57.518245011693999</v>
      </c>
      <c r="T27" s="5">
        <f t="shared" si="7"/>
        <v>-69.529561848615302</v>
      </c>
      <c r="U27" s="5">
        <f t="shared" si="7"/>
        <v>-80.938593983832305</v>
      </c>
      <c r="V27" s="5">
        <f t="shared" si="7"/>
        <v>-91.559218632681294</v>
      </c>
      <c r="W27" s="5">
        <f t="shared" si="7"/>
        <v>-101.441901319629</v>
      </c>
      <c r="X27" s="5">
        <f t="shared" si="7"/>
        <v>-110.139322590866</v>
      </c>
      <c r="Y27" s="5">
        <f t="shared" si="7"/>
        <v>-117.38455564084801</v>
      </c>
      <c r="Z27" s="5">
        <f t="shared" si="7"/>
        <v>-123.742667754487</v>
      </c>
      <c r="AA27" s="5">
        <f t="shared" si="7"/>
        <v>-128.86201457928601</v>
      </c>
      <c r="AB27" s="5">
        <f t="shared" si="7"/>
        <v>-132.940239834294</v>
      </c>
      <c r="AC27" s="5">
        <f t="shared" si="7"/>
        <v>-135.50095791995801</v>
      </c>
      <c r="AD27" s="5">
        <f t="shared" si="7"/>
        <v>-136.93732671697501</v>
      </c>
      <c r="AE27" s="5">
        <f t="shared" si="7"/>
        <v>-137.55074752817501</v>
      </c>
    </row>
    <row r="28" spans="1:31" x14ac:dyDescent="0.2">
      <c r="A28" t="s">
        <v>17</v>
      </c>
      <c r="B28" s="5">
        <f t="shared" ref="B28:AE28" si="8">IMABS(B25)</f>
        <v>184.41666446990223</v>
      </c>
      <c r="C28" s="5">
        <f t="shared" si="8"/>
        <v>188.99181778192465</v>
      </c>
      <c r="D28" s="5">
        <f t="shared" si="8"/>
        <v>194.32287205784925</v>
      </c>
      <c r="E28" s="5">
        <f t="shared" si="8"/>
        <v>199.54017786643436</v>
      </c>
      <c r="F28" s="5">
        <f t="shared" si="8"/>
        <v>204.09622614688169</v>
      </c>
      <c r="G28" s="5">
        <f t="shared" si="8"/>
        <v>209.00703179947621</v>
      </c>
      <c r="H28" s="5">
        <f t="shared" si="8"/>
        <v>214.13996358256321</v>
      </c>
      <c r="I28" s="5">
        <f t="shared" si="8"/>
        <v>219.23551599078553</v>
      </c>
      <c r="J28" s="5">
        <f t="shared" si="8"/>
        <v>223.8745660824037</v>
      </c>
      <c r="K28" s="5">
        <f t="shared" si="8"/>
        <v>228.06513609148172</v>
      </c>
      <c r="L28" s="5">
        <f t="shared" si="8"/>
        <v>231.6679637975729</v>
      </c>
      <c r="M28" s="5">
        <f t="shared" si="8"/>
        <v>234.88388472964965</v>
      </c>
      <c r="N28" s="5">
        <f t="shared" si="8"/>
        <v>238.28726340196883</v>
      </c>
      <c r="O28" s="5">
        <f t="shared" si="8"/>
        <v>240.29582542474179</v>
      </c>
      <c r="P28" s="5">
        <f t="shared" si="8"/>
        <v>242.19779108706857</v>
      </c>
      <c r="Q28" s="5">
        <f t="shared" si="8"/>
        <v>243.4172543025073</v>
      </c>
      <c r="R28" s="5">
        <f t="shared" si="8"/>
        <v>243.35363790364215</v>
      </c>
      <c r="S28" s="5">
        <f t="shared" si="8"/>
        <v>242.38764051378354</v>
      </c>
      <c r="T28" s="5">
        <f t="shared" si="8"/>
        <v>240.34091681603024</v>
      </c>
      <c r="U28" s="5">
        <f t="shared" si="8"/>
        <v>237.87760647220253</v>
      </c>
      <c r="V28" s="5">
        <f t="shared" si="8"/>
        <v>234.66605196441321</v>
      </c>
      <c r="W28" s="5">
        <f t="shared" si="8"/>
        <v>230.92354842488822</v>
      </c>
      <c r="X28" s="5">
        <f t="shared" si="8"/>
        <v>226.52129481981558</v>
      </c>
      <c r="Y28" s="5">
        <f t="shared" si="8"/>
        <v>221.33457239766457</v>
      </c>
      <c r="Z28" s="5">
        <f t="shared" si="8"/>
        <v>215.82413407265429</v>
      </c>
      <c r="AA28" s="5">
        <f t="shared" si="8"/>
        <v>209.72740771235271</v>
      </c>
      <c r="AB28" s="5">
        <f t="shared" si="8"/>
        <v>203.31963648367457</v>
      </c>
      <c r="AC28" s="5">
        <f t="shared" si="8"/>
        <v>196.52622447665246</v>
      </c>
      <c r="AD28" s="5">
        <f t="shared" si="8"/>
        <v>189.67783271491302</v>
      </c>
      <c r="AE28" s="5">
        <f t="shared" si="8"/>
        <v>182.69794413291086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27</v>
      </c>
    </row>
  </sheetData>
  <hyperlinks>
    <hyperlink ref="A4" r:id="rId1" xr:uid="{00000000-0004-0000-0200-000000000000}"/>
  </hyperlinks>
  <pageMargins left="0.75" right="0.75" top="1" bottom="1" header="0.5" footer="0.5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E35"/>
  <sheetViews>
    <sheetView topLeftCell="A4" workbookViewId="0">
      <selection activeCell="C33" sqref="C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140</v>
      </c>
    </row>
    <row r="8" spans="1:2" x14ac:dyDescent="0.2">
      <c r="A8" t="s">
        <v>7</v>
      </c>
      <c r="B8" s="3">
        <v>5</v>
      </c>
    </row>
    <row r="9" spans="1:2" x14ac:dyDescent="0.2">
      <c r="A9" t="s">
        <v>10</v>
      </c>
      <c r="B9" s="3">
        <v>1.8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2.1991148575128556E-5</v>
      </c>
    </row>
    <row r="18" spans="1:31" x14ac:dyDescent="0.2">
      <c r="A18" t="s">
        <v>4</v>
      </c>
      <c r="B18" s="10">
        <v>50</v>
      </c>
      <c r="C18" s="10">
        <f t="shared" ref="C18:AE18" si="0">B18+5</f>
        <v>55</v>
      </c>
      <c r="D18" s="10">
        <f t="shared" si="0"/>
        <v>60</v>
      </c>
      <c r="E18" s="10">
        <f t="shared" si="0"/>
        <v>65</v>
      </c>
      <c r="F18" s="10">
        <f t="shared" si="0"/>
        <v>70</v>
      </c>
      <c r="G18" s="10">
        <f t="shared" si="0"/>
        <v>75</v>
      </c>
      <c r="H18" s="10">
        <f t="shared" si="0"/>
        <v>80</v>
      </c>
      <c r="I18" s="10">
        <f t="shared" si="0"/>
        <v>85</v>
      </c>
      <c r="J18" s="10">
        <f t="shared" si="0"/>
        <v>90</v>
      </c>
      <c r="K18" s="10">
        <f t="shared" si="0"/>
        <v>95</v>
      </c>
      <c r="L18" s="10">
        <f t="shared" si="0"/>
        <v>100</v>
      </c>
      <c r="M18" s="10">
        <f t="shared" si="0"/>
        <v>105</v>
      </c>
      <c r="N18" s="10">
        <f t="shared" si="0"/>
        <v>110</v>
      </c>
      <c r="O18" s="10">
        <f t="shared" si="0"/>
        <v>115</v>
      </c>
      <c r="P18" s="10">
        <f t="shared" si="0"/>
        <v>120</v>
      </c>
      <c r="Q18" s="10">
        <f t="shared" si="0"/>
        <v>125</v>
      </c>
      <c r="R18" s="10">
        <f t="shared" si="0"/>
        <v>130</v>
      </c>
      <c r="S18" s="10">
        <f t="shared" si="0"/>
        <v>135</v>
      </c>
      <c r="T18" s="10">
        <f t="shared" si="0"/>
        <v>140</v>
      </c>
      <c r="U18" s="10">
        <f t="shared" si="0"/>
        <v>145</v>
      </c>
      <c r="V18" s="10">
        <f t="shared" si="0"/>
        <v>150</v>
      </c>
      <c r="W18" s="10">
        <f t="shared" si="0"/>
        <v>155</v>
      </c>
      <c r="X18" s="10">
        <f t="shared" si="0"/>
        <v>160</v>
      </c>
      <c r="Y18" s="10">
        <f t="shared" si="0"/>
        <v>165</v>
      </c>
      <c r="Z18" s="10">
        <f t="shared" si="0"/>
        <v>170</v>
      </c>
      <c r="AA18" s="10">
        <f t="shared" si="0"/>
        <v>175</v>
      </c>
      <c r="AB18" s="10">
        <f t="shared" si="0"/>
        <v>180</v>
      </c>
      <c r="AC18" s="10">
        <f t="shared" si="0"/>
        <v>185</v>
      </c>
      <c r="AD18" s="10">
        <f t="shared" si="0"/>
        <v>190</v>
      </c>
      <c r="AE18" s="10">
        <f t="shared" si="0"/>
        <v>195</v>
      </c>
    </row>
    <row r="19" spans="1:31" x14ac:dyDescent="0.2">
      <c r="A19" t="s">
        <v>6</v>
      </c>
      <c r="B19" s="7">
        <f>csinterpolate(CSTableU2,'FT140-61 4t (2)'!B18*1000000)</f>
        <v>73.150000000000006</v>
      </c>
      <c r="C19" s="7">
        <f>csinterpolate(CSTableU2,'FT140-61 4t (2)'!C18*1000000)</f>
        <v>69.900703656001923</v>
      </c>
      <c r="D19" s="7">
        <f>csinterpolate(CSTableU2,'FT140-61 4t (2)'!D18*1000000)</f>
        <v>66.892326420374161</v>
      </c>
      <c r="E19" s="7">
        <f>csinterpolate(CSTableU2,'FT140-61 4t (2)'!E18*1000000)</f>
        <v>64.196133003784468</v>
      </c>
      <c r="F19" s="7">
        <f>csinterpolate(CSTableU2,'FT140-61 4t (2)'!F18*1000000)</f>
        <v>61.700281397899587</v>
      </c>
      <c r="G19" s="7">
        <f>csinterpolate(CSTableU2,'FT140-61 4t (2)'!G18*1000000)</f>
        <v>59.54310614721949</v>
      </c>
      <c r="H19" s="7">
        <f>csinterpolate(CSTableU2,'FT140-61 4t (2)'!H18*1000000)</f>
        <v>57.57973921271163</v>
      </c>
      <c r="I19" s="7">
        <f>csinterpolate(CSTableU2,'FT140-61 4t (2)'!I18*1000000)</f>
        <v>55.79301765363266</v>
      </c>
      <c r="J19" s="7">
        <f>csinterpolate(CSTableU2,'FT140-61 4t (2)'!J18*1000000)</f>
        <v>54.205525336336166</v>
      </c>
      <c r="K19" s="7">
        <f>csinterpolate(CSTableU2,'FT140-61 4t (2)'!K18*1000000)</f>
        <v>52.77377266149599</v>
      </c>
      <c r="L19" s="7">
        <f>csinterpolate(CSTableU2,'FT140-61 4t (2)'!L18*1000000)</f>
        <v>51.43</v>
      </c>
      <c r="M19" s="7">
        <f>csinterpolate(CSTableU2,'FT140-61 4t (2)'!M18*1000000)</f>
        <v>50.177772097456838</v>
      </c>
      <c r="N19" s="7">
        <f>csinterpolate(CSTableU2,'FT140-61 4t (2)'!N18*1000000)</f>
        <v>49.090120624888741</v>
      </c>
      <c r="O19" s="7">
        <f>csinterpolate(CSTableU2,'FT140-61 4t (2)'!O18*1000000)</f>
        <v>48.115474095358238</v>
      </c>
      <c r="P19" s="7">
        <f>csinterpolate(CSTableU2,'FT140-61 4t (2)'!P18*1000000)</f>
        <v>47.116383484825207</v>
      </c>
      <c r="Q19" s="7">
        <f>csinterpolate(CSTableU2,'FT140-61 4t (2)'!Q18*1000000)</f>
        <v>46.128780763385315</v>
      </c>
      <c r="R19" s="7">
        <f>csinterpolate(CSTableU2,'FT140-61 4t (2)'!R18*1000000)</f>
        <v>45.228081203491477</v>
      </c>
      <c r="S19" s="7">
        <f>csinterpolate(CSTableU2,'FT140-61 4t (2)'!S18*1000000)</f>
        <v>44.401949429431291</v>
      </c>
      <c r="T19" s="7">
        <f>csinterpolate(CSTableU2,'FT140-61 4t (2)'!T18*1000000)</f>
        <v>43.628799587229473</v>
      </c>
      <c r="U19" s="7">
        <f>csinterpolate(CSTableU2,'FT140-61 4t (2)'!U18*1000000)</f>
        <v>42.889793992214912</v>
      </c>
      <c r="V19" s="7">
        <f>csinterpolate(CSTableU2,'FT140-61 4t (2)'!V18*1000000)</f>
        <v>42.176265353918033</v>
      </c>
      <c r="W19" s="7">
        <f>csinterpolate(CSTableU2,'FT140-61 4t (2)'!W18*1000000)</f>
        <v>41.487295079807176</v>
      </c>
      <c r="X19" s="7">
        <f>csinterpolate(CSTableU2,'FT140-61 4t (2)'!X18*1000000)</f>
        <v>40.820505043383079</v>
      </c>
      <c r="Y19" s="7">
        <f>csinterpolate(CSTableU2,'FT140-61 4t (2)'!Y18*1000000)</f>
        <v>40.171360576909088</v>
      </c>
      <c r="Z19" s="7">
        <f>csinterpolate(CSTableU2,'FT140-61 4t (2)'!Z18*1000000)</f>
        <v>39.535616980310792</v>
      </c>
      <c r="AA19" s="7">
        <f>csinterpolate(CSTableU2,'FT140-61 4t (2)'!AA18*1000000)</f>
        <v>38.909999999999997</v>
      </c>
      <c r="AB19" s="7">
        <f>csinterpolate(CSTableU2,'FT140-61 4t (2)'!AB18*1000000)</f>
        <v>38.294908017447575</v>
      </c>
      <c r="AC19" s="7">
        <f>csinterpolate(CSTableU2,'FT140-61 4t (2)'!AC18*1000000)</f>
        <v>37.704913839514433</v>
      </c>
      <c r="AD19" s="7">
        <f>csinterpolate(CSTableU2,'FT140-61 4t (2)'!AD18*1000000)</f>
        <v>37.156684638935729</v>
      </c>
      <c r="AE19" s="7">
        <f>csinterpolate(CSTableU2,'FT140-61 4t (2)'!AE18*1000000)</f>
        <v>36.645279506102625</v>
      </c>
    </row>
    <row r="20" spans="1:31" x14ac:dyDescent="0.2">
      <c r="A20" t="s">
        <v>5</v>
      </c>
      <c r="B20" s="7">
        <f>csinterpolate(CSTableU1,'FT140-61 4t (2)'!B18*1000000)</f>
        <v>64.33</v>
      </c>
      <c r="C20" s="7">
        <f>csinterpolate(CSTableU1,'FT140-61 4t (2)'!C18*1000000)</f>
        <v>58.195687025583865</v>
      </c>
      <c r="D20" s="7">
        <f>csinterpolate(CSTableU1,'FT140-61 4t (2)'!D18*1000000)</f>
        <v>53.298329461685185</v>
      </c>
      <c r="E20" s="7">
        <f>csinterpolate(CSTableU1,'FT140-61 4t (2)'!E18*1000000)</f>
        <v>49.217282367345469</v>
      </c>
      <c r="F20" s="7">
        <f>csinterpolate(CSTableU1,'FT140-61 4t (2)'!F18*1000000)</f>
        <v>45.806753054488759</v>
      </c>
      <c r="G20" s="7">
        <f>csinterpolate(CSTableU1,'FT140-61 4t (2)'!G18*1000000)</f>
        <v>42.9191925994973</v>
      </c>
      <c r="H20" s="7">
        <f>csinterpolate(CSTableU1,'FT140-61 4t (2)'!H18*1000000)</f>
        <v>40.429233744265879</v>
      </c>
      <c r="I20" s="7">
        <f>csinterpolate(CSTableU1,'FT140-61 4t (2)'!I18*1000000)</f>
        <v>38.253481638071122</v>
      </c>
      <c r="J20" s="7">
        <f>csinterpolate(CSTableU1,'FT140-61 4t (2)'!J18*1000000)</f>
        <v>36.281743090432563</v>
      </c>
      <c r="K20" s="7">
        <f>csinterpolate(CSTableU1,'FT140-61 4t (2)'!K18*1000000)</f>
        <v>34.497730781510072</v>
      </c>
      <c r="L20" s="7">
        <f>csinterpolate(CSTableU1,'FT140-61 4t (2)'!L18*1000000)</f>
        <v>32.9</v>
      </c>
      <c r="M20" s="7">
        <f>csinterpolate(CSTableU1,'FT140-61 4t (2)'!M18*1000000)</f>
        <v>31.367498280330398</v>
      </c>
      <c r="N20" s="7">
        <f>csinterpolate(CSTableU1,'FT140-61 4t (2)'!N18*1000000)</f>
        <v>30.024364154999088</v>
      </c>
      <c r="O20" s="7">
        <f>csinterpolate(CSTableU1,'FT140-61 4t (2)'!O18*1000000)</f>
        <v>28.837075978733935</v>
      </c>
      <c r="P20" s="7">
        <f>csinterpolate(CSTableU1,'FT140-61 4t (2)'!P18*1000000)</f>
        <v>27.625820813954022</v>
      </c>
      <c r="Q20" s="7">
        <f>csinterpolate(CSTableU1,'FT140-61 4t (2)'!Q18*1000000)</f>
        <v>26.427870384907788</v>
      </c>
      <c r="R20" s="7">
        <f>csinterpolate(CSTableU1,'FT140-61 4t (2)'!R18*1000000)</f>
        <v>25.332384768299708</v>
      </c>
      <c r="S20" s="7">
        <f>csinterpolate(CSTableU1,'FT140-61 4t (2)'!S18*1000000)</f>
        <v>24.323846236154409</v>
      </c>
      <c r="T20" s="7">
        <f>csinterpolate(CSTableU1,'FT140-61 4t (2)'!T18*1000000)</f>
        <v>23.386315032811208</v>
      </c>
      <c r="U20" s="7">
        <f>csinterpolate(CSTableU1,'FT140-61 4t (2)'!U18*1000000)</f>
        <v>22.513674461563141</v>
      </c>
      <c r="V20" s="7">
        <f>csinterpolate(CSTableU1,'FT140-61 4t (2)'!V18*1000000)</f>
        <v>21.686639819566388</v>
      </c>
      <c r="W20" s="7">
        <f>csinterpolate(CSTableU1,'FT140-61 4t (2)'!W18*1000000)</f>
        <v>20.876177117147432</v>
      </c>
      <c r="X20" s="7">
        <f>csinterpolate(CSTableU1,'FT140-61 4t (2)'!X18*1000000)</f>
        <v>20.076238310032796</v>
      </c>
      <c r="Y20" s="7">
        <f>csinterpolate(CSTableU1,'FT140-61 4t (2)'!Y18*1000000)</f>
        <v>19.31091253020557</v>
      </c>
      <c r="Z20" s="7">
        <f>csinterpolate(CSTableU1,'FT140-61 4t (2)'!Z18*1000000)</f>
        <v>18.59209957918106</v>
      </c>
      <c r="AA20" s="7">
        <f>csinterpolate(CSTableU1,'FT140-61 4t (2)'!AA18*1000000)</f>
        <v>17.899999999999999</v>
      </c>
      <c r="AB20" s="7">
        <f>csinterpolate(CSTableU1,'FT140-61 4t (2)'!AB18*1000000)</f>
        <v>17.218929944337621</v>
      </c>
      <c r="AC20" s="7">
        <f>csinterpolate(CSTableU1,'FT140-61 4t (2)'!AC18*1000000)</f>
        <v>16.566828690007725</v>
      </c>
      <c r="AD20" s="7">
        <f>csinterpolate(CSTableU1,'FT140-61 4t (2)'!AD18*1000000)</f>
        <v>15.968110555070552</v>
      </c>
      <c r="AE20" s="7">
        <f>csinterpolate(CSTableU1,'FT140-61 4t (2)'!AE18*1000000)</f>
        <v>15.418335526208111</v>
      </c>
    </row>
    <row r="21" spans="1:31" x14ac:dyDescent="0.2">
      <c r="A21" t="s">
        <v>12</v>
      </c>
      <c r="B21" s="5">
        <f t="shared" ref="B21:AE21" si="1">B19/$B$13*$B$16*B18*1000000</f>
        <v>643.46100730826163</v>
      </c>
      <c r="C21" s="5">
        <f t="shared" si="1"/>
        <v>676.36657422627491</v>
      </c>
      <c r="D21" s="5">
        <f t="shared" si="1"/>
        <v>706.09876264629384</v>
      </c>
      <c r="E21" s="5">
        <f t="shared" si="1"/>
        <v>734.10828339416776</v>
      </c>
      <c r="F21" s="5">
        <f t="shared" si="1"/>
        <v>759.84163099513228</v>
      </c>
      <c r="G21" s="5">
        <f t="shared" si="1"/>
        <v>785.65277634489269</v>
      </c>
      <c r="H21" s="5">
        <f t="shared" si="1"/>
        <v>810.39654396409423</v>
      </c>
      <c r="I21" s="5">
        <f t="shared" si="1"/>
        <v>834.32772765954837</v>
      </c>
      <c r="J21" s="5">
        <f t="shared" si="1"/>
        <v>858.27006811027002</v>
      </c>
      <c r="K21" s="5">
        <f t="shared" si="1"/>
        <v>882.02246535645202</v>
      </c>
      <c r="L21" s="5">
        <f t="shared" si="1"/>
        <v>904.80381697508926</v>
      </c>
      <c r="M21" s="5">
        <f t="shared" si="1"/>
        <v>926.91214674585524</v>
      </c>
      <c r="N21" s="5">
        <f t="shared" si="1"/>
        <v>950.00235988496161</v>
      </c>
      <c r="O21" s="5">
        <f t="shared" si="1"/>
        <v>973.46537642627038</v>
      </c>
      <c r="P21" s="5">
        <f t="shared" si="1"/>
        <v>994.6976539560236</v>
      </c>
      <c r="Q21" s="5">
        <f t="shared" si="1"/>
        <v>1014.4248713571385</v>
      </c>
      <c r="R21" s="5">
        <f t="shared" si="1"/>
        <v>1034.4021516545185</v>
      </c>
      <c r="S21" s="5">
        <f t="shared" si="1"/>
        <v>1054.5658562822057</v>
      </c>
      <c r="T21" s="5">
        <f t="shared" si="1"/>
        <v>1074.5811035425434</v>
      </c>
      <c r="U21" s="5">
        <f t="shared" si="1"/>
        <v>1094.1071651657669</v>
      </c>
      <c r="V21" s="5">
        <f t="shared" si="1"/>
        <v>1113.0054212904699</v>
      </c>
      <c r="W21" s="5">
        <f t="shared" si="1"/>
        <v>1131.3180548994969</v>
      </c>
      <c r="X21" s="5">
        <f t="shared" si="1"/>
        <v>1149.0429328906519</v>
      </c>
      <c r="Y21" s="5">
        <f t="shared" si="1"/>
        <v>1166.1069537636679</v>
      </c>
      <c r="Z21" s="5">
        <f t="shared" si="1"/>
        <v>1182.4297327518104</v>
      </c>
      <c r="AA21" s="5">
        <f t="shared" si="1"/>
        <v>1197.9458274815527</v>
      </c>
      <c r="AB21" s="5">
        <f t="shared" si="1"/>
        <v>1212.6945771109026</v>
      </c>
      <c r="AC21" s="5">
        <f t="shared" si="1"/>
        <v>1227.1780561406304</v>
      </c>
      <c r="AD21" s="5">
        <f t="shared" si="1"/>
        <v>1242.0196221301294</v>
      </c>
      <c r="AE21" s="5">
        <f t="shared" si="1"/>
        <v>1257.1599864654736</v>
      </c>
    </row>
    <row r="22" spans="1:31" x14ac:dyDescent="0.2">
      <c r="A22" t="s">
        <v>13</v>
      </c>
      <c r="B22" s="5">
        <f t="shared" ref="B22:AE22" si="2">B20/$B$13*$B$16*B18*1000000</f>
        <v>565.87623513520793</v>
      </c>
      <c r="C22" s="5">
        <f t="shared" si="2"/>
        <v>563.10759991697023</v>
      </c>
      <c r="D22" s="5">
        <f t="shared" si="2"/>
        <v>562.60391135907378</v>
      </c>
      <c r="E22" s="5">
        <f t="shared" si="2"/>
        <v>562.81917588226156</v>
      </c>
      <c r="F22" s="5">
        <f t="shared" si="2"/>
        <v>564.11214281267223</v>
      </c>
      <c r="G22" s="5">
        <f t="shared" si="2"/>
        <v>566.30540470806193</v>
      </c>
      <c r="H22" s="5">
        <f t="shared" si="2"/>
        <v>569.01458307120117</v>
      </c>
      <c r="I22" s="5">
        <f t="shared" si="2"/>
        <v>572.04183878876643</v>
      </c>
      <c r="J22" s="5">
        <f t="shared" si="2"/>
        <v>574.47158606376934</v>
      </c>
      <c r="K22" s="5">
        <f t="shared" si="2"/>
        <v>576.56998957194003</v>
      </c>
      <c r="L22" s="5">
        <f t="shared" si="2"/>
        <v>578.80703049738361</v>
      </c>
      <c r="M22" s="5">
        <f t="shared" si="2"/>
        <v>579.43814469478161</v>
      </c>
      <c r="N22" s="5">
        <f t="shared" si="2"/>
        <v>581.0378226455872</v>
      </c>
      <c r="O22" s="5">
        <f t="shared" si="2"/>
        <v>583.42758853496002</v>
      </c>
      <c r="P22" s="5">
        <f t="shared" si="2"/>
        <v>583.22258882836013</v>
      </c>
      <c r="Q22" s="5">
        <f t="shared" si="2"/>
        <v>581.17922415874705</v>
      </c>
      <c r="R22" s="5">
        <f t="shared" si="2"/>
        <v>579.37176669008261</v>
      </c>
      <c r="S22" s="5">
        <f t="shared" si="2"/>
        <v>577.70206181768128</v>
      </c>
      <c r="T22" s="5">
        <f t="shared" si="2"/>
        <v>576.00695993267129</v>
      </c>
      <c r="U22" s="5">
        <f t="shared" si="2"/>
        <v>574.31780966532244</v>
      </c>
      <c r="V22" s="5">
        <f t="shared" si="2"/>
        <v>572.29694204086036</v>
      </c>
      <c r="W22" s="5">
        <f t="shared" si="2"/>
        <v>569.27297970322115</v>
      </c>
      <c r="X22" s="5">
        <f t="shared" si="2"/>
        <v>565.11941056719229</v>
      </c>
      <c r="Y22" s="5">
        <f t="shared" si="2"/>
        <v>560.56327347644242</v>
      </c>
      <c r="Z22" s="5">
        <f t="shared" si="2"/>
        <v>556.05180887032384</v>
      </c>
      <c r="AA22" s="5">
        <f t="shared" si="2"/>
        <v>551.09818329272161</v>
      </c>
      <c r="AB22" s="5">
        <f t="shared" si="2"/>
        <v>545.27622726334846</v>
      </c>
      <c r="AC22" s="5">
        <f t="shared" si="2"/>
        <v>539.19891488818018</v>
      </c>
      <c r="AD22" s="5">
        <f t="shared" si="2"/>
        <v>533.75877935456526</v>
      </c>
      <c r="AE22" s="5">
        <f t="shared" si="2"/>
        <v>528.94437544731977</v>
      </c>
    </row>
    <row r="23" spans="1:31" x14ac:dyDescent="0.2">
      <c r="A23" t="s">
        <v>14</v>
      </c>
      <c r="B23" s="5" t="str">
        <f t="shared" ref="B23:AE23" si="3">IMDIV(1,COMPLEX(B21,B22))</f>
        <v>0.000876341862932862-0.000770677676588804i</v>
      </c>
      <c r="C23" s="5" t="str">
        <f t="shared" si="3"/>
        <v>0.000873224675664098-0.000727001407282706i</v>
      </c>
      <c r="D23" s="5" t="str">
        <f t="shared" si="3"/>
        <v>0.000866274021482464-0.000690228022731894i</v>
      </c>
      <c r="E23" s="5" t="str">
        <f t="shared" si="3"/>
        <v>0.000857923456475779-0.000657744618425042i</v>
      </c>
      <c r="F23" s="5" t="str">
        <f t="shared" si="3"/>
        <v>0.000848433520236908-0.000629883427824458i</v>
      </c>
      <c r="G23" s="5" t="str">
        <f t="shared" si="3"/>
        <v>0.000837625694720549-0.000603767939635405i</v>
      </c>
      <c r="H23" s="5" t="str">
        <f t="shared" si="3"/>
        <v>0.000826496569681975-0.000580319109835942i</v>
      </c>
      <c r="I23" s="5" t="str">
        <f t="shared" si="3"/>
        <v>0.000815302941327934-0.000558997835341549i</v>
      </c>
      <c r="J23" s="5" t="str">
        <f t="shared" si="3"/>
        <v>0.000804644447945196-0.000538577994740338i</v>
      </c>
      <c r="K23" s="5" t="str">
        <f t="shared" si="3"/>
        <v>0.000794331034011779-0.000519246905816343i</v>
      </c>
      <c r="L23" s="5" t="str">
        <f t="shared" si="3"/>
        <v>0.000784271127812034-0.000501701732549405i</v>
      </c>
      <c r="M23" s="5" t="str">
        <f t="shared" si="3"/>
        <v>0.000775714076900213-0.000484920094218945i</v>
      </c>
      <c r="N23" s="5" t="str">
        <f t="shared" si="3"/>
        <v>0.000766063327132137-0.000468537538853473i</v>
      </c>
      <c r="O23" s="5" t="str">
        <f t="shared" si="3"/>
        <v>0.000755782844074167-0.000452963785720922i</v>
      </c>
      <c r="P23" s="5" t="str">
        <f t="shared" si="3"/>
        <v>0.000748133719570976-0.000438654382045286i</v>
      </c>
      <c r="Q23" s="5" t="str">
        <f t="shared" si="3"/>
        <v>0.000742174971341174-0.000425203172963458i</v>
      </c>
      <c r="R23" s="5" t="str">
        <f t="shared" si="3"/>
        <v>0.000735883892568517-0.000412170788927935i</v>
      </c>
      <c r="S23" s="5" t="str">
        <f t="shared" si="3"/>
        <v>0.000729374913575988-0.000399559106622718i</v>
      </c>
      <c r="T23" s="5" t="str">
        <f t="shared" si="3"/>
        <v>0.000722889277690079-0.000387489835655483i</v>
      </c>
      <c r="U23" s="5" t="str">
        <f t="shared" si="3"/>
        <v>0.000716549198482897-0.000376130400469307i</v>
      </c>
      <c r="V23" s="5" t="str">
        <f t="shared" si="3"/>
        <v>0.000710593098032665-0.000365380302072494i</v>
      </c>
      <c r="W23" s="5" t="str">
        <f t="shared" si="3"/>
        <v>0.000705331497915162-0.000354918903448747i</v>
      </c>
      <c r="X23" s="5" t="str">
        <f t="shared" si="3"/>
        <v>0.000700781385358853-0.000344656541626494i</v>
      </c>
      <c r="Y23" s="5" t="str">
        <f t="shared" si="3"/>
        <v>0.000696583901433969-0.000334857236532657i</v>
      </c>
      <c r="Z23" s="5" t="str">
        <f t="shared" si="3"/>
        <v>0.000692559247044073-0.000325684318824176i</v>
      </c>
      <c r="AA23" s="5" t="str">
        <f t="shared" si="3"/>
        <v>0.000688956323358694-0.000316944697715771i</v>
      </c>
      <c r="AB23" s="5" t="str">
        <f t="shared" si="3"/>
        <v>0.000685930952044009-0.000308422127676019i</v>
      </c>
      <c r="AC23" s="5" t="str">
        <f t="shared" si="3"/>
        <v>0.000683017234309992-0.000300104903071759i</v>
      </c>
      <c r="AD23" s="5" t="str">
        <f t="shared" si="3"/>
        <v>0.000679623543889116-0.000292068681318201i</v>
      </c>
      <c r="AE23" s="5" t="str">
        <f t="shared" si="3"/>
        <v>0.000675807668733726-0.000284343018477616i</v>
      </c>
    </row>
    <row r="24" spans="1:31" x14ac:dyDescent="0.2">
      <c r="A24" t="s">
        <v>15</v>
      </c>
      <c r="B24" s="6" t="str">
        <f t="shared" ref="B24:AE24" si="4">COMPLEX(0,2*PI()*B18*1000000*$B$9*0.000000000001)</f>
        <v>0.000565486677646163i</v>
      </c>
      <c r="C24" s="6" t="str">
        <f t="shared" si="4"/>
        <v>0.000622035345410779i</v>
      </c>
      <c r="D24" s="6" t="str">
        <f t="shared" si="4"/>
        <v>0.000678584013175395i</v>
      </c>
      <c r="E24" s="6" t="str">
        <f t="shared" si="4"/>
        <v>0.000735132680940012i</v>
      </c>
      <c r="F24" s="6" t="str">
        <f t="shared" si="4"/>
        <v>0.000791681348704628i</v>
      </c>
      <c r="G24" s="6" t="str">
        <f t="shared" si="4"/>
        <v>0.000848230016469244i</v>
      </c>
      <c r="H24" s="6" t="str">
        <f t="shared" si="4"/>
        <v>0.000904778684233861i</v>
      </c>
      <c r="I24" s="6" t="str">
        <f t="shared" si="4"/>
        <v>0.000961327351998477i</v>
      </c>
      <c r="J24" s="6" t="str">
        <f t="shared" si="4"/>
        <v>0.00101787601976309i</v>
      </c>
      <c r="K24" s="6" t="str">
        <f t="shared" si="4"/>
        <v>0.00107442468752771i</v>
      </c>
      <c r="L24" s="6" t="str">
        <f t="shared" si="4"/>
        <v>0.00113097335529233i</v>
      </c>
      <c r="M24" s="6" t="str">
        <f t="shared" si="4"/>
        <v>0.00118752202305694i</v>
      </c>
      <c r="N24" s="6" t="str">
        <f t="shared" si="4"/>
        <v>0.00124407069082156i</v>
      </c>
      <c r="O24" s="6" t="str">
        <f t="shared" si="4"/>
        <v>0.00130061935858617i</v>
      </c>
      <c r="P24" s="6" t="str">
        <f t="shared" si="4"/>
        <v>0.00135716802635079i</v>
      </c>
      <c r="Q24" s="6" t="str">
        <f t="shared" si="4"/>
        <v>0.00141371669411541i</v>
      </c>
      <c r="R24" s="6" t="str">
        <f t="shared" si="4"/>
        <v>0.00147026536188002i</v>
      </c>
      <c r="S24" s="6" t="str">
        <f t="shared" si="4"/>
        <v>0.00152681402964464i</v>
      </c>
      <c r="T24" s="6" t="str">
        <f t="shared" si="4"/>
        <v>0.00158336269740926i</v>
      </c>
      <c r="U24" s="6" t="str">
        <f t="shared" si="4"/>
        <v>0.00163991136517387i</v>
      </c>
      <c r="V24" s="6" t="str">
        <f t="shared" si="4"/>
        <v>0.00169646003293849i</v>
      </c>
      <c r="W24" s="6" t="str">
        <f t="shared" si="4"/>
        <v>0.0017530087007031i</v>
      </c>
      <c r="X24" s="6" t="str">
        <f t="shared" si="4"/>
        <v>0.00180955736846772i</v>
      </c>
      <c r="Y24" s="6" t="str">
        <f t="shared" si="4"/>
        <v>0.00186610603623234i</v>
      </c>
      <c r="Z24" s="6" t="str">
        <f t="shared" si="4"/>
        <v>0.00192265470399695i</v>
      </c>
      <c r="AA24" s="6" t="str">
        <f t="shared" si="4"/>
        <v>0.00197920337176157i</v>
      </c>
      <c r="AB24" s="6" t="str">
        <f t="shared" si="4"/>
        <v>0.00203575203952619i</v>
      </c>
      <c r="AC24" s="6" t="str">
        <f t="shared" si="4"/>
        <v>0.0020923007072908i</v>
      </c>
      <c r="AD24" s="6" t="str">
        <f t="shared" si="4"/>
        <v>0.00214884937505542i</v>
      </c>
      <c r="AE24" s="6" t="str">
        <f t="shared" si="4"/>
        <v>0.00220539804282003i</v>
      </c>
    </row>
    <row r="25" spans="1:31" x14ac:dyDescent="0.2">
      <c r="A25" t="s">
        <v>16</v>
      </c>
      <c r="B25" s="6" t="str">
        <f t="shared" ref="B25:AE25" si="5">IMDIV(1,IMSUM(B23,B24))</f>
        <v>1081.79881799453+253.297702082128i</v>
      </c>
      <c r="C25" s="6" t="str">
        <f t="shared" si="5"/>
        <v>1128.86931425917+135.695851924629i</v>
      </c>
      <c r="D25" s="6" t="str">
        <f t="shared" si="5"/>
        <v>1154.16061698121+15.5136330082548i</v>
      </c>
      <c r="E25" s="6" t="str">
        <f t="shared" si="5"/>
        <v>1156.19746361242-104.293548472543i</v>
      </c>
      <c r="F25" s="6" t="str">
        <f t="shared" si="5"/>
        <v>1137.28289937271-216.882058737725i</v>
      </c>
      <c r="G25" s="6" t="str">
        <f t="shared" si="5"/>
        <v>1100.14359757507-321.078245777044i</v>
      </c>
      <c r="H25" s="6" t="str">
        <f t="shared" si="5"/>
        <v>1048.36047260475-411.557174263679i</v>
      </c>
      <c r="I25" s="6" t="str">
        <f t="shared" si="5"/>
        <v>986.347508320702-486.735293303469i</v>
      </c>
      <c r="J25" s="6" t="str">
        <f t="shared" si="5"/>
        <v>917.308995156925-546.408281119793i</v>
      </c>
      <c r="K25" s="6" t="str">
        <f t="shared" si="5"/>
        <v>845.767067931-591.127709371981i</v>
      </c>
      <c r="L25" s="6" t="str">
        <f t="shared" si="5"/>
        <v>775.688923320652-622.385563119552i</v>
      </c>
      <c r="M25" s="6" t="str">
        <f t="shared" si="5"/>
        <v>708.167761458714-641.421949089862i</v>
      </c>
      <c r="N25" s="6" t="str">
        <f t="shared" si="5"/>
        <v>644.669109655241-652.638298793217i</v>
      </c>
      <c r="O25" s="6" t="str">
        <f t="shared" si="5"/>
        <v>586.00188023944-657.236087573496i</v>
      </c>
      <c r="P25" s="6" t="str">
        <f t="shared" si="5"/>
        <v>533.097462126224-654.505043548059i</v>
      </c>
      <c r="Q25" s="6" t="str">
        <f t="shared" si="5"/>
        <v>485.722113289743-646.940270219234i</v>
      </c>
      <c r="R25" s="6" t="str">
        <f t="shared" si="5"/>
        <v>443.012861606179-636.988401767232i</v>
      </c>
      <c r="S25" s="6" t="str">
        <f t="shared" si="5"/>
        <v>404.603307611999-625.317736992693i</v>
      </c>
      <c r="T25" s="6" t="str">
        <f t="shared" si="5"/>
        <v>370.203503949627-612.426186641159i</v>
      </c>
      <c r="U25" s="6" t="str">
        <f t="shared" si="5"/>
        <v>339.502636056031-598.782288533776i</v>
      </c>
      <c r="V25" s="6" t="str">
        <f t="shared" si="5"/>
        <v>312.11321929318-584.649050330895i</v>
      </c>
      <c r="W25" s="6" t="str">
        <f t="shared" si="5"/>
        <v>287.638271453385-570.149119679928i</v>
      </c>
      <c r="X25" s="6" t="str">
        <f t="shared" si="5"/>
        <v>265.74656175465-555.511841749696i</v>
      </c>
      <c r="Y25" s="6" t="str">
        <f t="shared" si="5"/>
        <v>246.146894691105-541.086488317713i</v>
      </c>
      <c r="Z25" s="6" t="str">
        <f t="shared" si="5"/>
        <v>228.570974743146-527.061156331147i</v>
      </c>
      <c r="AA25" s="6" t="str">
        <f t="shared" si="5"/>
        <v>212.787643333194-513.396994654207i</v>
      </c>
      <c r="AB25" s="6" t="str">
        <f t="shared" si="5"/>
        <v>198.580548388352-500.070918392967i</v>
      </c>
      <c r="AC25" s="6" t="str">
        <f t="shared" si="5"/>
        <v>185.679286546607-487.211188185309i</v>
      </c>
      <c r="AD25" s="6" t="str">
        <f t="shared" si="5"/>
        <v>173.837983557045-474.937948529331i</v>
      </c>
      <c r="AE25" s="6" t="str">
        <f t="shared" si="5"/>
        <v>162.956408240364-463.2208855894i</v>
      </c>
    </row>
    <row r="26" spans="1:31" x14ac:dyDescent="0.2">
      <c r="A26" t="s">
        <v>8</v>
      </c>
      <c r="B26" s="5">
        <f t="shared" ref="B26:AE26" si="6">IMREAL(B25)</f>
        <v>1081.7988179945301</v>
      </c>
      <c r="C26" s="5">
        <f t="shared" si="6"/>
        <v>1128.8693142591701</v>
      </c>
      <c r="D26" s="5">
        <f t="shared" si="6"/>
        <v>1154.1606169812101</v>
      </c>
      <c r="E26" s="5">
        <f t="shared" si="6"/>
        <v>1156.1974636124201</v>
      </c>
      <c r="F26" s="5">
        <f t="shared" si="6"/>
        <v>1137.2828993727101</v>
      </c>
      <c r="G26" s="5">
        <f t="shared" si="6"/>
        <v>1100.1435975750701</v>
      </c>
      <c r="H26" s="5">
        <f t="shared" si="6"/>
        <v>1048.3604726047499</v>
      </c>
      <c r="I26" s="5">
        <f t="shared" si="6"/>
        <v>986.34750832070199</v>
      </c>
      <c r="J26" s="5">
        <f t="shared" si="6"/>
        <v>917.30899515692499</v>
      </c>
      <c r="K26" s="5">
        <f t="shared" si="6"/>
        <v>845.76706793100004</v>
      </c>
      <c r="L26" s="5">
        <f t="shared" si="6"/>
        <v>775.68892332065195</v>
      </c>
      <c r="M26" s="5">
        <f t="shared" si="6"/>
        <v>708.16776145871404</v>
      </c>
      <c r="N26" s="5">
        <f t="shared" si="6"/>
        <v>644.66910965524096</v>
      </c>
      <c r="O26" s="5">
        <f t="shared" si="6"/>
        <v>586.00188023943997</v>
      </c>
      <c r="P26" s="5">
        <f t="shared" si="6"/>
        <v>533.09746212622395</v>
      </c>
      <c r="Q26" s="5">
        <f t="shared" si="6"/>
        <v>485.72211328974299</v>
      </c>
      <c r="R26" s="5">
        <f t="shared" si="6"/>
        <v>443.012861606179</v>
      </c>
      <c r="S26" s="5">
        <f t="shared" si="6"/>
        <v>404.60330761199901</v>
      </c>
      <c r="T26" s="5">
        <f t="shared" si="6"/>
        <v>370.20350394962702</v>
      </c>
      <c r="U26" s="5">
        <f t="shared" si="6"/>
        <v>339.50263605603101</v>
      </c>
      <c r="V26" s="5">
        <f t="shared" si="6"/>
        <v>312.11321929318001</v>
      </c>
      <c r="W26" s="5">
        <f t="shared" si="6"/>
        <v>287.63827145338502</v>
      </c>
      <c r="X26" s="5">
        <f t="shared" si="6"/>
        <v>265.74656175464997</v>
      </c>
      <c r="Y26" s="5">
        <f t="shared" si="6"/>
        <v>246.14689469110499</v>
      </c>
      <c r="Z26" s="5">
        <f t="shared" si="6"/>
        <v>228.570974743146</v>
      </c>
      <c r="AA26" s="5">
        <f t="shared" si="6"/>
        <v>212.78764333319401</v>
      </c>
      <c r="AB26" s="5">
        <f t="shared" si="6"/>
        <v>198.58054838835201</v>
      </c>
      <c r="AC26" s="5">
        <f t="shared" si="6"/>
        <v>185.67928654660699</v>
      </c>
      <c r="AD26" s="5">
        <f t="shared" si="6"/>
        <v>173.83798355704499</v>
      </c>
      <c r="AE26" s="5">
        <f t="shared" si="6"/>
        <v>162.956408240364</v>
      </c>
    </row>
    <row r="27" spans="1:31" x14ac:dyDescent="0.2">
      <c r="A27" t="s">
        <v>9</v>
      </c>
      <c r="B27" s="5">
        <f t="shared" ref="B27:AE27" si="7">IMAGINARY(B25)</f>
        <v>253.29770208212801</v>
      </c>
      <c r="C27" s="5">
        <f t="shared" si="7"/>
        <v>135.69585192462901</v>
      </c>
      <c r="D27" s="5">
        <f t="shared" si="7"/>
        <v>15.5136330082548</v>
      </c>
      <c r="E27" s="5">
        <f t="shared" si="7"/>
        <v>-104.29354847254299</v>
      </c>
      <c r="F27" s="5">
        <f t="shared" si="7"/>
        <v>-216.882058737725</v>
      </c>
      <c r="G27" s="5">
        <f t="shared" si="7"/>
        <v>-321.078245777044</v>
      </c>
      <c r="H27" s="5">
        <f t="shared" si="7"/>
        <v>-411.55717426367897</v>
      </c>
      <c r="I27" s="5">
        <f t="shared" si="7"/>
        <v>-486.73529330346901</v>
      </c>
      <c r="J27" s="5">
        <f t="shared" si="7"/>
        <v>-546.40828111979295</v>
      </c>
      <c r="K27" s="5">
        <f t="shared" si="7"/>
        <v>-591.12770937198104</v>
      </c>
      <c r="L27" s="5">
        <f t="shared" si="7"/>
        <v>-622.38556311955199</v>
      </c>
      <c r="M27" s="5">
        <f t="shared" si="7"/>
        <v>-641.42194908986198</v>
      </c>
      <c r="N27" s="5">
        <f t="shared" si="7"/>
        <v>-652.63829879321702</v>
      </c>
      <c r="O27" s="5">
        <f t="shared" si="7"/>
        <v>-657.23608757349598</v>
      </c>
      <c r="P27" s="5">
        <f t="shared" si="7"/>
        <v>-654.50504354805901</v>
      </c>
      <c r="Q27" s="5">
        <f t="shared" si="7"/>
        <v>-646.94027021923398</v>
      </c>
      <c r="R27" s="5">
        <f t="shared" si="7"/>
        <v>-636.98840176723195</v>
      </c>
      <c r="S27" s="5">
        <f t="shared" si="7"/>
        <v>-625.31773699269297</v>
      </c>
      <c r="T27" s="5">
        <f t="shared" si="7"/>
        <v>-612.42618664115901</v>
      </c>
      <c r="U27" s="5">
        <f t="shared" si="7"/>
        <v>-598.78228853377595</v>
      </c>
      <c r="V27" s="5">
        <f t="shared" si="7"/>
        <v>-584.64905033089497</v>
      </c>
      <c r="W27" s="5">
        <f t="shared" si="7"/>
        <v>-570.14911967992805</v>
      </c>
      <c r="X27" s="5">
        <f t="shared" si="7"/>
        <v>-555.51184174969603</v>
      </c>
      <c r="Y27" s="5">
        <f t="shared" si="7"/>
        <v>-541.08648831771302</v>
      </c>
      <c r="Z27" s="5">
        <f t="shared" si="7"/>
        <v>-527.061156331147</v>
      </c>
      <c r="AA27" s="5">
        <f t="shared" si="7"/>
        <v>-513.39699465420699</v>
      </c>
      <c r="AB27" s="5">
        <f t="shared" si="7"/>
        <v>-500.07091839296697</v>
      </c>
      <c r="AC27" s="5">
        <f t="shared" si="7"/>
        <v>-487.21118818530903</v>
      </c>
      <c r="AD27" s="5">
        <f t="shared" si="7"/>
        <v>-474.93794852933098</v>
      </c>
      <c r="AE27" s="5">
        <f t="shared" si="7"/>
        <v>-463.22088558939998</v>
      </c>
    </row>
    <row r="28" spans="1:31" x14ac:dyDescent="0.2">
      <c r="A28" t="s">
        <v>17</v>
      </c>
      <c r="B28" s="5">
        <f t="shared" ref="B28:AE28" si="8">IMABS(B25)</f>
        <v>1111.0573380768649</v>
      </c>
      <c r="C28" s="5">
        <f t="shared" si="8"/>
        <v>1136.9957312609049</v>
      </c>
      <c r="D28" s="5">
        <f t="shared" si="8"/>
        <v>1154.2648754075306</v>
      </c>
      <c r="E28" s="5">
        <f t="shared" si="8"/>
        <v>1160.8917775213965</v>
      </c>
      <c r="F28" s="5">
        <f t="shared" si="8"/>
        <v>1157.7781396312128</v>
      </c>
      <c r="G28" s="5">
        <f t="shared" si="8"/>
        <v>1146.039779063834</v>
      </c>
      <c r="H28" s="5">
        <f t="shared" si="8"/>
        <v>1126.2499670179611</v>
      </c>
      <c r="I28" s="5">
        <f t="shared" si="8"/>
        <v>1099.9057472882262</v>
      </c>
      <c r="J28" s="5">
        <f t="shared" si="8"/>
        <v>1067.7161618483135</v>
      </c>
      <c r="K28" s="5">
        <f t="shared" si="8"/>
        <v>1031.8691302602119</v>
      </c>
      <c r="L28" s="5">
        <f t="shared" si="8"/>
        <v>994.51349661127983</v>
      </c>
      <c r="M28" s="5">
        <f t="shared" si="8"/>
        <v>955.47040516369918</v>
      </c>
      <c r="N28" s="5">
        <f t="shared" si="8"/>
        <v>917.35217337475456</v>
      </c>
      <c r="O28" s="5">
        <f t="shared" si="8"/>
        <v>880.54385379325379</v>
      </c>
      <c r="P28" s="5">
        <f t="shared" si="8"/>
        <v>844.13846977570415</v>
      </c>
      <c r="Q28" s="5">
        <f t="shared" si="8"/>
        <v>808.98558984075203</v>
      </c>
      <c r="R28" s="5">
        <f t="shared" si="8"/>
        <v>775.89601077365262</v>
      </c>
      <c r="S28" s="5">
        <f t="shared" si="8"/>
        <v>744.79937481729451</v>
      </c>
      <c r="T28" s="5">
        <f t="shared" si="8"/>
        <v>715.6231329550584</v>
      </c>
      <c r="U28" s="5">
        <f t="shared" si="8"/>
        <v>688.33296372521636</v>
      </c>
      <c r="V28" s="5">
        <f t="shared" si="8"/>
        <v>662.74367119601379</v>
      </c>
      <c r="W28" s="5">
        <f t="shared" si="8"/>
        <v>638.59673807222669</v>
      </c>
      <c r="X28" s="5">
        <f t="shared" si="8"/>
        <v>615.80406088995323</v>
      </c>
      <c r="Y28" s="5">
        <f t="shared" si="8"/>
        <v>594.44333759078211</v>
      </c>
      <c r="Z28" s="5">
        <f t="shared" si="8"/>
        <v>574.48947162516185</v>
      </c>
      <c r="AA28" s="5">
        <f t="shared" si="8"/>
        <v>555.74729443809838</v>
      </c>
      <c r="AB28" s="5">
        <f t="shared" si="8"/>
        <v>538.05683493531058</v>
      </c>
      <c r="AC28" s="5">
        <f t="shared" si="8"/>
        <v>521.39384283418383</v>
      </c>
      <c r="AD28" s="5">
        <f t="shared" si="8"/>
        <v>505.75260699321058</v>
      </c>
      <c r="AE28" s="5">
        <f t="shared" si="8"/>
        <v>491.04824593193302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 xr:uid="{00000000-0004-0000-0300-000000000000}"/>
  </hyperlinks>
  <pageMargins left="0.75" right="0.75" top="1" bottom="1" header="0.5" footer="0.5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E35"/>
  <sheetViews>
    <sheetView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170</v>
      </c>
    </row>
    <row r="8" spans="1:2" x14ac:dyDescent="0.2">
      <c r="A8" t="s">
        <v>7</v>
      </c>
      <c r="B8" s="3">
        <v>15</v>
      </c>
    </row>
    <row r="9" spans="1:2" x14ac:dyDescent="0.2">
      <c r="A9" t="s">
        <v>10</v>
      </c>
      <c r="B9" s="3">
        <v>4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2.4033183799961917E-4</v>
      </c>
    </row>
    <row r="18" spans="1:31" x14ac:dyDescent="0.2">
      <c r="A18" t="s">
        <v>4</v>
      </c>
      <c r="B18" s="10">
        <v>1</v>
      </c>
      <c r="C18" s="10">
        <f t="shared" ref="C18:AE18" si="0">B18+1</f>
        <v>2</v>
      </c>
      <c r="D18" s="10">
        <f t="shared" si="0"/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csinterpolate(CSTableU2,'FT240-61 12t'!B18*1000000)</f>
        <v>0.62</v>
      </c>
      <c r="C19" s="7">
        <f>csinterpolate(CSTableU2,'FT240-61 12t'!C18*1000000)</f>
        <v>0.75819431100099222</v>
      </c>
      <c r="D19" s="7">
        <f>csinterpolate(CSTableU2,'FT240-61 12t'!D18*1000000)</f>
        <v>0.77887091186070234</v>
      </c>
      <c r="E19" s="7">
        <f>csinterpolate(CSTableU2,'FT240-61 12t'!E18*1000000)</f>
        <v>0.83511143762440576</v>
      </c>
      <c r="F19" s="7">
        <f>csinterpolate(CSTableU2,'FT240-61 12t'!F18*1000000)</f>
        <v>0.93</v>
      </c>
      <c r="G19" s="7">
        <f>csinterpolate(CSTableU2,'FT240-61 12t'!G18*1000000)</f>
        <v>1.036969921462761</v>
      </c>
      <c r="H19" s="7">
        <f>csinterpolate(CSTableU2,'FT240-61 12t'!H18*1000000)</f>
        <v>1.1594707528103099</v>
      </c>
      <c r="I19" s="7">
        <f>csinterpolate(CSTableU2,'FT240-61 12t'!I18*1000000)</f>
        <v>1.3926436921793786</v>
      </c>
      <c r="J19" s="7">
        <f>csinterpolate(CSTableU2,'FT240-61 12t'!J18*1000000)</f>
        <v>1.6331035608136657</v>
      </c>
      <c r="K19" s="7">
        <f>csinterpolate(CSTableU2,'FT240-61 12t'!K18*1000000)</f>
        <v>2.02</v>
      </c>
      <c r="L19" s="7">
        <f>csinterpolate(CSTableU2,'FT240-61 12t'!L18*1000000)</f>
        <v>2.5096010234877921</v>
      </c>
      <c r="M19" s="7">
        <f>csinterpolate(CSTableU2,'FT240-61 12t'!M18*1000000)</f>
        <v>3.1827756414461343</v>
      </c>
      <c r="N19" s="7">
        <f>csinterpolate(CSTableU2,'FT240-61 12t'!N18*1000000)</f>
        <v>4.1862588520627675</v>
      </c>
      <c r="O19" s="7">
        <f>csinterpolate(CSTableU2,'FT240-61 12t'!O18*1000000)</f>
        <v>5.5699800869711646</v>
      </c>
      <c r="P19" s="7">
        <f>csinterpolate(CSTableU2,'FT240-61 12t'!P18*1000000)</f>
        <v>7.5596708892868953</v>
      </c>
      <c r="Q19" s="7">
        <f>csinterpolate(CSTableU2,'FT240-61 12t'!Q18*1000000)</f>
        <v>10.364762073298381</v>
      </c>
      <c r="R19" s="7">
        <f>csinterpolate(CSTableU2,'FT240-61 12t'!R18*1000000)</f>
        <v>14.071540778907028</v>
      </c>
      <c r="S19" s="7">
        <f>csinterpolate(CSTableU2,'FT240-61 12t'!S18*1000000)</f>
        <v>19.176551161213411</v>
      </c>
      <c r="T19" s="7">
        <f>csinterpolate(CSTableU2,'FT240-61 12t'!T18*1000000)</f>
        <v>25.391368669797036</v>
      </c>
      <c r="U19" s="7">
        <f>csinterpolate(CSTableU2,'FT240-61 12t'!U18*1000000)</f>
        <v>32.089654518261241</v>
      </c>
      <c r="V19" s="7">
        <f>csinterpolate(CSTableU2,'FT240-61 12t'!V18*1000000)</f>
        <v>39.794608051729639</v>
      </c>
      <c r="W19" s="7">
        <f>csinterpolate(CSTableU2,'FT240-61 12t'!W18*1000000)</f>
        <v>47.421943915918163</v>
      </c>
      <c r="X19" s="7">
        <f>csinterpolate(CSTableU2,'FT240-61 12t'!X18*1000000)</f>
        <v>54.059097865518069</v>
      </c>
      <c r="Y19" s="7">
        <f>csinterpolate(CSTableU2,'FT240-61 12t'!Y18*1000000)</f>
        <v>59.964781915008828</v>
      </c>
      <c r="Z19" s="7">
        <f>csinterpolate(CSTableU2,'FT240-61 12t'!Z18*1000000)</f>
        <v>65.050788171679642</v>
      </c>
      <c r="AA19" s="7">
        <f>csinterpolate(CSTableU2,'FT240-61 12t'!AA18*1000000)</f>
        <v>69.197236673813947</v>
      </c>
      <c r="AB19" s="7">
        <f>csinterpolate(CSTableU2,'FT240-61 12t'!AB18*1000000)</f>
        <v>72.536485290986661</v>
      </c>
      <c r="AC19" s="7">
        <f>csinterpolate(CSTableU2,'FT240-61 12t'!AC18*1000000)</f>
        <v>75.170528211419636</v>
      </c>
      <c r="AD19" s="7">
        <f>csinterpolate(CSTableU2,'FT240-61 12t'!AD18*1000000)</f>
        <v>77.095025191458149</v>
      </c>
      <c r="AE19" s="7">
        <f>csinterpolate(CSTableU2,'FT240-61 12t'!AE18*1000000)</f>
        <v>78.419182905316077</v>
      </c>
    </row>
    <row r="20" spans="1:31" x14ac:dyDescent="0.2">
      <c r="A20" t="s">
        <v>5</v>
      </c>
      <c r="B20" s="7">
        <f>csinterpolate(CSTableU1,'FT240-61 12t'!B18*1000000)</f>
        <v>118.57</v>
      </c>
      <c r="C20" s="7">
        <f>csinterpolate(CSTableU1,'FT240-61 12t'!C18*1000000)</f>
        <v>118.53968029339639</v>
      </c>
      <c r="D20" s="7">
        <f>csinterpolate(CSTableU1,'FT240-61 12t'!D18*1000000)</f>
        <v>118.74548534852252</v>
      </c>
      <c r="E20" s="7">
        <f>csinterpolate(CSTableU1,'FT240-61 12t'!E18*1000000)</f>
        <v>119.13224502943993</v>
      </c>
      <c r="F20" s="7">
        <f>csinterpolate(CSTableU1,'FT240-61 12t'!F18*1000000)</f>
        <v>119.69</v>
      </c>
      <c r="G20" s="7">
        <f>csinterpolate(CSTableU1,'FT240-61 12t'!G18*1000000)</f>
        <v>120.41980665671979</v>
      </c>
      <c r="H20" s="7">
        <f>csinterpolate(CSTableU1,'FT240-61 12t'!H18*1000000)</f>
        <v>121.36869399692092</v>
      </c>
      <c r="I20" s="7">
        <f>csinterpolate(CSTableU1,'FT240-61 12t'!I18*1000000)</f>
        <v>122.50340698858074</v>
      </c>
      <c r="J20" s="7">
        <f>csinterpolate(CSTableU1,'FT240-61 12t'!J18*1000000)</f>
        <v>123.86522642233432</v>
      </c>
      <c r="K20" s="7">
        <f>csinterpolate(CSTableU1,'FT240-61 12t'!K18*1000000)</f>
        <v>125.48</v>
      </c>
      <c r="L20" s="7">
        <f>csinterpolate(CSTableU1,'FT240-61 12t'!L18*1000000)</f>
        <v>127.40209539131958</v>
      </c>
      <c r="M20" s="7">
        <f>csinterpolate(CSTableU1,'FT240-61 12t'!M18*1000000)</f>
        <v>129.52648939190286</v>
      </c>
      <c r="N20" s="7">
        <f>csinterpolate(CSTableU1,'FT240-61 12t'!N18*1000000)</f>
        <v>132.29104551836008</v>
      </c>
      <c r="O20" s="7">
        <f>csinterpolate(CSTableU1,'FT240-61 12t'!O18*1000000)</f>
        <v>135.12198912144072</v>
      </c>
      <c r="P20" s="7">
        <f>csinterpolate(CSTableU1,'FT240-61 12t'!P18*1000000)</f>
        <v>138.34472114290378</v>
      </c>
      <c r="Q20" s="7">
        <f>csinterpolate(CSTableU1,'FT240-61 12t'!Q18*1000000)</f>
        <v>141.86529900339437</v>
      </c>
      <c r="R20" s="7">
        <f>csinterpolate(CSTableU1,'FT240-61 12t'!R18*1000000)</f>
        <v>145.37170500941278</v>
      </c>
      <c r="S20" s="7">
        <f>csinterpolate(CSTableU1,'FT240-61 12t'!S18*1000000)</f>
        <v>148.69565743233508</v>
      </c>
      <c r="T20" s="7">
        <f>csinterpolate(CSTableU1,'FT240-61 12t'!T18*1000000)</f>
        <v>151.32572567542223</v>
      </c>
      <c r="U20" s="7">
        <f>csinterpolate(CSTableU1,'FT240-61 12t'!U18*1000000)</f>
        <v>152.65425339002283</v>
      </c>
      <c r="V20" s="7">
        <f>csinterpolate(CSTableU1,'FT240-61 12t'!V18*1000000)</f>
        <v>152.55221676355956</v>
      </c>
      <c r="W20" s="7">
        <f>csinterpolate(CSTableU1,'FT240-61 12t'!W18*1000000)</f>
        <v>151.01754547328326</v>
      </c>
      <c r="X20" s="7">
        <f>csinterpolate(CSTableU1,'FT240-61 12t'!X18*1000000)</f>
        <v>148.20067609090967</v>
      </c>
      <c r="Y20" s="7">
        <f>csinterpolate(CSTableU1,'FT240-61 12t'!Y18*1000000)</f>
        <v>144.40610074717381</v>
      </c>
      <c r="Z20" s="7">
        <f>csinterpolate(CSTableU1,'FT240-61 12t'!Z18*1000000)</f>
        <v>139.95141627964244</v>
      </c>
      <c r="AA20" s="7">
        <f>csinterpolate(CSTableU1,'FT240-61 12t'!AA18*1000000)</f>
        <v>135.11398557250098</v>
      </c>
      <c r="AB20" s="7">
        <f>csinterpolate(CSTableU1,'FT240-61 12t'!AB18*1000000)</f>
        <v>130.0795700595983</v>
      </c>
      <c r="AC20" s="7">
        <f>csinterpolate(CSTableU1,'FT240-61 12t'!AC18*1000000)</f>
        <v>125.05991362921905</v>
      </c>
      <c r="AD20" s="7">
        <f>csinterpolate(CSTableU1,'FT240-61 12t'!AD18*1000000)</f>
        <v>120.32684003060784</v>
      </c>
      <c r="AE20" s="7">
        <f>csinterpolate(CSTableU1,'FT240-61 12t'!AE18*1000000)</f>
        <v>115.96025934130439</v>
      </c>
    </row>
    <row r="21" spans="1:31" x14ac:dyDescent="0.2">
      <c r="A21" t="s">
        <v>12</v>
      </c>
      <c r="B21" s="5">
        <f t="shared" ref="B21:AE21" si="1">B19/$B$13*$B$16*B18*1000000</f>
        <v>1.192045916478111</v>
      </c>
      <c r="C21" s="5">
        <f t="shared" si="1"/>
        <v>2.9154917171795733</v>
      </c>
      <c r="D21" s="5">
        <f t="shared" si="1"/>
        <v>4.4924994674861267</v>
      </c>
      <c r="E21" s="5">
        <f t="shared" si="1"/>
        <v>6.4225237356408877</v>
      </c>
      <c r="F21" s="5">
        <f t="shared" si="1"/>
        <v>8.9403443735858339</v>
      </c>
      <c r="G21" s="5">
        <f t="shared" si="1"/>
        <v>11.962410584422372</v>
      </c>
      <c r="H21" s="5">
        <f t="shared" si="1"/>
        <v>15.604833279263415</v>
      </c>
      <c r="I21" s="5">
        <f t="shared" si="1"/>
        <v>21.420583566082939</v>
      </c>
      <c r="J21" s="5">
        <f t="shared" si="1"/>
        <v>28.259048189813125</v>
      </c>
      <c r="K21" s="5">
        <f t="shared" si="1"/>
        <v>38.837625020738457</v>
      </c>
      <c r="L21" s="5">
        <f t="shared" si="1"/>
        <v>53.076058342608093</v>
      </c>
      <c r="M21" s="5">
        <f t="shared" si="1"/>
        <v>73.432542705519964</v>
      </c>
      <c r="N21" s="5">
        <f t="shared" si="1"/>
        <v>104.63349356287576</v>
      </c>
      <c r="O21" s="5">
        <f t="shared" si="1"/>
        <v>149.92807781538258</v>
      </c>
      <c r="P21" s="5">
        <f t="shared" si="1"/>
        <v>218.01955193934421</v>
      </c>
      <c r="Q21" s="5">
        <f t="shared" si="1"/>
        <v>318.84573689658157</v>
      </c>
      <c r="R21" s="5">
        <f t="shared" si="1"/>
        <v>459.93013920785938</v>
      </c>
      <c r="S21" s="5">
        <f t="shared" si="1"/>
        <v>663.65795333781364</v>
      </c>
      <c r="T21" s="5">
        <f t="shared" si="1"/>
        <v>927.55785386421655</v>
      </c>
      <c r="U21" s="5">
        <f t="shared" si="1"/>
        <v>1233.9465041834414</v>
      </c>
      <c r="V21" s="5">
        <f t="shared" si="1"/>
        <v>1606.7370976518334</v>
      </c>
      <c r="W21" s="5">
        <f t="shared" si="1"/>
        <v>2005.8725179376347</v>
      </c>
      <c r="X21" s="5">
        <f t="shared" si="1"/>
        <v>2390.5505125143095</v>
      </c>
      <c r="Y21" s="5">
        <f t="shared" si="1"/>
        <v>2766.9976805530359</v>
      </c>
      <c r="Z21" s="5">
        <f t="shared" si="1"/>
        <v>3126.7550969247309</v>
      </c>
      <c r="AA21" s="5">
        <f t="shared" si="1"/>
        <v>3459.1022074569705</v>
      </c>
      <c r="AB21" s="5">
        <f t="shared" si="1"/>
        <v>3765.490595715276</v>
      </c>
      <c r="AC21" s="5">
        <f t="shared" si="1"/>
        <v>4046.7551506934055</v>
      </c>
      <c r="AD21" s="5">
        <f t="shared" si="1"/>
        <v>4298.5862723344981</v>
      </c>
      <c r="AE21" s="5">
        <f t="shared" si="1"/>
        <v>4523.1903268951028</v>
      </c>
    </row>
    <row r="22" spans="1:31" x14ac:dyDescent="0.2">
      <c r="A22" t="s">
        <v>13</v>
      </c>
      <c r="B22" s="5">
        <f t="shared" ref="B22:AE22" si="2">B20/$B$13*$B$16*B18*1000000</f>
        <v>227.96916825291873</v>
      </c>
      <c r="C22" s="5">
        <f t="shared" si="2"/>
        <v>455.82174785278704</v>
      </c>
      <c r="D22" s="5">
        <f t="shared" si="2"/>
        <v>684.91969795121452</v>
      </c>
      <c r="E22" s="5">
        <f t="shared" si="2"/>
        <v>916.20068521428141</v>
      </c>
      <c r="F22" s="5">
        <f t="shared" si="2"/>
        <v>1150.6127076069765</v>
      </c>
      <c r="G22" s="5">
        <f t="shared" si="2"/>
        <v>1389.1542463376757</v>
      </c>
      <c r="H22" s="5">
        <f t="shared" si="2"/>
        <v>1633.4506330180277</v>
      </c>
      <c r="I22" s="5">
        <f t="shared" si="2"/>
        <v>1884.2540136179841</v>
      </c>
      <c r="J22" s="5">
        <f t="shared" si="2"/>
        <v>2143.3505421829391</v>
      </c>
      <c r="K22" s="5">
        <f t="shared" si="2"/>
        <v>2412.5471225753772</v>
      </c>
      <c r="L22" s="5">
        <f t="shared" si="2"/>
        <v>2694.4526180350808</v>
      </c>
      <c r="M22" s="5">
        <f t="shared" si="2"/>
        <v>2988.4165694586422</v>
      </c>
      <c r="N22" s="5">
        <f t="shared" si="2"/>
        <v>3306.5500125131507</v>
      </c>
      <c r="O22" s="5">
        <f t="shared" si="2"/>
        <v>3637.100991968684</v>
      </c>
      <c r="P22" s="5">
        <f t="shared" si="2"/>
        <v>3989.8369331782615</v>
      </c>
      <c r="Q22" s="5">
        <f t="shared" si="2"/>
        <v>4364.127751404968</v>
      </c>
      <c r="R22" s="5">
        <f t="shared" si="2"/>
        <v>4751.4930718948835</v>
      </c>
      <c r="S22" s="5">
        <f t="shared" si="2"/>
        <v>5146.027294071574</v>
      </c>
      <c r="T22" s="5">
        <f t="shared" si="2"/>
        <v>5527.9952478064597</v>
      </c>
      <c r="U22" s="5">
        <f t="shared" si="2"/>
        <v>5870.0283673094063</v>
      </c>
      <c r="V22" s="5">
        <f t="shared" si="2"/>
        <v>6159.4099804780353</v>
      </c>
      <c r="W22" s="5">
        <f t="shared" si="2"/>
        <v>6387.8010721862029</v>
      </c>
      <c r="X22" s="5">
        <f t="shared" si="2"/>
        <v>6553.590721499475</v>
      </c>
      <c r="Y22" s="5">
        <f t="shared" si="2"/>
        <v>6663.4336532978805</v>
      </c>
      <c r="Z22" s="5">
        <f t="shared" si="2"/>
        <v>6726.9562210272579</v>
      </c>
      <c r="AA22" s="5">
        <f t="shared" si="2"/>
        <v>6754.2160383553837</v>
      </c>
      <c r="AB22" s="5">
        <f t="shared" si="2"/>
        <v>6752.648626262674</v>
      </c>
      <c r="AC22" s="5">
        <f t="shared" si="2"/>
        <v>6732.5168741787802</v>
      </c>
      <c r="AD22" s="5">
        <f t="shared" si="2"/>
        <v>6709.0619850561752</v>
      </c>
      <c r="AE22" s="5">
        <f t="shared" si="2"/>
        <v>6688.5461429779662</v>
      </c>
    </row>
    <row r="23" spans="1:31" x14ac:dyDescent="0.2">
      <c r="A23" t="s">
        <v>14</v>
      </c>
      <c r="B23" s="5" t="str">
        <f t="shared" ref="B23:AE23" si="3">IMDIV(1,COMPLEX(B21,B22))</f>
        <v>0.0000229365915334119-0.00438643815825266i</v>
      </c>
      <c r="C23" s="5" t="str">
        <f t="shared" si="3"/>
        <v>0.0000140314954882907-0.00219375028945322i</v>
      </c>
      <c r="D23" s="5" t="str">
        <f t="shared" si="3"/>
        <v>9.57613009009071E-06-0.00145996236088963i</v>
      </c>
      <c r="E23" s="5" t="str">
        <f t="shared" si="3"/>
        <v>7.65073488595131E-06-0.00109141029810486i</v>
      </c>
      <c r="F23" s="5" t="str">
        <f t="shared" si="3"/>
        <v>6.75257934675338E-06-0.000869049701089156i</v>
      </c>
      <c r="G23" s="5" t="str">
        <f t="shared" si="3"/>
        <v>6.19848506816637E-06-0.000719809088020848i</v>
      </c>
      <c r="H23" s="5" t="str">
        <f t="shared" si="3"/>
        <v>5.84800145122425E-06-0.000612145064381202i</v>
      </c>
      <c r="I23" s="5" t="str">
        <f t="shared" si="3"/>
        <v>6.03248536971158E-06-0.00053064542965901i</v>
      </c>
      <c r="J23" s="5" t="str">
        <f t="shared" si="3"/>
        <v>0.000006150290537858-0.000466478151364366i</v>
      </c>
      <c r="K23" s="5" t="str">
        <f t="shared" si="3"/>
        <v>6.67096283402923E-06-0.00041439228535346i</v>
      </c>
      <c r="L23" s="5" t="str">
        <f t="shared" si="3"/>
        <v>7.30784080191413E-06-0.000370988942957996i</v>
      </c>
      <c r="M23" s="5" t="str">
        <f t="shared" si="3"/>
        <v>8.21758388717765E-06-0.000334423444219262i</v>
      </c>
      <c r="N23" s="5" t="str">
        <f t="shared" si="3"/>
        <v>9.56061578964297E-06-0.000302127485018751i</v>
      </c>
      <c r="O23" s="5" t="str">
        <f t="shared" si="3"/>
        <v>0.0000113144880282111-0.000274477844514872i</v>
      </c>
      <c r="P23" s="5" t="str">
        <f t="shared" si="3"/>
        <v>0.0000136549560533389-0.000249890651998472i</v>
      </c>
      <c r="Q23" s="5" t="str">
        <f t="shared" si="3"/>
        <v>0.0000166522786994459-0.000227924237920588i</v>
      </c>
      <c r="R23" s="5" t="str">
        <f t="shared" si="3"/>
        <v>0.0000201828004079027-0.000208506527697344i</v>
      </c>
      <c r="S23" s="5" t="str">
        <f t="shared" si="3"/>
        <v>0.0000246511030797377-0.00019114552705847i</v>
      </c>
      <c r="T23" s="5" t="str">
        <f t="shared" si="3"/>
        <v>0.0000295221059969565-0.000175943808762472i</v>
      </c>
      <c r="U23" s="5" t="str">
        <f t="shared" si="3"/>
        <v>0.0000342954810493574-0.000163147629129571i</v>
      </c>
      <c r="V23" s="5" t="str">
        <f t="shared" si="3"/>
        <v>0.0000396530024406575-0.000152009373123861i</v>
      </c>
      <c r="W23" s="5" t="str">
        <f t="shared" si="3"/>
        <v>0.0000447464459424709-0.000142497288741819i</v>
      </c>
      <c r="X23" s="5" t="str">
        <f t="shared" si="3"/>
        <v>0.0000491233068760045-0.000134669418808204i</v>
      </c>
      <c r="Y23" s="5" t="str">
        <f t="shared" si="3"/>
        <v>0.0000531525923862251-0.000128001109417485i</v>
      </c>
      <c r="Z23" s="5" t="str">
        <f t="shared" si="3"/>
        <v>0.0000568206105890923-0.000122244866654506i</v>
      </c>
      <c r="AA23" s="5" t="str">
        <f t="shared" si="3"/>
        <v>0.0000600696861573391-0.000117291601499439i</v>
      </c>
      <c r="AB23" s="5" t="str">
        <f t="shared" si="3"/>
        <v>0.0000629921052361176-0.00011296364765114i</v>
      </c>
      <c r="AC23" s="5" t="str">
        <f t="shared" si="3"/>
        <v>0.0000655844034849883-0.000109111642959168i</v>
      </c>
      <c r="AD23" s="5" t="str">
        <f t="shared" si="3"/>
        <v>0.0000677056202562026-0.000105672231347086i</v>
      </c>
      <c r="AE23" s="5" t="str">
        <f t="shared" si="3"/>
        <v>0.0000693784472680017-0.000102591514471762i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0.0000251327412287183i</v>
      </c>
      <c r="C24" s="6" t="str">
        <f t="shared" si="4"/>
        <v>0.0000502654824574367i</v>
      </c>
      <c r="D24" s="6" t="str">
        <f t="shared" si="4"/>
        <v>0.000075398223686155i</v>
      </c>
      <c r="E24" s="6" t="str">
        <f t="shared" si="4"/>
        <v>0.000100530964914873i</v>
      </c>
      <c r="F24" s="6" t="str">
        <f t="shared" si="4"/>
        <v>0.000125663706143592i</v>
      </c>
      <c r="G24" s="6" t="str">
        <f t="shared" si="4"/>
        <v>0.00015079644737231i</v>
      </c>
      <c r="H24" s="6" t="str">
        <f t="shared" si="4"/>
        <v>0.000175929188601028i</v>
      </c>
      <c r="I24" s="6" t="str">
        <f t="shared" si="4"/>
        <v>0.000201061929829747i</v>
      </c>
      <c r="J24" s="6" t="str">
        <f t="shared" si="4"/>
        <v>0.000226194671058465i</v>
      </c>
      <c r="K24" s="6" t="str">
        <f t="shared" si="4"/>
        <v>0.000251327412287183i</v>
      </c>
      <c r="L24" s="6" t="str">
        <f t="shared" si="4"/>
        <v>0.000276460153515902i</v>
      </c>
      <c r="M24" s="6" t="str">
        <f t="shared" si="4"/>
        <v>0.00030159289474462i</v>
      </c>
      <c r="N24" s="6" t="str">
        <f t="shared" si="4"/>
        <v>0.000326725635973338i</v>
      </c>
      <c r="O24" s="6" t="str">
        <f t="shared" si="4"/>
        <v>0.000351858377202057i</v>
      </c>
      <c r="P24" s="6" t="str">
        <f t="shared" si="4"/>
        <v>0.000376991118430775i</v>
      </c>
      <c r="Q24" s="6" t="str">
        <f t="shared" si="4"/>
        <v>0.000402123859659493i</v>
      </c>
      <c r="R24" s="6" t="str">
        <f t="shared" si="4"/>
        <v>0.000427256600888212i</v>
      </c>
      <c r="S24" s="6" t="str">
        <f t="shared" si="4"/>
        <v>0.00045238934211693i</v>
      </c>
      <c r="T24" s="6" t="str">
        <f t="shared" si="4"/>
        <v>0.000477522083345648i</v>
      </c>
      <c r="U24" s="6" t="str">
        <f t="shared" si="4"/>
        <v>0.000502654824574367i</v>
      </c>
      <c r="V24" s="6" t="str">
        <f t="shared" si="4"/>
        <v>0.000527787565803085i</v>
      </c>
      <c r="W24" s="6" t="str">
        <f t="shared" si="4"/>
        <v>0.000552920307031803i</v>
      </c>
      <c r="X24" s="6" t="str">
        <f t="shared" si="4"/>
        <v>0.000578053048260522i</v>
      </c>
      <c r="Y24" s="6" t="str">
        <f t="shared" si="4"/>
        <v>0.00060318578948924i</v>
      </c>
      <c r="Z24" s="6" t="str">
        <f t="shared" si="4"/>
        <v>0.000628318530717959i</v>
      </c>
      <c r="AA24" s="6" t="str">
        <f t="shared" si="4"/>
        <v>0.000653451271946677i</v>
      </c>
      <c r="AB24" s="6" t="str">
        <f t="shared" si="4"/>
        <v>0.000678584013175395i</v>
      </c>
      <c r="AC24" s="6" t="str">
        <f t="shared" si="4"/>
        <v>0.000703716754404114i</v>
      </c>
      <c r="AD24" s="6" t="str">
        <f t="shared" si="4"/>
        <v>0.000728849495632832i</v>
      </c>
      <c r="AE24" s="6" t="str">
        <f t="shared" si="4"/>
        <v>0.00075398223686155i</v>
      </c>
    </row>
    <row r="25" spans="1:31" x14ac:dyDescent="0.2">
      <c r="A25" t="s">
        <v>16</v>
      </c>
      <c r="B25" s="6" t="str">
        <f t="shared" ref="B25:AE25" si="5">IMDIV(1,IMSUM(B23,B24))</f>
        <v>1.20582384332653+229.282805695686i</v>
      </c>
      <c r="C25" s="6" t="str">
        <f t="shared" si="5"/>
        <v>3.05382771330587+466.510024688123i</v>
      </c>
      <c r="D25" s="6" t="str">
        <f t="shared" si="5"/>
        <v>4.99508756743429+722.214406341144i</v>
      </c>
      <c r="E25" s="6" t="str">
        <f t="shared" si="5"/>
        <v>7.79176277928035+1009.14445765008i</v>
      </c>
      <c r="F25" s="6" t="str">
        <f t="shared" si="5"/>
        <v>12.2181404677121+1345.08519508797i</v>
      </c>
      <c r="G25" s="6" t="str">
        <f t="shared" si="5"/>
        <v>19.1421271884876+1757.22167906643i</v>
      </c>
      <c r="H25" s="6" t="str">
        <f t="shared" si="5"/>
        <v>30.7274478141821+2292.03099050993i</v>
      </c>
      <c r="I25" s="6" t="str">
        <f t="shared" si="5"/>
        <v>55.5162196048875+3033.11634148954i</v>
      </c>
      <c r="J25" s="6" t="str">
        <f t="shared" si="5"/>
        <v>106.454339119064+4159.02613701596i</v>
      </c>
      <c r="K25" s="6" t="str">
        <f t="shared" si="5"/>
        <v>250.461773990044+6122.28225516479i</v>
      </c>
      <c r="L25" s="6" t="str">
        <f t="shared" si="5"/>
        <v>812.967214729522+10515.9388042996i</v>
      </c>
      <c r="M25" s="6" t="str">
        <f t="shared" si="5"/>
        <v>7174.58777625022+28663.6147780468i</v>
      </c>
      <c r="N25" s="6" t="str">
        <f t="shared" si="5"/>
        <v>13727.160288518-35318.0975351576i</v>
      </c>
      <c r="O25" s="6" t="str">
        <f t="shared" si="5"/>
        <v>1850.05293587909-12652.6345090357i</v>
      </c>
      <c r="P25" s="6" t="str">
        <f t="shared" si="5"/>
        <v>835.626181043593-7778.01678444177i</v>
      </c>
      <c r="Q25" s="6" t="str">
        <f t="shared" si="5"/>
        <v>543.786822580826-5688.5583354627i</v>
      </c>
      <c r="R25" s="6" t="str">
        <f t="shared" si="5"/>
        <v>418.218892238974-4532.84041055361i</v>
      </c>
      <c r="S25" s="6" t="str">
        <f t="shared" si="5"/>
        <v>358.009473264171-3794.0598568783i</v>
      </c>
      <c r="T25" s="6" t="str">
        <f t="shared" si="5"/>
        <v>321.517982153588-3284.41467947238i</v>
      </c>
      <c r="U25" s="6" t="str">
        <f t="shared" si="5"/>
        <v>294.530174447619-2915.69356781048i</v>
      </c>
      <c r="V25" s="6" t="str">
        <f t="shared" si="5"/>
        <v>277.717853492583-2631.83886810024i</v>
      </c>
      <c r="W25" s="6" t="str">
        <f t="shared" si="5"/>
        <v>262.520564010732-2407.88916248225i</v>
      </c>
      <c r="X25" s="6" t="str">
        <f t="shared" si="5"/>
        <v>246.848131113456-2228.03445567848i</v>
      </c>
      <c r="Y25" s="6" t="str">
        <f t="shared" si="5"/>
        <v>232.487412580029-2078.4396735498i</v>
      </c>
      <c r="Z25" s="6" t="str">
        <f t="shared" si="5"/>
        <v>219.097709781144-1951.39720652949i</v>
      </c>
      <c r="AA25" s="6" t="str">
        <f t="shared" si="5"/>
        <v>206.371453100622-1841.99481239721i</v>
      </c>
      <c r="AB25" s="6" t="str">
        <f t="shared" si="5"/>
        <v>194.483463160509-1746.3110195942i</v>
      </c>
      <c r="AC25" s="6" t="str">
        <f t="shared" si="5"/>
        <v>183.270092499476-1661.5739106344i</v>
      </c>
      <c r="AD25" s="6" t="str">
        <f t="shared" si="5"/>
        <v>172.30788943612-1585.9593154501i</v>
      </c>
      <c r="AE25" s="6" t="str">
        <f t="shared" si="5"/>
        <v>161.674876705939-1517.95721692857i</v>
      </c>
    </row>
    <row r="26" spans="1:31" x14ac:dyDescent="0.2">
      <c r="A26" t="s">
        <v>8</v>
      </c>
      <c r="B26" s="5">
        <f t="shared" ref="B26:AE26" si="6">IMREAL(B25)</f>
        <v>1.20582384332653</v>
      </c>
      <c r="C26" s="5">
        <f t="shared" si="6"/>
        <v>3.05382771330587</v>
      </c>
      <c r="D26" s="5">
        <f t="shared" si="6"/>
        <v>4.9950875674342896</v>
      </c>
      <c r="E26" s="5">
        <f t="shared" si="6"/>
        <v>7.7917627792803499</v>
      </c>
      <c r="F26" s="5">
        <f t="shared" si="6"/>
        <v>12.2181404677121</v>
      </c>
      <c r="G26" s="5">
        <f t="shared" si="6"/>
        <v>19.142127188487599</v>
      </c>
      <c r="H26" s="5">
        <f t="shared" si="6"/>
        <v>30.727447814182099</v>
      </c>
      <c r="I26" s="5">
        <f t="shared" si="6"/>
        <v>55.516219604887503</v>
      </c>
      <c r="J26" s="5">
        <f t="shared" si="6"/>
        <v>106.454339119064</v>
      </c>
      <c r="K26" s="5">
        <f t="shared" si="6"/>
        <v>250.46177399004401</v>
      </c>
      <c r="L26" s="5">
        <f t="shared" si="6"/>
        <v>812.96721472952197</v>
      </c>
      <c r="M26" s="5">
        <f t="shared" si="6"/>
        <v>7174.5877762502196</v>
      </c>
      <c r="N26" s="5">
        <f t="shared" si="6"/>
        <v>13727.160288518</v>
      </c>
      <c r="O26" s="5">
        <f t="shared" si="6"/>
        <v>1850.05293587909</v>
      </c>
      <c r="P26" s="5">
        <f t="shared" si="6"/>
        <v>835.62618104359296</v>
      </c>
      <c r="Q26" s="5">
        <f t="shared" si="6"/>
        <v>543.78682258082597</v>
      </c>
      <c r="R26" s="5">
        <f t="shared" si="6"/>
        <v>418.21889223897398</v>
      </c>
      <c r="S26" s="5">
        <f t="shared" si="6"/>
        <v>358.00947326417099</v>
      </c>
      <c r="T26" s="5">
        <f t="shared" si="6"/>
        <v>321.51798215358798</v>
      </c>
      <c r="U26" s="5">
        <f t="shared" si="6"/>
        <v>294.530174447619</v>
      </c>
      <c r="V26" s="5">
        <f t="shared" si="6"/>
        <v>277.717853492583</v>
      </c>
      <c r="W26" s="5">
        <f t="shared" si="6"/>
        <v>262.52056401073202</v>
      </c>
      <c r="X26" s="5">
        <f t="shared" si="6"/>
        <v>246.84813111345599</v>
      </c>
      <c r="Y26" s="5">
        <f t="shared" si="6"/>
        <v>232.487412580029</v>
      </c>
      <c r="Z26" s="5">
        <f t="shared" si="6"/>
        <v>219.097709781144</v>
      </c>
      <c r="AA26" s="5">
        <f t="shared" si="6"/>
        <v>206.37145310062201</v>
      </c>
      <c r="AB26" s="5">
        <f t="shared" si="6"/>
        <v>194.48346316050899</v>
      </c>
      <c r="AC26" s="5">
        <f t="shared" si="6"/>
        <v>183.27009249947599</v>
      </c>
      <c r="AD26" s="5">
        <f t="shared" si="6"/>
        <v>172.30788943612001</v>
      </c>
      <c r="AE26" s="5">
        <f t="shared" si="6"/>
        <v>161.674876705939</v>
      </c>
    </row>
    <row r="27" spans="1:31" x14ac:dyDescent="0.2">
      <c r="A27" t="s">
        <v>9</v>
      </c>
      <c r="B27" s="5">
        <f t="shared" ref="B27:AE27" si="7">IMAGINARY(B25)</f>
        <v>229.28280569568599</v>
      </c>
      <c r="C27" s="5">
        <f t="shared" si="7"/>
        <v>466.510024688123</v>
      </c>
      <c r="D27" s="5">
        <f t="shared" si="7"/>
        <v>722.21440634114401</v>
      </c>
      <c r="E27" s="5">
        <f t="shared" si="7"/>
        <v>1009.14445765008</v>
      </c>
      <c r="F27" s="5">
        <f t="shared" si="7"/>
        <v>1345.0851950879701</v>
      </c>
      <c r="G27" s="5">
        <f t="shared" si="7"/>
        <v>1757.2216790664299</v>
      </c>
      <c r="H27" s="5">
        <f t="shared" si="7"/>
        <v>2292.0309905099298</v>
      </c>
      <c r="I27" s="5">
        <f t="shared" si="7"/>
        <v>3033.11634148954</v>
      </c>
      <c r="J27" s="5">
        <f t="shared" si="7"/>
        <v>4159.0261370159596</v>
      </c>
      <c r="K27" s="5">
        <f t="shared" si="7"/>
        <v>6122.2822551647896</v>
      </c>
      <c r="L27" s="5">
        <f t="shared" si="7"/>
        <v>10515.9388042996</v>
      </c>
      <c r="M27" s="5">
        <f t="shared" si="7"/>
        <v>28663.614778046802</v>
      </c>
      <c r="N27" s="5">
        <f t="shared" si="7"/>
        <v>-35318.097535157598</v>
      </c>
      <c r="O27" s="5">
        <f t="shared" si="7"/>
        <v>-12652.634509035701</v>
      </c>
      <c r="P27" s="5">
        <f t="shared" si="7"/>
        <v>-7778.0167844417701</v>
      </c>
      <c r="Q27" s="5">
        <f t="shared" si="7"/>
        <v>-5688.5583354626997</v>
      </c>
      <c r="R27" s="5">
        <f t="shared" si="7"/>
        <v>-4532.8404105536101</v>
      </c>
      <c r="S27" s="5">
        <f t="shared" si="7"/>
        <v>-3794.0598568782998</v>
      </c>
      <c r="T27" s="5">
        <f t="shared" si="7"/>
        <v>-3284.4146794723802</v>
      </c>
      <c r="U27" s="5">
        <f t="shared" si="7"/>
        <v>-2915.6935678104801</v>
      </c>
      <c r="V27" s="5">
        <f t="shared" si="7"/>
        <v>-2631.8388681002398</v>
      </c>
      <c r="W27" s="5">
        <f t="shared" si="7"/>
        <v>-2407.88916248225</v>
      </c>
      <c r="X27" s="5">
        <f t="shared" si="7"/>
        <v>-2228.0344556784798</v>
      </c>
      <c r="Y27" s="5">
        <f t="shared" si="7"/>
        <v>-2078.4396735497999</v>
      </c>
      <c r="Z27" s="5">
        <f t="shared" si="7"/>
        <v>-1951.3972065294899</v>
      </c>
      <c r="AA27" s="5">
        <f t="shared" si="7"/>
        <v>-1841.9948123972099</v>
      </c>
      <c r="AB27" s="5">
        <f t="shared" si="7"/>
        <v>-1746.3110195941999</v>
      </c>
      <c r="AC27" s="5">
        <f t="shared" si="7"/>
        <v>-1661.5739106343999</v>
      </c>
      <c r="AD27" s="5">
        <f t="shared" si="7"/>
        <v>-1585.9593154500999</v>
      </c>
      <c r="AE27" s="5">
        <f t="shared" si="7"/>
        <v>-1517.95721692857</v>
      </c>
    </row>
    <row r="28" spans="1:31" x14ac:dyDescent="0.2">
      <c r="A28" t="s">
        <v>17</v>
      </c>
      <c r="B28" s="5">
        <f t="shared" ref="B28:AE28" si="8">IMABS(B25)</f>
        <v>229.28597645479067</v>
      </c>
      <c r="C28" s="5">
        <f t="shared" si="8"/>
        <v>466.5200199329239</v>
      </c>
      <c r="D28" s="5">
        <f t="shared" si="8"/>
        <v>722.2316800213747</v>
      </c>
      <c r="E28" s="5">
        <f t="shared" si="8"/>
        <v>1009.1745379135775</v>
      </c>
      <c r="F28" s="5">
        <f t="shared" si="8"/>
        <v>1345.1406859512247</v>
      </c>
      <c r="G28" s="5">
        <f t="shared" si="8"/>
        <v>1757.3259374442589</v>
      </c>
      <c r="H28" s="5">
        <f t="shared" si="8"/>
        <v>2292.236950558799</v>
      </c>
      <c r="I28" s="5">
        <f t="shared" si="8"/>
        <v>3033.6243656145216</v>
      </c>
      <c r="J28" s="5">
        <f t="shared" si="8"/>
        <v>4160.3883153738398</v>
      </c>
      <c r="K28" s="5">
        <f t="shared" si="8"/>
        <v>6127.4032927608005</v>
      </c>
      <c r="L28" s="5">
        <f t="shared" si="8"/>
        <v>10547.316465717673</v>
      </c>
      <c r="M28" s="5">
        <f t="shared" si="8"/>
        <v>29547.885235721722</v>
      </c>
      <c r="N28" s="5">
        <f t="shared" si="8"/>
        <v>37891.990487299168</v>
      </c>
      <c r="O28" s="5">
        <f t="shared" si="8"/>
        <v>12787.175445922214</v>
      </c>
      <c r="P28" s="5">
        <f t="shared" si="8"/>
        <v>7822.775480192654</v>
      </c>
      <c r="Q28" s="5">
        <f t="shared" si="8"/>
        <v>5714.490357361251</v>
      </c>
      <c r="R28" s="5">
        <f t="shared" si="8"/>
        <v>4552.0928405924915</v>
      </c>
      <c r="S28" s="5">
        <f t="shared" si="8"/>
        <v>3810.9134050149014</v>
      </c>
      <c r="T28" s="5">
        <f t="shared" si="8"/>
        <v>3300.1141797795076</v>
      </c>
      <c r="U28" s="5">
        <f t="shared" si="8"/>
        <v>2930.5318638485319</v>
      </c>
      <c r="V28" s="5">
        <f t="shared" si="8"/>
        <v>2646.4510261464652</v>
      </c>
      <c r="W28" s="5">
        <f t="shared" si="8"/>
        <v>2422.157564100235</v>
      </c>
      <c r="X28" s="5">
        <f t="shared" si="8"/>
        <v>2241.6671330785725</v>
      </c>
      <c r="Y28" s="5">
        <f t="shared" si="8"/>
        <v>2091.4018919361133</v>
      </c>
      <c r="Z28" s="5">
        <f t="shared" si="8"/>
        <v>1963.6585406028307</v>
      </c>
      <c r="AA28" s="5">
        <f t="shared" si="8"/>
        <v>1853.5193728561603</v>
      </c>
      <c r="AB28" s="5">
        <f t="shared" si="8"/>
        <v>1757.1072803329453</v>
      </c>
      <c r="AC28" s="5">
        <f t="shared" si="8"/>
        <v>1671.6506175949744</v>
      </c>
      <c r="AD28" s="5">
        <f t="shared" si="8"/>
        <v>1595.2921234134144</v>
      </c>
      <c r="AE28" s="5">
        <f t="shared" si="8"/>
        <v>1526.5427862275628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 xr:uid="{00000000-0004-0000-0400-000000000000}"/>
  </hyperlinks>
  <pageMargins left="0.75" right="0.75" top="1" bottom="1" header="0.5" footer="0.5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E35"/>
  <sheetViews>
    <sheetView tabSelected="1" workbookViewId="0">
      <selection activeCell="B33" sqref="B33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v>340</v>
      </c>
    </row>
    <row r="8" spans="1:2" x14ac:dyDescent="0.2">
      <c r="A8" t="s">
        <v>7</v>
      </c>
      <c r="B8" s="3">
        <v>10</v>
      </c>
    </row>
    <row r="9" spans="1:2" x14ac:dyDescent="0.2">
      <c r="A9" t="s">
        <v>10</v>
      </c>
      <c r="B9" s="3">
        <v>4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2.1362830044410595E-4</v>
      </c>
    </row>
    <row r="18" spans="1:31" x14ac:dyDescent="0.2">
      <c r="A18" t="s">
        <v>4</v>
      </c>
      <c r="B18" s="10">
        <v>1</v>
      </c>
      <c r="C18" s="10">
        <f t="shared" ref="C18:AE18" si="0">B18+1</f>
        <v>2</v>
      </c>
      <c r="D18" s="10">
        <f t="shared" si="0"/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csinterpolate(CSTableU2,'FT240-61x2 12t'!B18*1000000)</f>
        <v>0.62</v>
      </c>
      <c r="C19" s="7">
        <f>csinterpolate(CSTableU2,'FT240-61x2 12t'!C18*1000000)</f>
        <v>0.75819431100099222</v>
      </c>
      <c r="D19" s="7">
        <f>csinterpolate(CSTableU2,'FT240-61x2 12t'!D18*1000000)</f>
        <v>0.77887091186070234</v>
      </c>
      <c r="E19" s="7">
        <f>csinterpolate(CSTableU2,'FT240-61x2 12t'!E18*1000000)</f>
        <v>0.83511143762440576</v>
      </c>
      <c r="F19" s="7">
        <f>csinterpolate(CSTableU2,'FT240-61x2 12t'!F18*1000000)</f>
        <v>0.93</v>
      </c>
      <c r="G19" s="7">
        <f>csinterpolate(CSTableU2,'FT240-61x2 12t'!G18*1000000)</f>
        <v>1.036969921462761</v>
      </c>
      <c r="H19" s="7">
        <f>csinterpolate(CSTableU2,'FT240-61x2 12t'!H18*1000000)</f>
        <v>1.1594707528103099</v>
      </c>
      <c r="I19" s="7">
        <f>csinterpolate(CSTableU2,'FT240-61x2 12t'!I18*1000000)</f>
        <v>1.3926436921793786</v>
      </c>
      <c r="J19" s="7">
        <f>csinterpolate(CSTableU2,'FT240-61x2 12t'!J18*1000000)</f>
        <v>1.6331035608136657</v>
      </c>
      <c r="K19" s="7">
        <f>csinterpolate(CSTableU2,'FT240-61x2 12t'!K18*1000000)</f>
        <v>2.02</v>
      </c>
      <c r="L19" s="7">
        <f>csinterpolate(CSTableU2,'FT240-61x2 12t'!L18*1000000)</f>
        <v>2.5096010234877921</v>
      </c>
      <c r="M19" s="7">
        <f>csinterpolate(CSTableU2,'FT240-61x2 12t'!M18*1000000)</f>
        <v>3.1827756414461343</v>
      </c>
      <c r="N19" s="7">
        <f>csinterpolate(CSTableU2,'FT240-61x2 12t'!N18*1000000)</f>
        <v>4.1862588520627675</v>
      </c>
      <c r="O19" s="7">
        <f>csinterpolate(CSTableU2,'FT240-61x2 12t'!O18*1000000)</f>
        <v>5.5699800869711646</v>
      </c>
      <c r="P19" s="7">
        <f>csinterpolate(CSTableU2,'FT240-61x2 12t'!P18*1000000)</f>
        <v>7.5596708892868953</v>
      </c>
      <c r="Q19" s="7">
        <f>csinterpolate(CSTableU2,'FT240-61x2 12t'!Q18*1000000)</f>
        <v>10.364762073298381</v>
      </c>
      <c r="R19" s="7">
        <f>csinterpolate(CSTableU2,'FT240-61x2 12t'!R18*1000000)</f>
        <v>14.071540778907028</v>
      </c>
      <c r="S19" s="7">
        <f>csinterpolate(CSTableU2,'FT240-61x2 12t'!S18*1000000)</f>
        <v>19.176551161213411</v>
      </c>
      <c r="T19" s="7">
        <f>csinterpolate(CSTableU2,'FT240-61x2 12t'!T18*1000000)</f>
        <v>25.391368669797036</v>
      </c>
      <c r="U19" s="7">
        <f>csinterpolate(CSTableU2,'FT240-61x2 12t'!U18*1000000)</f>
        <v>32.089654518261241</v>
      </c>
      <c r="V19" s="7">
        <f>csinterpolate(CSTableU2,'FT240-61x2 12t'!V18*1000000)</f>
        <v>39.794608051729639</v>
      </c>
      <c r="W19" s="7">
        <f>csinterpolate(CSTableU2,'FT240-61x2 12t'!W18*1000000)</f>
        <v>47.421943915918163</v>
      </c>
      <c r="X19" s="7">
        <f>csinterpolate(CSTableU2,'FT240-61x2 12t'!X18*1000000)</f>
        <v>54.059097865518069</v>
      </c>
      <c r="Y19" s="7">
        <f>csinterpolate(CSTableU2,'FT240-61x2 12t'!Y18*1000000)</f>
        <v>59.964781915008828</v>
      </c>
      <c r="Z19" s="7">
        <f>csinterpolate(CSTableU2,'FT240-61x2 12t'!Z18*1000000)</f>
        <v>65.050788171679642</v>
      </c>
      <c r="AA19" s="7">
        <f>csinterpolate(CSTableU2,'FT240-61x2 12t'!AA18*1000000)</f>
        <v>69.197236673813947</v>
      </c>
      <c r="AB19" s="7">
        <f>csinterpolate(CSTableU2,'FT240-61x2 12t'!AB18*1000000)</f>
        <v>72.536485290986661</v>
      </c>
      <c r="AC19" s="7">
        <f>csinterpolate(CSTableU2,'FT240-61x2 12t'!AC18*1000000)</f>
        <v>75.170528211419636</v>
      </c>
      <c r="AD19" s="7">
        <f>csinterpolate(CSTableU2,'FT240-61x2 12t'!AD18*1000000)</f>
        <v>77.095025191458149</v>
      </c>
      <c r="AE19" s="7">
        <f>csinterpolate(CSTableU2,'FT240-61x2 12t'!AE18*1000000)</f>
        <v>78.419182905316077</v>
      </c>
    </row>
    <row r="20" spans="1:31" x14ac:dyDescent="0.2">
      <c r="A20" t="s">
        <v>5</v>
      </c>
      <c r="B20" s="7">
        <f>csinterpolate(CSTableU1,'FT240-61x2 12t'!B18*1000000)</f>
        <v>118.57</v>
      </c>
      <c r="C20" s="7">
        <f>csinterpolate(CSTableU1,'FT240-61x2 12t'!C18*1000000)</f>
        <v>118.53968029339639</v>
      </c>
      <c r="D20" s="7">
        <f>csinterpolate(CSTableU1,'FT240-61x2 12t'!D18*1000000)</f>
        <v>118.74548534852252</v>
      </c>
      <c r="E20" s="7">
        <f>csinterpolate(CSTableU1,'FT240-61x2 12t'!E18*1000000)</f>
        <v>119.13224502943993</v>
      </c>
      <c r="F20" s="7">
        <f>csinterpolate(CSTableU1,'FT240-61x2 12t'!F18*1000000)</f>
        <v>119.69</v>
      </c>
      <c r="G20" s="7">
        <f>csinterpolate(CSTableU1,'FT240-61x2 12t'!G18*1000000)</f>
        <v>120.41980665671979</v>
      </c>
      <c r="H20" s="7">
        <f>csinterpolate(CSTableU1,'FT240-61x2 12t'!H18*1000000)</f>
        <v>121.36869399692092</v>
      </c>
      <c r="I20" s="7">
        <f>csinterpolate(CSTableU1,'FT240-61x2 12t'!I18*1000000)</f>
        <v>122.50340698858074</v>
      </c>
      <c r="J20" s="7">
        <f>csinterpolate(CSTableU1,'FT240-61x2 12t'!J18*1000000)</f>
        <v>123.86522642233432</v>
      </c>
      <c r="K20" s="7">
        <f>csinterpolate(CSTableU1,'FT240-61x2 12t'!K18*1000000)</f>
        <v>125.48</v>
      </c>
      <c r="L20" s="7">
        <f>csinterpolate(CSTableU1,'FT240-61x2 12t'!L18*1000000)</f>
        <v>127.40209539131958</v>
      </c>
      <c r="M20" s="7">
        <f>csinterpolate(CSTableU1,'FT240-61x2 12t'!M18*1000000)</f>
        <v>129.52648939190286</v>
      </c>
      <c r="N20" s="7">
        <f>csinterpolate(CSTableU1,'FT240-61x2 12t'!N18*1000000)</f>
        <v>132.29104551836008</v>
      </c>
      <c r="O20" s="7">
        <f>csinterpolate(CSTableU1,'FT240-61x2 12t'!O18*1000000)</f>
        <v>135.12198912144072</v>
      </c>
      <c r="P20" s="7">
        <f>csinterpolate(CSTableU1,'FT240-61x2 12t'!P18*1000000)</f>
        <v>138.34472114290378</v>
      </c>
      <c r="Q20" s="7">
        <f>csinterpolate(CSTableU1,'FT240-61x2 12t'!Q18*1000000)</f>
        <v>141.86529900339437</v>
      </c>
      <c r="R20" s="7">
        <f>csinterpolate(CSTableU1,'FT240-61x2 12t'!R18*1000000)</f>
        <v>145.37170500941278</v>
      </c>
      <c r="S20" s="7">
        <f>csinterpolate(CSTableU1,'FT240-61x2 12t'!S18*1000000)</f>
        <v>148.69565743233508</v>
      </c>
      <c r="T20" s="7">
        <f>csinterpolate(CSTableU1,'FT240-61x2 12t'!T18*1000000)</f>
        <v>151.32572567542223</v>
      </c>
      <c r="U20" s="7">
        <f>csinterpolate(CSTableU1,'FT240-61x2 12t'!U18*1000000)</f>
        <v>152.65425339002283</v>
      </c>
      <c r="V20" s="7">
        <f>csinterpolate(CSTableU1,'FT240-61x2 12t'!V18*1000000)</f>
        <v>152.55221676355956</v>
      </c>
      <c r="W20" s="7">
        <f>csinterpolate(CSTableU1,'FT240-61x2 12t'!W18*1000000)</f>
        <v>151.01754547328326</v>
      </c>
      <c r="X20" s="7">
        <f>csinterpolate(CSTableU1,'FT240-61x2 12t'!X18*1000000)</f>
        <v>148.20067609090967</v>
      </c>
      <c r="Y20" s="7">
        <f>csinterpolate(CSTableU1,'FT240-61x2 12t'!Y18*1000000)</f>
        <v>144.40610074717381</v>
      </c>
      <c r="Z20" s="7">
        <f>csinterpolate(CSTableU1,'FT240-61x2 12t'!Z18*1000000)</f>
        <v>139.95141627964244</v>
      </c>
      <c r="AA20" s="7">
        <f>csinterpolate(CSTableU1,'FT240-61x2 12t'!AA18*1000000)</f>
        <v>135.11398557250098</v>
      </c>
      <c r="AB20" s="7">
        <f>csinterpolate(CSTableU1,'FT240-61x2 12t'!AB18*1000000)</f>
        <v>130.0795700595983</v>
      </c>
      <c r="AC20" s="7">
        <f>csinterpolate(CSTableU1,'FT240-61x2 12t'!AC18*1000000)</f>
        <v>125.05991362921905</v>
      </c>
      <c r="AD20" s="7">
        <f>csinterpolate(CSTableU1,'FT240-61x2 12t'!AD18*1000000)</f>
        <v>120.32684003060784</v>
      </c>
      <c r="AE20" s="7">
        <f>csinterpolate(CSTableU1,'FT240-61x2 12t'!AE18*1000000)</f>
        <v>115.96025934130439</v>
      </c>
    </row>
    <row r="21" spans="1:31" x14ac:dyDescent="0.2">
      <c r="A21" t="s">
        <v>12</v>
      </c>
      <c r="B21" s="5">
        <f t="shared" ref="B21:AE21" si="1">B19/$B$13*$B$16*B18*1000000</f>
        <v>1.0595963702027655</v>
      </c>
      <c r="C21" s="5">
        <f t="shared" si="1"/>
        <v>2.59154819304851</v>
      </c>
      <c r="D21" s="5">
        <f t="shared" si="1"/>
        <v>3.9933328599876696</v>
      </c>
      <c r="E21" s="5">
        <f t="shared" si="1"/>
        <v>5.7089099872363454</v>
      </c>
      <c r="F21" s="5">
        <f t="shared" si="1"/>
        <v>7.9469727765207416</v>
      </c>
      <c r="G21" s="5">
        <f t="shared" si="1"/>
        <v>10.633253852819887</v>
      </c>
      <c r="H21" s="5">
        <f t="shared" si="1"/>
        <v>13.870962914900817</v>
      </c>
      <c r="I21" s="5">
        <f t="shared" si="1"/>
        <v>19.040518725407058</v>
      </c>
      <c r="J21" s="5">
        <f t="shared" si="1"/>
        <v>25.119153946500553</v>
      </c>
      <c r="K21" s="5">
        <f t="shared" si="1"/>
        <v>34.522333351767521</v>
      </c>
      <c r="L21" s="5">
        <f t="shared" si="1"/>
        <v>47.178718526762758</v>
      </c>
      <c r="M21" s="5">
        <f t="shared" si="1"/>
        <v>65.273371293795535</v>
      </c>
      <c r="N21" s="5">
        <f t="shared" si="1"/>
        <v>93.007549833667355</v>
      </c>
      <c r="O21" s="5">
        <f t="shared" si="1"/>
        <v>133.26940250256229</v>
      </c>
      <c r="P21" s="5">
        <f t="shared" si="1"/>
        <v>193.79515727941708</v>
      </c>
      <c r="Q21" s="5">
        <f t="shared" si="1"/>
        <v>283.41843279696144</v>
      </c>
      <c r="R21" s="5">
        <f t="shared" si="1"/>
        <v>408.82679040698616</v>
      </c>
      <c r="S21" s="5">
        <f t="shared" si="1"/>
        <v>589.91818074472326</v>
      </c>
      <c r="T21" s="5">
        <f t="shared" si="1"/>
        <v>824.49587010152584</v>
      </c>
      <c r="U21" s="5">
        <f t="shared" si="1"/>
        <v>1096.8413370519479</v>
      </c>
      <c r="V21" s="5">
        <f t="shared" si="1"/>
        <v>1428.2107534682966</v>
      </c>
      <c r="W21" s="5">
        <f t="shared" si="1"/>
        <v>1782.9977937223421</v>
      </c>
      <c r="X21" s="5">
        <f t="shared" si="1"/>
        <v>2124.9337889016088</v>
      </c>
      <c r="Y21" s="5">
        <f t="shared" si="1"/>
        <v>2459.5534938249211</v>
      </c>
      <c r="Z21" s="5">
        <f t="shared" si="1"/>
        <v>2779.3378639330945</v>
      </c>
      <c r="AA21" s="5">
        <f t="shared" si="1"/>
        <v>3074.7575177395302</v>
      </c>
      <c r="AB21" s="5">
        <f t="shared" si="1"/>
        <v>3347.1027517469124</v>
      </c>
      <c r="AC21" s="5">
        <f t="shared" si="1"/>
        <v>3597.11568950525</v>
      </c>
      <c r="AD21" s="5">
        <f t="shared" si="1"/>
        <v>3820.9655754084429</v>
      </c>
      <c r="AE21" s="5">
        <f t="shared" si="1"/>
        <v>4020.6136239067587</v>
      </c>
    </row>
    <row r="22" spans="1:31" x14ac:dyDescent="0.2">
      <c r="A22" t="s">
        <v>13</v>
      </c>
      <c r="B22" s="5">
        <f t="shared" ref="B22:AE22" si="2">B20/$B$13*$B$16*B18*1000000</f>
        <v>202.63926066926115</v>
      </c>
      <c r="C22" s="5">
        <f t="shared" si="2"/>
        <v>405.17488698025517</v>
      </c>
      <c r="D22" s="5">
        <f t="shared" si="2"/>
        <v>608.81750928996837</v>
      </c>
      <c r="E22" s="5">
        <f t="shared" si="2"/>
        <v>814.40060907936129</v>
      </c>
      <c r="F22" s="5">
        <f t="shared" si="2"/>
        <v>1022.7668512062015</v>
      </c>
      <c r="G22" s="5">
        <f t="shared" si="2"/>
        <v>1234.8037745223783</v>
      </c>
      <c r="H22" s="5">
        <f t="shared" si="2"/>
        <v>1451.956118238247</v>
      </c>
      <c r="I22" s="5">
        <f t="shared" si="2"/>
        <v>1674.8924565493194</v>
      </c>
      <c r="J22" s="5">
        <f t="shared" si="2"/>
        <v>1905.2004819403905</v>
      </c>
      <c r="K22" s="5">
        <f t="shared" si="2"/>
        <v>2144.4863311781132</v>
      </c>
      <c r="L22" s="5">
        <f t="shared" si="2"/>
        <v>2395.0689938089608</v>
      </c>
      <c r="M22" s="5">
        <f t="shared" si="2"/>
        <v>2656.3702839632379</v>
      </c>
      <c r="N22" s="5">
        <f t="shared" si="2"/>
        <v>2939.1555666783565</v>
      </c>
      <c r="O22" s="5">
        <f t="shared" si="2"/>
        <v>3232.9786595277196</v>
      </c>
      <c r="P22" s="5">
        <f t="shared" si="2"/>
        <v>3546.5217183806767</v>
      </c>
      <c r="Q22" s="5">
        <f t="shared" si="2"/>
        <v>3879.2246679155273</v>
      </c>
      <c r="R22" s="5">
        <f t="shared" si="2"/>
        <v>4223.5493972398972</v>
      </c>
      <c r="S22" s="5">
        <f t="shared" si="2"/>
        <v>4574.2464836191784</v>
      </c>
      <c r="T22" s="5">
        <f t="shared" si="2"/>
        <v>4913.7735536057417</v>
      </c>
      <c r="U22" s="5">
        <f t="shared" si="2"/>
        <v>5217.8029931639167</v>
      </c>
      <c r="V22" s="5">
        <f t="shared" si="2"/>
        <v>5475.0310937582526</v>
      </c>
      <c r="W22" s="5">
        <f t="shared" si="2"/>
        <v>5678.0453974988468</v>
      </c>
      <c r="X22" s="5">
        <f t="shared" si="2"/>
        <v>5825.4139746662004</v>
      </c>
      <c r="Y22" s="5">
        <f t="shared" si="2"/>
        <v>5923.0521362647823</v>
      </c>
      <c r="Z22" s="5">
        <f t="shared" si="2"/>
        <v>5979.5166409131189</v>
      </c>
      <c r="AA22" s="5">
        <f t="shared" si="2"/>
        <v>6003.7475896492297</v>
      </c>
      <c r="AB22" s="5">
        <f t="shared" si="2"/>
        <v>6002.3543344557111</v>
      </c>
      <c r="AC22" s="5">
        <f t="shared" si="2"/>
        <v>5984.4594437144715</v>
      </c>
      <c r="AD22" s="5">
        <f t="shared" si="2"/>
        <v>5963.6106533832672</v>
      </c>
      <c r="AE22" s="5">
        <f t="shared" si="2"/>
        <v>5945.374349313749</v>
      </c>
    </row>
    <row r="23" spans="1:31" x14ac:dyDescent="0.2">
      <c r="A23" t="s">
        <v>14</v>
      </c>
      <c r="B23" s="5" t="str">
        <f t="shared" ref="B23:AE23" si="3">IMDIV(1,COMPLEX(B21,B22))</f>
        <v>0.0000258036654750886-0.00493474292803425i</v>
      </c>
      <c r="C23" s="5" t="str">
        <f t="shared" si="3"/>
        <v>0.000015785432424327-0.00246796907563487i</v>
      </c>
      <c r="D23" s="5" t="str">
        <f t="shared" si="3"/>
        <v>0.0000107731463513521-0.00164245765600084i</v>
      </c>
      <c r="E23" s="5" t="str">
        <f t="shared" si="3"/>
        <v>8.60707674669523E-06-0.00122783658536797i</v>
      </c>
      <c r="F23" s="5" t="str">
        <f t="shared" si="3"/>
        <v>7.59665176509762E-06-0.000977680913725304i</v>
      </c>
      <c r="G23" s="5" t="str">
        <f t="shared" si="3"/>
        <v>6.97329570168719E-06-0.000809785224023455i</v>
      </c>
      <c r="H23" s="5" t="str">
        <f t="shared" si="3"/>
        <v>6.57900163262727E-06-0.000688663197428852i</v>
      </c>
      <c r="I23" s="5" t="str">
        <f t="shared" si="3"/>
        <v>6.78654604092552E-06-0.000596976108366384i</v>
      </c>
      <c r="J23" s="5" t="str">
        <f t="shared" si="3"/>
        <v>6.91907685509027E-06-0.000524787920284912i</v>
      </c>
      <c r="K23" s="5" t="str">
        <f t="shared" si="3"/>
        <v>7.50483318828291E-06-0.000466191321022643i</v>
      </c>
      <c r="L23" s="5" t="str">
        <f t="shared" si="3"/>
        <v>0.0000082213209021534-0.000417362560827745i</v>
      </c>
      <c r="M23" s="5" t="str">
        <f t="shared" si="3"/>
        <v>9.24478187307481E-06-0.000376226374746669i</v>
      </c>
      <c r="N23" s="5" t="str">
        <f t="shared" si="3"/>
        <v>0.0000107556927633483-0.000339893420646094i</v>
      </c>
      <c r="O23" s="5" t="str">
        <f t="shared" si="3"/>
        <v>0.0000127287990317374-0.00030878757507923i</v>
      </c>
      <c r="P23" s="5" t="str">
        <f t="shared" si="3"/>
        <v>0.0000153618255600062-0.000281126983498281i</v>
      </c>
      <c r="Q23" s="5" t="str">
        <f t="shared" si="3"/>
        <v>0.0000187338135368766-0.000256414767660662i</v>
      </c>
      <c r="R23" s="5" t="str">
        <f t="shared" si="3"/>
        <v>0.0000227056504588905-0.000234569843659512i</v>
      </c>
      <c r="S23" s="5" t="str">
        <f t="shared" si="3"/>
        <v>0.0000277324909647048-0.000215038717940778i</v>
      </c>
      <c r="T23" s="5" t="str">
        <f t="shared" si="3"/>
        <v>0.0000332123692465761-0.000197936784857781i</v>
      </c>
      <c r="U23" s="5" t="str">
        <f t="shared" si="3"/>
        <v>0.0000385824161805272-0.000183541082770767i</v>
      </c>
      <c r="V23" s="5" t="str">
        <f t="shared" si="3"/>
        <v>0.00004460962774574-0.000171010544764343i</v>
      </c>
      <c r="W23" s="5" t="str">
        <f t="shared" si="3"/>
        <v>0.0000503397516852797-0.000160309449834546i</v>
      </c>
      <c r="X23" s="5" t="str">
        <f t="shared" si="3"/>
        <v>0.0000552637202355052-0.000151503096159229i</v>
      </c>
      <c r="Y23" s="5" t="str">
        <f t="shared" si="3"/>
        <v>0.0000597966664345032-0.000144001248094671i</v>
      </c>
      <c r="Z23" s="5" t="str">
        <f t="shared" si="3"/>
        <v>0.0000639231869127288-0.00013752547498632i</v>
      </c>
      <c r="AA23" s="5" t="str">
        <f t="shared" si="3"/>
        <v>0.0000675783969270064-0.000131953051686869i</v>
      </c>
      <c r="AB23" s="5" t="str">
        <f t="shared" si="3"/>
        <v>0.0000708661183906321-0.000127084103607533i</v>
      </c>
      <c r="AC23" s="5" t="str">
        <f t="shared" si="3"/>
        <v>0.000073782453920612-0.000122750598329064i</v>
      </c>
      <c r="AD23" s="5" t="str">
        <f t="shared" si="3"/>
        <v>0.0000761688227882279-0.000118881260265472i</v>
      </c>
      <c r="AE23" s="5" t="str">
        <f t="shared" si="3"/>
        <v>0.0000780507531765019-0.000115415453780732i</v>
      </c>
    </row>
    <row r="24" spans="1:31" x14ac:dyDescent="0.2">
      <c r="A24" t="s">
        <v>15</v>
      </c>
      <c r="B24" s="6" t="str">
        <f t="shared" ref="B24:AE24" si="4">COMPLEX(0,2*PI()*B18*1000000*$B$9*0.000000000001)</f>
        <v>0.0000251327412287183i</v>
      </c>
      <c r="C24" s="6" t="str">
        <f t="shared" si="4"/>
        <v>0.0000502654824574367i</v>
      </c>
      <c r="D24" s="6" t="str">
        <f t="shared" si="4"/>
        <v>0.000075398223686155i</v>
      </c>
      <c r="E24" s="6" t="str">
        <f t="shared" si="4"/>
        <v>0.000100530964914873i</v>
      </c>
      <c r="F24" s="6" t="str">
        <f t="shared" si="4"/>
        <v>0.000125663706143592i</v>
      </c>
      <c r="G24" s="6" t="str">
        <f t="shared" si="4"/>
        <v>0.00015079644737231i</v>
      </c>
      <c r="H24" s="6" t="str">
        <f t="shared" si="4"/>
        <v>0.000175929188601028i</v>
      </c>
      <c r="I24" s="6" t="str">
        <f t="shared" si="4"/>
        <v>0.000201061929829747i</v>
      </c>
      <c r="J24" s="6" t="str">
        <f t="shared" si="4"/>
        <v>0.000226194671058465i</v>
      </c>
      <c r="K24" s="6" t="str">
        <f t="shared" si="4"/>
        <v>0.000251327412287183i</v>
      </c>
      <c r="L24" s="6" t="str">
        <f t="shared" si="4"/>
        <v>0.000276460153515902i</v>
      </c>
      <c r="M24" s="6" t="str">
        <f t="shared" si="4"/>
        <v>0.00030159289474462i</v>
      </c>
      <c r="N24" s="6" t="str">
        <f t="shared" si="4"/>
        <v>0.000326725635973338i</v>
      </c>
      <c r="O24" s="6" t="str">
        <f t="shared" si="4"/>
        <v>0.000351858377202057i</v>
      </c>
      <c r="P24" s="6" t="str">
        <f t="shared" si="4"/>
        <v>0.000376991118430775i</v>
      </c>
      <c r="Q24" s="6" t="str">
        <f t="shared" si="4"/>
        <v>0.000402123859659493i</v>
      </c>
      <c r="R24" s="6" t="str">
        <f t="shared" si="4"/>
        <v>0.000427256600888212i</v>
      </c>
      <c r="S24" s="6" t="str">
        <f t="shared" si="4"/>
        <v>0.00045238934211693i</v>
      </c>
      <c r="T24" s="6" t="str">
        <f t="shared" si="4"/>
        <v>0.000477522083345648i</v>
      </c>
      <c r="U24" s="6" t="str">
        <f t="shared" si="4"/>
        <v>0.000502654824574367i</v>
      </c>
      <c r="V24" s="6" t="str">
        <f t="shared" si="4"/>
        <v>0.000527787565803085i</v>
      </c>
      <c r="W24" s="6" t="str">
        <f t="shared" si="4"/>
        <v>0.000552920307031803i</v>
      </c>
      <c r="X24" s="6" t="str">
        <f t="shared" si="4"/>
        <v>0.000578053048260522i</v>
      </c>
      <c r="Y24" s="6" t="str">
        <f t="shared" si="4"/>
        <v>0.00060318578948924i</v>
      </c>
      <c r="Z24" s="6" t="str">
        <f t="shared" si="4"/>
        <v>0.000628318530717959i</v>
      </c>
      <c r="AA24" s="6" t="str">
        <f t="shared" si="4"/>
        <v>0.000653451271946677i</v>
      </c>
      <c r="AB24" s="6" t="str">
        <f t="shared" si="4"/>
        <v>0.000678584013175395i</v>
      </c>
      <c r="AC24" s="6" t="str">
        <f t="shared" si="4"/>
        <v>0.000703716754404114i</v>
      </c>
      <c r="AD24" s="6" t="str">
        <f t="shared" si="4"/>
        <v>0.000728849495632832i</v>
      </c>
      <c r="AE24" s="6" t="str">
        <f t="shared" si="4"/>
        <v>0.00075398223686155i</v>
      </c>
    </row>
    <row r="25" spans="1:31" x14ac:dyDescent="0.2">
      <c r="A25" t="s">
        <v>16</v>
      </c>
      <c r="B25" s="6" t="str">
        <f t="shared" ref="B25:AE25" si="5">IMDIV(1,IMSUM(B23,B24))</f>
        <v>1.07047217704759+203.676532320518i</v>
      </c>
      <c r="C25" s="6" t="str">
        <f t="shared" si="5"/>
        <v>2.70042337314863+413.59800079345i</v>
      </c>
      <c r="D25" s="6" t="str">
        <f t="shared" si="5"/>
        <v>4.38683296959807+638.107731835917i</v>
      </c>
      <c r="E25" s="6" t="str">
        <f t="shared" si="5"/>
        <v>6.77246882575845+887.019181576637i</v>
      </c>
      <c r="F25" s="6" t="str">
        <f t="shared" si="5"/>
        <v>10.4638369336852+1173.59191924394i</v>
      </c>
      <c r="G25" s="6" t="str">
        <f t="shared" si="5"/>
        <v>16.0558542929518+1517.30662677066i</v>
      </c>
      <c r="H25" s="6" t="str">
        <f t="shared" si="5"/>
        <v>25.0209761445473+1950.00793733743i</v>
      </c>
      <c r="I25" s="6" t="str">
        <f t="shared" si="5"/>
        <v>43.2831739317444+2525.05798211721i</v>
      </c>
      <c r="J25" s="6" t="str">
        <f t="shared" si="5"/>
        <v>77.5630810056849+3347.24022619624i</v>
      </c>
      <c r="K25" s="6" t="str">
        <f t="shared" si="5"/>
        <v>162.362073458803+4648.43772786562i</v>
      </c>
      <c r="L25" s="6" t="str">
        <f t="shared" si="5"/>
        <v>412.694568752771+7073.03107540265i</v>
      </c>
      <c r="M25" s="6" t="str">
        <f t="shared" si="5"/>
        <v>1634.61796688799+13196.333782416i</v>
      </c>
      <c r="N25" s="6" t="str">
        <f t="shared" si="5"/>
        <v>37207.2123276077+45551.3718161405i</v>
      </c>
      <c r="O25" s="6" t="str">
        <f t="shared" si="5"/>
        <v>6310.39415212389-21352.6615641817i</v>
      </c>
      <c r="P25" s="6" t="str">
        <f t="shared" si="5"/>
        <v>1629.74316953173-10170.2703561514i</v>
      </c>
      <c r="Q25" s="6" t="str">
        <f t="shared" si="5"/>
        <v>868.025708835576-6751.3876775332i</v>
      </c>
      <c r="R25" s="6" t="str">
        <f t="shared" si="5"/>
        <v>603.172126274745-5118.69418905428i</v>
      </c>
      <c r="S25" s="6" t="str">
        <f t="shared" si="5"/>
        <v>485.645347471779-4156.43248554099i</v>
      </c>
      <c r="T25" s="6" t="str">
        <f t="shared" si="5"/>
        <v>418.972499332108-3526.95558736903i</v>
      </c>
      <c r="U25" s="6" t="str">
        <f t="shared" si="5"/>
        <v>373.418515201784-3088.53077233997i</v>
      </c>
      <c r="V25" s="6" t="str">
        <f t="shared" si="5"/>
        <v>345.062465133164-2759.72619821405i</v>
      </c>
      <c r="W25" s="6" t="str">
        <f t="shared" si="5"/>
        <v>321.295601434537-2505.85545756295i</v>
      </c>
      <c r="X25" s="6" t="str">
        <f t="shared" si="5"/>
        <v>298.724523029513-2305.68862260301i</v>
      </c>
      <c r="Y25" s="6" t="str">
        <f t="shared" si="5"/>
        <v>278.868434358233-2141.45840856305i</v>
      </c>
      <c r="Z25" s="6" t="str">
        <f t="shared" si="5"/>
        <v>260.949313354419-2003.53138004741i</v>
      </c>
      <c r="AA25" s="6" t="str">
        <f t="shared" si="5"/>
        <v>244.382428739949-1885.88376531498i</v>
      </c>
      <c r="AB25" s="6" t="str">
        <f t="shared" si="5"/>
        <v>229.211002241455-1783.78398420693i</v>
      </c>
      <c r="AC25" s="6" t="str">
        <f t="shared" si="5"/>
        <v>215.130817939237-1693.94913980387i</v>
      </c>
      <c r="AD25" s="6" t="str">
        <f t="shared" si="5"/>
        <v>201.577914064288-1614.25790802467i</v>
      </c>
      <c r="AE25" s="6" t="str">
        <f t="shared" si="5"/>
        <v>188.592412099863-1542.95564112913i</v>
      </c>
    </row>
    <row r="26" spans="1:31" x14ac:dyDescent="0.2">
      <c r="A26" t="s">
        <v>8</v>
      </c>
      <c r="B26" s="5">
        <f t="shared" ref="B26:AE26" si="6">IMREAL(B25)</f>
        <v>1.07047217704759</v>
      </c>
      <c r="C26" s="5">
        <f t="shared" si="6"/>
        <v>2.70042337314863</v>
      </c>
      <c r="D26" s="5">
        <f t="shared" si="6"/>
        <v>4.3868329695980703</v>
      </c>
      <c r="E26" s="5">
        <f t="shared" si="6"/>
        <v>6.77246882575845</v>
      </c>
      <c r="F26" s="5">
        <f t="shared" si="6"/>
        <v>10.463836933685201</v>
      </c>
      <c r="G26" s="5">
        <f t="shared" si="6"/>
        <v>16.0558542929518</v>
      </c>
      <c r="H26" s="5">
        <f t="shared" si="6"/>
        <v>25.020976144547301</v>
      </c>
      <c r="I26" s="5">
        <f t="shared" si="6"/>
        <v>43.2831739317444</v>
      </c>
      <c r="J26" s="5">
        <f t="shared" si="6"/>
        <v>77.563081005684893</v>
      </c>
      <c r="K26" s="5">
        <f t="shared" si="6"/>
        <v>162.362073458803</v>
      </c>
      <c r="L26" s="5">
        <f t="shared" si="6"/>
        <v>412.69456875277098</v>
      </c>
      <c r="M26" s="5">
        <f t="shared" si="6"/>
        <v>1634.61796688799</v>
      </c>
      <c r="N26" s="5">
        <f t="shared" si="6"/>
        <v>37207.212327607704</v>
      </c>
      <c r="O26" s="5">
        <f t="shared" si="6"/>
        <v>6310.3941521238903</v>
      </c>
      <c r="P26" s="5">
        <f t="shared" si="6"/>
        <v>1629.74316953173</v>
      </c>
      <c r="Q26" s="5">
        <f t="shared" si="6"/>
        <v>868.02570883557598</v>
      </c>
      <c r="R26" s="5">
        <f t="shared" si="6"/>
        <v>603.17212627474498</v>
      </c>
      <c r="S26" s="5">
        <f t="shared" si="6"/>
        <v>485.64534747177902</v>
      </c>
      <c r="T26" s="5">
        <f t="shared" si="6"/>
        <v>418.97249933210799</v>
      </c>
      <c r="U26" s="5">
        <f t="shared" si="6"/>
        <v>373.41851520178398</v>
      </c>
      <c r="V26" s="5">
        <f t="shared" si="6"/>
        <v>345.06246513316398</v>
      </c>
      <c r="W26" s="5">
        <f t="shared" si="6"/>
        <v>321.29560143453699</v>
      </c>
      <c r="X26" s="5">
        <f t="shared" si="6"/>
        <v>298.72452302951302</v>
      </c>
      <c r="Y26" s="5">
        <f t="shared" si="6"/>
        <v>278.868434358233</v>
      </c>
      <c r="Z26" s="5">
        <f t="shared" si="6"/>
        <v>260.94931335441902</v>
      </c>
      <c r="AA26" s="5">
        <f t="shared" si="6"/>
        <v>244.38242873994901</v>
      </c>
      <c r="AB26" s="5">
        <f t="shared" si="6"/>
        <v>229.21100224145499</v>
      </c>
      <c r="AC26" s="5">
        <f t="shared" si="6"/>
        <v>215.13081793923701</v>
      </c>
      <c r="AD26" s="5">
        <f t="shared" si="6"/>
        <v>201.577914064288</v>
      </c>
      <c r="AE26" s="5">
        <f t="shared" si="6"/>
        <v>188.592412099863</v>
      </c>
    </row>
    <row r="27" spans="1:31" x14ac:dyDescent="0.2">
      <c r="A27" t="s">
        <v>9</v>
      </c>
      <c r="B27" s="5">
        <f t="shared" ref="B27:AE27" si="7">IMAGINARY(B25)</f>
        <v>203.67653232051799</v>
      </c>
      <c r="C27" s="5">
        <f t="shared" si="7"/>
        <v>413.59800079345001</v>
      </c>
      <c r="D27" s="5">
        <f t="shared" si="7"/>
        <v>638.10773183591698</v>
      </c>
      <c r="E27" s="5">
        <f t="shared" si="7"/>
        <v>887.01918157663704</v>
      </c>
      <c r="F27" s="5">
        <f t="shared" si="7"/>
        <v>1173.5919192439401</v>
      </c>
      <c r="G27" s="5">
        <f t="shared" si="7"/>
        <v>1517.3066267706599</v>
      </c>
      <c r="H27" s="5">
        <f t="shared" si="7"/>
        <v>1950.0079373374299</v>
      </c>
      <c r="I27" s="5">
        <f t="shared" si="7"/>
        <v>2525.05798211721</v>
      </c>
      <c r="J27" s="5">
        <f t="shared" si="7"/>
        <v>3347.2402261962402</v>
      </c>
      <c r="K27" s="5">
        <f t="shared" si="7"/>
        <v>4648.4377278656202</v>
      </c>
      <c r="L27" s="5">
        <f t="shared" si="7"/>
        <v>7073.0310754026495</v>
      </c>
      <c r="M27" s="5">
        <f t="shared" si="7"/>
        <v>13196.333782416001</v>
      </c>
      <c r="N27" s="5">
        <f t="shared" si="7"/>
        <v>45551.371816140498</v>
      </c>
      <c r="O27" s="5">
        <f t="shared" si="7"/>
        <v>-21352.661564181701</v>
      </c>
      <c r="P27" s="5">
        <f t="shared" si="7"/>
        <v>-10170.270356151401</v>
      </c>
      <c r="Q27" s="5">
        <f t="shared" si="7"/>
        <v>-6751.3876775332001</v>
      </c>
      <c r="R27" s="5">
        <f t="shared" si="7"/>
        <v>-5118.6941890542803</v>
      </c>
      <c r="S27" s="5">
        <f t="shared" si="7"/>
        <v>-4156.4324855409895</v>
      </c>
      <c r="T27" s="5">
        <f t="shared" si="7"/>
        <v>-3526.9555873690301</v>
      </c>
      <c r="U27" s="5">
        <f t="shared" si="7"/>
        <v>-3088.5307723399701</v>
      </c>
      <c r="V27" s="5">
        <f t="shared" si="7"/>
        <v>-2759.7261982140499</v>
      </c>
      <c r="W27" s="5">
        <f t="shared" si="7"/>
        <v>-2505.8554575629501</v>
      </c>
      <c r="X27" s="5">
        <f t="shared" si="7"/>
        <v>-2305.6886226030101</v>
      </c>
      <c r="Y27" s="5">
        <f t="shared" si="7"/>
        <v>-2141.4584085630499</v>
      </c>
      <c r="Z27" s="5">
        <f t="shared" si="7"/>
        <v>-2003.53138004741</v>
      </c>
      <c r="AA27" s="5">
        <f t="shared" si="7"/>
        <v>-1885.8837653149801</v>
      </c>
      <c r="AB27" s="5">
        <f t="shared" si="7"/>
        <v>-1783.78398420693</v>
      </c>
      <c r="AC27" s="5">
        <f t="shared" si="7"/>
        <v>-1693.9491398038699</v>
      </c>
      <c r="AD27" s="5">
        <f t="shared" si="7"/>
        <v>-1614.2579080246701</v>
      </c>
      <c r="AE27" s="5">
        <f t="shared" si="7"/>
        <v>-1542.9556411291301</v>
      </c>
    </row>
    <row r="28" spans="1:31" x14ac:dyDescent="0.2">
      <c r="A28" t="s">
        <v>17</v>
      </c>
      <c r="B28" s="5">
        <f t="shared" ref="B28:AE28" si="8">IMABS(B25)</f>
        <v>203.67934536617315</v>
      </c>
      <c r="C28" s="5">
        <f t="shared" si="8"/>
        <v>413.60681636879838</v>
      </c>
      <c r="D28" s="5">
        <f t="shared" si="8"/>
        <v>638.1228108540563</v>
      </c>
      <c r="E28" s="5">
        <f t="shared" si="8"/>
        <v>887.0450353949808</v>
      </c>
      <c r="F28" s="5">
        <f t="shared" si="8"/>
        <v>1173.6385665093192</v>
      </c>
      <c r="G28" s="5">
        <f t="shared" si="8"/>
        <v>1517.3915744128919</v>
      </c>
      <c r="H28" s="5">
        <f t="shared" si="8"/>
        <v>1950.1684555253692</v>
      </c>
      <c r="I28" s="5">
        <f t="shared" si="8"/>
        <v>2525.4289232127362</v>
      </c>
      <c r="J28" s="5">
        <f t="shared" si="8"/>
        <v>3348.138761073285</v>
      </c>
      <c r="K28" s="5">
        <f t="shared" si="8"/>
        <v>4651.272379977584</v>
      </c>
      <c r="L28" s="5">
        <f t="shared" si="8"/>
        <v>7085.0607196191058</v>
      </c>
      <c r="M28" s="5">
        <f t="shared" si="8"/>
        <v>13297.187717506542</v>
      </c>
      <c r="N28" s="5">
        <f t="shared" si="8"/>
        <v>58815.849254465087</v>
      </c>
      <c r="O28" s="5">
        <f t="shared" si="8"/>
        <v>22265.606441991244</v>
      </c>
      <c r="P28" s="5">
        <f t="shared" si="8"/>
        <v>10300.022423074975</v>
      </c>
      <c r="Q28" s="5">
        <f t="shared" si="8"/>
        <v>6806.959982513973</v>
      </c>
      <c r="R28" s="5">
        <f t="shared" si="8"/>
        <v>5154.1097014880133</v>
      </c>
      <c r="S28" s="5">
        <f t="shared" si="8"/>
        <v>4184.7081631078445</v>
      </c>
      <c r="T28" s="5">
        <f t="shared" si="8"/>
        <v>3551.7536049774358</v>
      </c>
      <c r="U28" s="5">
        <f t="shared" si="8"/>
        <v>3111.0229377467526</v>
      </c>
      <c r="V28" s="5">
        <f t="shared" si="8"/>
        <v>2781.2149852092966</v>
      </c>
      <c r="W28" s="5">
        <f t="shared" si="8"/>
        <v>2526.369418295591</v>
      </c>
      <c r="X28" s="5">
        <f t="shared" si="8"/>
        <v>2324.9594329923643</v>
      </c>
      <c r="Y28" s="5">
        <f t="shared" si="8"/>
        <v>2159.539700789685</v>
      </c>
      <c r="Z28" s="5">
        <f t="shared" si="8"/>
        <v>2020.453546849029</v>
      </c>
      <c r="AA28" s="5">
        <f t="shared" si="8"/>
        <v>1901.6520049040105</v>
      </c>
      <c r="AB28" s="5">
        <f t="shared" si="8"/>
        <v>1798.4501621845632</v>
      </c>
      <c r="AC28" s="5">
        <f t="shared" si="8"/>
        <v>1707.555257398564</v>
      </c>
      <c r="AD28" s="5">
        <f t="shared" si="8"/>
        <v>1626.7950851470796</v>
      </c>
      <c r="AE28" s="5">
        <f t="shared" si="8"/>
        <v>1554.4385508581063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27</v>
      </c>
    </row>
  </sheetData>
  <phoneticPr fontId="0" type="noConversion"/>
  <hyperlinks>
    <hyperlink ref="A4" r:id="rId1" xr:uid="{00000000-0004-0000-0500-000000000000}"/>
  </hyperlinks>
  <pageMargins left="0.75" right="0.75" top="1" bottom="1" header="0.5" footer="0.5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E35"/>
  <sheetViews>
    <sheetView workbookViewId="0">
      <selection activeCell="B9" sqref="B9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28</v>
      </c>
    </row>
    <row r="3" spans="1:2" x14ac:dyDescent="0.2">
      <c r="A3" s="8" t="s">
        <v>30</v>
      </c>
    </row>
    <row r="4" spans="1:2" x14ac:dyDescent="0.2">
      <c r="A4" s="12" t="s">
        <v>29</v>
      </c>
    </row>
    <row r="6" spans="1:2" x14ac:dyDescent="0.2">
      <c r="A6" s="8" t="s">
        <v>18</v>
      </c>
    </row>
    <row r="7" spans="1:2" x14ac:dyDescent="0.2">
      <c r="A7" t="s">
        <v>3</v>
      </c>
      <c r="B7" s="3">
        <f>170*3</f>
        <v>510</v>
      </c>
    </row>
    <row r="8" spans="1:2" x14ac:dyDescent="0.2">
      <c r="A8" t="s">
        <v>7</v>
      </c>
      <c r="B8" s="3">
        <v>12</v>
      </c>
    </row>
    <row r="9" spans="1:2" x14ac:dyDescent="0.2">
      <c r="A9" t="s">
        <v>10</v>
      </c>
      <c r="B9" s="3">
        <v>25</v>
      </c>
    </row>
    <row r="11" spans="1:2" x14ac:dyDescent="0.2">
      <c r="A11" s="8" t="s">
        <v>19</v>
      </c>
    </row>
    <row r="12" spans="1:2" x14ac:dyDescent="0.2">
      <c r="A12" t="s">
        <v>20</v>
      </c>
      <c r="B12" t="str">
        <f>Mix!B1</f>
        <v>#61</v>
      </c>
    </row>
    <row r="13" spans="1:2" x14ac:dyDescent="0.2">
      <c r="A13" t="s">
        <v>31</v>
      </c>
      <c r="B13">
        <f>Mix!B2</f>
        <v>125</v>
      </c>
    </row>
    <row r="15" spans="1:2" x14ac:dyDescent="0.2">
      <c r="A15" s="8" t="s">
        <v>22</v>
      </c>
    </row>
    <row r="16" spans="1:2" x14ac:dyDescent="0.2">
      <c r="A16" s="2" t="s">
        <v>11</v>
      </c>
      <c r="B16" s="4">
        <f>2*PI()*$B$8^2*$B$7*0.000000001</f>
        <v>4.6143712895926881E-4</v>
      </c>
    </row>
    <row r="18" spans="1:31" x14ac:dyDescent="0.2">
      <c r="A18" t="s">
        <v>4</v>
      </c>
      <c r="B18" s="10">
        <v>1</v>
      </c>
      <c r="C18" s="10">
        <f t="shared" ref="C18:AE18" si="0">B18+1</f>
        <v>2</v>
      </c>
      <c r="D18" s="10">
        <f t="shared" si="0"/>
        <v>3</v>
      </c>
      <c r="E18" s="10">
        <f t="shared" si="0"/>
        <v>4</v>
      </c>
      <c r="F18" s="10">
        <f t="shared" si="0"/>
        <v>5</v>
      </c>
      <c r="G18" s="10">
        <f t="shared" si="0"/>
        <v>6</v>
      </c>
      <c r="H18" s="10">
        <f t="shared" si="0"/>
        <v>7</v>
      </c>
      <c r="I18" s="10">
        <f t="shared" si="0"/>
        <v>8</v>
      </c>
      <c r="J18" s="10">
        <f t="shared" si="0"/>
        <v>9</v>
      </c>
      <c r="K18" s="10">
        <f t="shared" si="0"/>
        <v>10</v>
      </c>
      <c r="L18" s="10">
        <f t="shared" si="0"/>
        <v>11</v>
      </c>
      <c r="M18" s="10">
        <f t="shared" si="0"/>
        <v>12</v>
      </c>
      <c r="N18" s="10">
        <f t="shared" si="0"/>
        <v>13</v>
      </c>
      <c r="O18" s="10">
        <f t="shared" si="0"/>
        <v>14</v>
      </c>
      <c r="P18" s="10">
        <f t="shared" si="0"/>
        <v>15</v>
      </c>
      <c r="Q18" s="10">
        <f t="shared" si="0"/>
        <v>16</v>
      </c>
      <c r="R18" s="10">
        <f t="shared" si="0"/>
        <v>17</v>
      </c>
      <c r="S18" s="10">
        <f t="shared" si="0"/>
        <v>18</v>
      </c>
      <c r="T18" s="10">
        <f t="shared" si="0"/>
        <v>19</v>
      </c>
      <c r="U18" s="10">
        <f t="shared" si="0"/>
        <v>20</v>
      </c>
      <c r="V18" s="10">
        <f t="shared" si="0"/>
        <v>21</v>
      </c>
      <c r="W18" s="10">
        <f t="shared" si="0"/>
        <v>22</v>
      </c>
      <c r="X18" s="10">
        <f t="shared" si="0"/>
        <v>23</v>
      </c>
      <c r="Y18" s="10">
        <f t="shared" si="0"/>
        <v>24</v>
      </c>
      <c r="Z18" s="10">
        <f t="shared" si="0"/>
        <v>25</v>
      </c>
      <c r="AA18" s="10">
        <f t="shared" si="0"/>
        <v>26</v>
      </c>
      <c r="AB18" s="10">
        <f t="shared" si="0"/>
        <v>27</v>
      </c>
      <c r="AC18" s="10">
        <f t="shared" si="0"/>
        <v>28</v>
      </c>
      <c r="AD18" s="10">
        <f t="shared" si="0"/>
        <v>29</v>
      </c>
      <c r="AE18" s="10">
        <f t="shared" si="0"/>
        <v>30</v>
      </c>
    </row>
    <row r="19" spans="1:31" x14ac:dyDescent="0.2">
      <c r="A19" t="s">
        <v>6</v>
      </c>
      <c r="B19" s="7">
        <f>csinterpolate(CSTableU2,'FT240-61x3 13t'!B18*1000000)</f>
        <v>0.62</v>
      </c>
      <c r="C19" s="7">
        <f>csinterpolate(CSTableU2,'FT240-61x3 13t'!C18*1000000)</f>
        <v>0.75819431100099222</v>
      </c>
      <c r="D19" s="7">
        <f>csinterpolate(CSTableU2,'FT240-61x3 13t'!D18*1000000)</f>
        <v>0.77887091186070234</v>
      </c>
      <c r="E19" s="7">
        <f>csinterpolate(CSTableU2,'FT240-61x3 13t'!E18*1000000)</f>
        <v>0.83511143762440576</v>
      </c>
      <c r="F19" s="7">
        <f>csinterpolate(CSTableU2,'FT240-61x3 13t'!F18*1000000)</f>
        <v>0.93</v>
      </c>
      <c r="G19" s="7">
        <f>csinterpolate(CSTableU2,'FT240-61x3 13t'!G18*1000000)</f>
        <v>1.036969921462761</v>
      </c>
      <c r="H19" s="7">
        <f>csinterpolate(CSTableU2,'FT240-61x3 13t'!H18*1000000)</f>
        <v>1.1594707528103099</v>
      </c>
      <c r="I19" s="7">
        <f>csinterpolate(CSTableU2,'FT240-61x3 13t'!I18*1000000)</f>
        <v>1.3926436921793786</v>
      </c>
      <c r="J19" s="7">
        <f>csinterpolate(CSTableU2,'FT240-61x3 13t'!J18*1000000)</f>
        <v>1.6331035608136657</v>
      </c>
      <c r="K19" s="7">
        <f>csinterpolate(CSTableU2,'FT240-61x3 13t'!K18*1000000)</f>
        <v>2.02</v>
      </c>
      <c r="L19" s="7">
        <f>csinterpolate(CSTableU2,'FT240-61x3 13t'!L18*1000000)</f>
        <v>2.5096010234877921</v>
      </c>
      <c r="M19" s="7">
        <f>csinterpolate(CSTableU2,'FT240-61x3 13t'!M18*1000000)</f>
        <v>3.1827756414461343</v>
      </c>
      <c r="N19" s="7">
        <f>csinterpolate(CSTableU2,'FT240-61x3 13t'!N18*1000000)</f>
        <v>4.1862588520627675</v>
      </c>
      <c r="O19" s="7">
        <f>csinterpolate(CSTableU2,'FT240-61x3 13t'!O18*1000000)</f>
        <v>5.5699800869711646</v>
      </c>
      <c r="P19" s="7">
        <f>csinterpolate(CSTableU2,'FT240-61x3 13t'!P18*1000000)</f>
        <v>7.5596708892868953</v>
      </c>
      <c r="Q19" s="7">
        <f>csinterpolate(CSTableU2,'FT240-61x3 13t'!Q18*1000000)</f>
        <v>10.364762073298381</v>
      </c>
      <c r="R19" s="7">
        <f>csinterpolate(CSTableU2,'FT240-61x3 13t'!R18*1000000)</f>
        <v>14.071540778907028</v>
      </c>
      <c r="S19" s="7">
        <f>csinterpolate(CSTableU2,'FT240-61x3 13t'!S18*1000000)</f>
        <v>19.176551161213411</v>
      </c>
      <c r="T19" s="7">
        <f>csinterpolate(CSTableU2,'FT240-61x3 13t'!T18*1000000)</f>
        <v>25.391368669797036</v>
      </c>
      <c r="U19" s="7">
        <f>csinterpolate(CSTableU2,'FT240-61x3 13t'!U18*1000000)</f>
        <v>32.089654518261241</v>
      </c>
      <c r="V19" s="7">
        <f>csinterpolate(CSTableU2,'FT240-61x3 13t'!V18*1000000)</f>
        <v>39.794608051729639</v>
      </c>
      <c r="W19" s="7">
        <f>csinterpolate(CSTableU2,'FT240-61x3 13t'!W18*1000000)</f>
        <v>47.421943915918163</v>
      </c>
      <c r="X19" s="7">
        <f>csinterpolate(CSTableU2,'FT240-61x3 13t'!X18*1000000)</f>
        <v>54.059097865518069</v>
      </c>
      <c r="Y19" s="7">
        <f>csinterpolate(CSTableU2,'FT240-61x3 13t'!Y18*1000000)</f>
        <v>59.964781915008828</v>
      </c>
      <c r="Z19" s="7">
        <f>csinterpolate(CSTableU2,'FT240-61x3 13t'!Z18*1000000)</f>
        <v>65.050788171679642</v>
      </c>
      <c r="AA19" s="7">
        <f>csinterpolate(CSTableU2,'FT240-61x3 13t'!AA18*1000000)</f>
        <v>69.197236673813947</v>
      </c>
      <c r="AB19" s="7">
        <f>csinterpolate(CSTableU2,'FT240-61x3 13t'!AB18*1000000)</f>
        <v>72.536485290986661</v>
      </c>
      <c r="AC19" s="7">
        <f>csinterpolate(CSTableU2,'FT240-61x3 13t'!AC18*1000000)</f>
        <v>75.170528211419636</v>
      </c>
      <c r="AD19" s="7">
        <f>csinterpolate(CSTableU2,'FT240-61x3 13t'!AD18*1000000)</f>
        <v>77.095025191458149</v>
      </c>
      <c r="AE19" s="7">
        <f>csinterpolate(CSTableU2,'FT240-61x3 13t'!AE18*1000000)</f>
        <v>78.419182905316077</v>
      </c>
    </row>
    <row r="20" spans="1:31" x14ac:dyDescent="0.2">
      <c r="A20" t="s">
        <v>5</v>
      </c>
      <c r="B20" s="7">
        <f>csinterpolate(CSTableU1,'FT240-61x3 13t'!B18*1000000)</f>
        <v>118.57</v>
      </c>
      <c r="C20" s="7">
        <f>csinterpolate(CSTableU1,'FT240-61x3 13t'!C18*1000000)</f>
        <v>118.53968029339639</v>
      </c>
      <c r="D20" s="7">
        <f>csinterpolate(CSTableU1,'FT240-61x3 13t'!D18*1000000)</f>
        <v>118.74548534852252</v>
      </c>
      <c r="E20" s="7">
        <f>csinterpolate(CSTableU1,'FT240-61x3 13t'!E18*1000000)</f>
        <v>119.13224502943993</v>
      </c>
      <c r="F20" s="7">
        <f>csinterpolate(CSTableU1,'FT240-61x3 13t'!F18*1000000)</f>
        <v>119.69</v>
      </c>
      <c r="G20" s="7">
        <f>csinterpolate(CSTableU1,'FT240-61x3 13t'!G18*1000000)</f>
        <v>120.41980665671979</v>
      </c>
      <c r="H20" s="7">
        <f>csinterpolate(CSTableU1,'FT240-61x3 13t'!H18*1000000)</f>
        <v>121.36869399692092</v>
      </c>
      <c r="I20" s="7">
        <f>csinterpolate(CSTableU1,'FT240-61x3 13t'!I18*1000000)</f>
        <v>122.50340698858074</v>
      </c>
      <c r="J20" s="7">
        <f>csinterpolate(CSTableU1,'FT240-61x3 13t'!J18*1000000)</f>
        <v>123.86522642233432</v>
      </c>
      <c r="K20" s="7">
        <f>csinterpolate(CSTableU1,'FT240-61x3 13t'!K18*1000000)</f>
        <v>125.48</v>
      </c>
      <c r="L20" s="7">
        <f>csinterpolate(CSTableU1,'FT240-61x3 13t'!L18*1000000)</f>
        <v>127.40209539131958</v>
      </c>
      <c r="M20" s="7">
        <f>csinterpolate(CSTableU1,'FT240-61x3 13t'!M18*1000000)</f>
        <v>129.52648939190286</v>
      </c>
      <c r="N20" s="7">
        <f>csinterpolate(CSTableU1,'FT240-61x3 13t'!N18*1000000)</f>
        <v>132.29104551836008</v>
      </c>
      <c r="O20" s="7">
        <f>csinterpolate(CSTableU1,'FT240-61x3 13t'!O18*1000000)</f>
        <v>135.12198912144072</v>
      </c>
      <c r="P20" s="7">
        <f>csinterpolate(CSTableU1,'FT240-61x3 13t'!P18*1000000)</f>
        <v>138.34472114290378</v>
      </c>
      <c r="Q20" s="7">
        <f>csinterpolate(CSTableU1,'FT240-61x3 13t'!Q18*1000000)</f>
        <v>141.86529900339437</v>
      </c>
      <c r="R20" s="7">
        <f>csinterpolate(CSTableU1,'FT240-61x3 13t'!R18*1000000)</f>
        <v>145.37170500941278</v>
      </c>
      <c r="S20" s="7">
        <f>csinterpolate(CSTableU1,'FT240-61x3 13t'!S18*1000000)</f>
        <v>148.69565743233508</v>
      </c>
      <c r="T20" s="7">
        <f>csinterpolate(CSTableU1,'FT240-61x3 13t'!T18*1000000)</f>
        <v>151.32572567542223</v>
      </c>
      <c r="U20" s="7">
        <f>csinterpolate(CSTableU1,'FT240-61x3 13t'!U18*1000000)</f>
        <v>152.65425339002283</v>
      </c>
      <c r="V20" s="7">
        <f>csinterpolate(CSTableU1,'FT240-61x3 13t'!V18*1000000)</f>
        <v>152.55221676355956</v>
      </c>
      <c r="W20" s="7">
        <f>csinterpolate(CSTableU1,'FT240-61x3 13t'!W18*1000000)</f>
        <v>151.01754547328326</v>
      </c>
      <c r="X20" s="7">
        <f>csinterpolate(CSTableU1,'FT240-61x3 13t'!X18*1000000)</f>
        <v>148.20067609090967</v>
      </c>
      <c r="Y20" s="7">
        <f>csinterpolate(CSTableU1,'FT240-61x3 13t'!Y18*1000000)</f>
        <v>144.40610074717381</v>
      </c>
      <c r="Z20" s="7">
        <f>csinterpolate(CSTableU1,'FT240-61x3 13t'!Z18*1000000)</f>
        <v>139.95141627964244</v>
      </c>
      <c r="AA20" s="7">
        <f>csinterpolate(CSTableU1,'FT240-61x3 13t'!AA18*1000000)</f>
        <v>135.11398557250098</v>
      </c>
      <c r="AB20" s="7">
        <f>csinterpolate(CSTableU1,'FT240-61x3 13t'!AB18*1000000)</f>
        <v>130.0795700595983</v>
      </c>
      <c r="AC20" s="7">
        <f>csinterpolate(CSTableU1,'FT240-61x3 13t'!AC18*1000000)</f>
        <v>125.05991362921905</v>
      </c>
      <c r="AD20" s="7">
        <f>csinterpolate(CSTableU1,'FT240-61x3 13t'!AD18*1000000)</f>
        <v>120.32684003060784</v>
      </c>
      <c r="AE20" s="7">
        <f>csinterpolate(CSTableU1,'FT240-61x3 13t'!AE18*1000000)</f>
        <v>115.96025934130439</v>
      </c>
    </row>
    <row r="21" spans="1:31" x14ac:dyDescent="0.2">
      <c r="A21" t="s">
        <v>12</v>
      </c>
      <c r="B21" s="5">
        <f t="shared" ref="B21:AE21" si="1">B19/$B$13*$B$16*B18*1000000</f>
        <v>2.2887281596379734</v>
      </c>
      <c r="C21" s="5">
        <f t="shared" si="1"/>
        <v>5.5977440969847816</v>
      </c>
      <c r="D21" s="5">
        <f t="shared" si="1"/>
        <v>8.6255989775733646</v>
      </c>
      <c r="E21" s="5">
        <f t="shared" si="1"/>
        <v>12.331245572430506</v>
      </c>
      <c r="F21" s="5">
        <f t="shared" si="1"/>
        <v>17.165461197284799</v>
      </c>
      <c r="G21" s="5">
        <f t="shared" si="1"/>
        <v>22.967828322090948</v>
      </c>
      <c r="H21" s="5">
        <f t="shared" si="1"/>
        <v>29.961279896185761</v>
      </c>
      <c r="I21" s="5">
        <f t="shared" si="1"/>
        <v>41.127520446879238</v>
      </c>
      <c r="J21" s="5">
        <f t="shared" si="1"/>
        <v>54.257372524441195</v>
      </c>
      <c r="K21" s="5">
        <f t="shared" si="1"/>
        <v>74.568240039817837</v>
      </c>
      <c r="L21" s="5">
        <f t="shared" si="1"/>
        <v>101.90603201780755</v>
      </c>
      <c r="M21" s="5">
        <f t="shared" si="1"/>
        <v>140.99048199459833</v>
      </c>
      <c r="N21" s="5">
        <f t="shared" si="1"/>
        <v>200.89630764072146</v>
      </c>
      <c r="O21" s="5">
        <f t="shared" si="1"/>
        <v>287.86190940553456</v>
      </c>
      <c r="P21" s="5">
        <f t="shared" si="1"/>
        <v>418.59753972354093</v>
      </c>
      <c r="Q21" s="5">
        <f t="shared" si="1"/>
        <v>612.18381484143663</v>
      </c>
      <c r="R21" s="5">
        <f t="shared" si="1"/>
        <v>883.06586727908996</v>
      </c>
      <c r="S21" s="5">
        <f t="shared" si="1"/>
        <v>1274.2232704086023</v>
      </c>
      <c r="T21" s="5">
        <f t="shared" si="1"/>
        <v>1780.9110794192957</v>
      </c>
      <c r="U21" s="5">
        <f t="shared" si="1"/>
        <v>2369.1772880322069</v>
      </c>
      <c r="V21" s="5">
        <f t="shared" si="1"/>
        <v>3084.93522749152</v>
      </c>
      <c r="W21" s="5">
        <f t="shared" si="1"/>
        <v>3851.2752344402584</v>
      </c>
      <c r="X21" s="5">
        <f t="shared" si="1"/>
        <v>4589.856984027474</v>
      </c>
      <c r="Y21" s="5">
        <f t="shared" si="1"/>
        <v>5312.6355466618279</v>
      </c>
      <c r="Z21" s="5">
        <f t="shared" si="1"/>
        <v>6003.3697860954835</v>
      </c>
      <c r="AA21" s="5">
        <f t="shared" si="1"/>
        <v>6641.4762383173838</v>
      </c>
      <c r="AB21" s="5">
        <f t="shared" si="1"/>
        <v>7229.7419437733288</v>
      </c>
      <c r="AC21" s="5">
        <f t="shared" si="1"/>
        <v>7769.7698893313391</v>
      </c>
      <c r="AD21" s="5">
        <f t="shared" si="1"/>
        <v>8253.2856428822361</v>
      </c>
      <c r="AE21" s="5">
        <f t="shared" si="1"/>
        <v>8684.5254276385986</v>
      </c>
    </row>
    <row r="22" spans="1:31" x14ac:dyDescent="0.2">
      <c r="A22" t="s">
        <v>13</v>
      </c>
      <c r="B22" s="5">
        <f t="shared" ref="B22:AE22" si="2">B20/$B$13*$B$16*B18*1000000</f>
        <v>437.700803045604</v>
      </c>
      <c r="C22" s="5">
        <f t="shared" si="2"/>
        <v>875.17775587735105</v>
      </c>
      <c r="D22" s="5">
        <f t="shared" si="2"/>
        <v>1315.0458200663318</v>
      </c>
      <c r="E22" s="5">
        <f t="shared" si="2"/>
        <v>1759.1053156114203</v>
      </c>
      <c r="F22" s="5">
        <f t="shared" si="2"/>
        <v>2209.1763986053952</v>
      </c>
      <c r="G22" s="5">
        <f t="shared" si="2"/>
        <v>2667.1761529683372</v>
      </c>
      <c r="H22" s="5">
        <f t="shared" si="2"/>
        <v>3136.2252153946129</v>
      </c>
      <c r="I22" s="5">
        <f t="shared" si="2"/>
        <v>3617.7677061465292</v>
      </c>
      <c r="J22" s="5">
        <f t="shared" si="2"/>
        <v>4115.2330409912429</v>
      </c>
      <c r="K22" s="5">
        <f t="shared" si="2"/>
        <v>4632.0904753447239</v>
      </c>
      <c r="L22" s="5">
        <f t="shared" si="2"/>
        <v>5173.3490266273557</v>
      </c>
      <c r="M22" s="5">
        <f t="shared" si="2"/>
        <v>5737.7598133605925</v>
      </c>
      <c r="N22" s="5">
        <f t="shared" si="2"/>
        <v>6348.5760240252503</v>
      </c>
      <c r="O22" s="5">
        <f t="shared" si="2"/>
        <v>6983.2339045798726</v>
      </c>
      <c r="P22" s="5">
        <f t="shared" si="2"/>
        <v>7660.4869117022608</v>
      </c>
      <c r="Q22" s="5">
        <f t="shared" si="2"/>
        <v>8379.1252826975378</v>
      </c>
      <c r="R22" s="5">
        <f t="shared" si="2"/>
        <v>9122.8666980381786</v>
      </c>
      <c r="S22" s="5">
        <f t="shared" si="2"/>
        <v>9880.3724046174229</v>
      </c>
      <c r="T22" s="5">
        <f t="shared" si="2"/>
        <v>10613.750875788402</v>
      </c>
      <c r="U22" s="5">
        <f t="shared" si="2"/>
        <v>11270.454465234059</v>
      </c>
      <c r="V22" s="5">
        <f t="shared" si="2"/>
        <v>11826.067162517824</v>
      </c>
      <c r="W22" s="5">
        <f t="shared" si="2"/>
        <v>12264.578058597508</v>
      </c>
      <c r="X22" s="5">
        <f t="shared" si="2"/>
        <v>12582.89418527899</v>
      </c>
      <c r="Y22" s="5">
        <f t="shared" si="2"/>
        <v>12793.792614331929</v>
      </c>
      <c r="Z22" s="5">
        <f t="shared" si="2"/>
        <v>12915.755944372337</v>
      </c>
      <c r="AA22" s="5">
        <f t="shared" si="2"/>
        <v>12968.094793642334</v>
      </c>
      <c r="AB22" s="5">
        <f t="shared" si="2"/>
        <v>12965.085362424335</v>
      </c>
      <c r="AC22" s="5">
        <f t="shared" si="2"/>
        <v>12926.432398423258</v>
      </c>
      <c r="AD22" s="5">
        <f t="shared" si="2"/>
        <v>12881.399011307858</v>
      </c>
      <c r="AE22" s="5">
        <f t="shared" si="2"/>
        <v>12842.008594517696</v>
      </c>
    </row>
    <row r="23" spans="1:31" x14ac:dyDescent="0.2">
      <c r="A23" t="s">
        <v>14</v>
      </c>
      <c r="B23" s="5" t="str">
        <f t="shared" ref="B23:AE23" si="3">IMDIV(1,COMPLEX(B21,B22))</f>
        <v>0.000011946141423652-0.00228460320742326i</v>
      </c>
      <c r="C23" s="5" t="str">
        <f t="shared" si="3"/>
        <v>7.30807056681806E-06-0.00114257827575689i</v>
      </c>
      <c r="D23" s="5" t="str">
        <f t="shared" si="3"/>
        <v>4.98756775525559E-06-0.000760397062963352i</v>
      </c>
      <c r="E23" s="5" t="str">
        <f t="shared" si="3"/>
        <v>3.98475775309964E-06-0.000568442863596284i</v>
      </c>
      <c r="F23" s="5" t="str">
        <f t="shared" si="3"/>
        <v>3.51696840976739E-06-0.000452630052650602i</v>
      </c>
      <c r="G23" s="5" t="str">
        <f t="shared" si="3"/>
        <v>3.22837763966998E-06-0.000374900566677526i</v>
      </c>
      <c r="H23" s="5" t="str">
        <f t="shared" si="3"/>
        <v>3.04583408917932E-06-0.00031882555436521i</v>
      </c>
      <c r="I23" s="5" t="str">
        <f t="shared" si="3"/>
        <v>3.14191946339144E-06-0.0002763778279474i</v>
      </c>
      <c r="J23" s="5" t="str">
        <f t="shared" si="3"/>
        <v>3.20327632180105E-06-0.000242957370502274i</v>
      </c>
      <c r="K23" s="5" t="str">
        <f t="shared" si="3"/>
        <v>3.47445980939023E-06-0.000215829315288261i</v>
      </c>
      <c r="L23" s="5" t="str">
        <f t="shared" si="3"/>
        <v>3.80616708433028E-06-0.000193223407790623i</v>
      </c>
      <c r="M23" s="5" t="str">
        <f t="shared" si="3"/>
        <v>4.27999160790501E-06-0.000174178877197532i</v>
      </c>
      <c r="N23" s="5" t="str">
        <f t="shared" si="3"/>
        <v>4.97948739043902E-06-0.000157358065113933i</v>
      </c>
      <c r="O23" s="5" t="str">
        <f t="shared" si="3"/>
        <v>5.89296251469326E-06-0.000142957210684829i</v>
      </c>
      <c r="P23" s="5" t="str">
        <f t="shared" si="3"/>
        <v>7.11195627778066E-06-0.000130151381249204i</v>
      </c>
      <c r="Q23" s="5" t="str">
        <f t="shared" si="3"/>
        <v>8.67306182262808E-06-0.00011871054058364i</v>
      </c>
      <c r="R23" s="5" t="str">
        <f t="shared" si="3"/>
        <v>0.0000105118752124493-0.000108597149842367i</v>
      </c>
      <c r="S23" s="5" t="str">
        <f t="shared" si="3"/>
        <v>0.0000128391161873633-0.0000995549620096197i</v>
      </c>
      <c r="T23" s="5" t="str">
        <f t="shared" si="3"/>
        <v>0.0000153760968734149-0.0000916374003971206i</v>
      </c>
      <c r="U23" s="5" t="str">
        <f t="shared" si="3"/>
        <v>0.0000178622297132069-0.0000849727235049846i</v>
      </c>
      <c r="V23" s="5" t="str">
        <f t="shared" si="3"/>
        <v>0.0000206526054378426-0.0000791715485020109i</v>
      </c>
      <c r="W23" s="5" t="str">
        <f t="shared" si="3"/>
        <v>0.000023305440595037-0.0000742173378863639i</v>
      </c>
      <c r="X23" s="5" t="str">
        <f t="shared" si="3"/>
        <v>0.0000255850556645857-0.0000701403222959393i</v>
      </c>
      <c r="Y23" s="5" t="str">
        <f t="shared" si="3"/>
        <v>0.0000276836418678257-0.0000666672444882736i</v>
      </c>
      <c r="Z23" s="5" t="str">
        <f t="shared" si="3"/>
        <v>0.0000295940680151524-0.0000636692013825556i</v>
      </c>
      <c r="AA23" s="5" t="str">
        <f t="shared" si="3"/>
        <v>0.0000312862948736142-0.0000610893757809581i</v>
      </c>
      <c r="AB23" s="5" t="str">
        <f t="shared" si="3"/>
        <v>0.0000328083881438113-0.0000588352331516356i</v>
      </c>
      <c r="AC23" s="5" t="str">
        <f t="shared" si="3"/>
        <v>0.0000341585434817646-0.0000568289807078999i</v>
      </c>
      <c r="AD23" s="5" t="str">
        <f t="shared" si="3"/>
        <v>0.0000352633438834387-0.0000550376204932738i</v>
      </c>
      <c r="AE23" s="5" t="str">
        <f t="shared" si="3"/>
        <v>0.0000361346079520842-0.0000534330804540427i</v>
      </c>
    </row>
    <row r="24" spans="1:31" x14ac:dyDescent="0.2">
      <c r="A24" t="s">
        <v>15</v>
      </c>
      <c r="B24" s="6" t="str">
        <f t="shared" ref="B24:AE24" si="4">COMPLEX(0,2*PI()*B18*1000000*$B$9*0.000000000001)</f>
        <v>0.00015707963267949i</v>
      </c>
      <c r="C24" s="6" t="str">
        <f t="shared" si="4"/>
        <v>0.000314159265358979i</v>
      </c>
      <c r="D24" s="6" t="str">
        <f t="shared" si="4"/>
        <v>0.000471238898038469i</v>
      </c>
      <c r="E24" s="6" t="str">
        <f t="shared" si="4"/>
        <v>0.000628318530717959i</v>
      </c>
      <c r="F24" s="6" t="str">
        <f t="shared" si="4"/>
        <v>0.000785398163397448i</v>
      </c>
      <c r="G24" s="6" t="str">
        <f t="shared" si="4"/>
        <v>0.000942477796076938i</v>
      </c>
      <c r="H24" s="6" t="str">
        <f t="shared" si="4"/>
        <v>0.00109955742875643i</v>
      </c>
      <c r="I24" s="6" t="str">
        <f t="shared" si="4"/>
        <v>0.00125663706143592i</v>
      </c>
      <c r="J24" s="6" t="str">
        <f t="shared" si="4"/>
        <v>0.00141371669411541i</v>
      </c>
      <c r="K24" s="6" t="str">
        <f t="shared" si="4"/>
        <v>0.0015707963267949i</v>
      </c>
      <c r="L24" s="6" t="str">
        <f t="shared" si="4"/>
        <v>0.00172787595947439i</v>
      </c>
      <c r="M24" s="6" t="str">
        <f t="shared" si="4"/>
        <v>0.00188495559215388i</v>
      </c>
      <c r="N24" s="6" t="str">
        <f t="shared" si="4"/>
        <v>0.00204203522483337i</v>
      </c>
      <c r="O24" s="6" t="str">
        <f t="shared" si="4"/>
        <v>0.00219911485751285i</v>
      </c>
      <c r="P24" s="6" t="str">
        <f t="shared" si="4"/>
        <v>0.00235619449019234i</v>
      </c>
      <c r="Q24" s="6" t="str">
        <f t="shared" si="4"/>
        <v>0.00251327412287183i</v>
      </c>
      <c r="R24" s="6" t="str">
        <f t="shared" si="4"/>
        <v>0.00267035375555132i</v>
      </c>
      <c r="S24" s="6" t="str">
        <f t="shared" si="4"/>
        <v>0.00282743338823081i</v>
      </c>
      <c r="T24" s="6" t="str">
        <f t="shared" si="4"/>
        <v>0.0029845130209103i</v>
      </c>
      <c r="U24" s="6" t="str">
        <f t="shared" si="4"/>
        <v>0.00314159265358979i</v>
      </c>
      <c r="V24" s="6" t="str">
        <f t="shared" si="4"/>
        <v>0.00329867228626928i</v>
      </c>
      <c r="W24" s="6" t="str">
        <f t="shared" si="4"/>
        <v>0.00345575191894877i</v>
      </c>
      <c r="X24" s="6" t="str">
        <f t="shared" si="4"/>
        <v>0.00361283155162826i</v>
      </c>
      <c r="Y24" s="6" t="str">
        <f t="shared" si="4"/>
        <v>0.00376991118430775i</v>
      </c>
      <c r="Z24" s="6" t="str">
        <f t="shared" si="4"/>
        <v>0.00392699081698724i</v>
      </c>
      <c r="AA24" s="6" t="str">
        <f t="shared" si="4"/>
        <v>0.00408407044966673i</v>
      </c>
      <c r="AB24" s="6" t="str">
        <f t="shared" si="4"/>
        <v>0.00424115008234622i</v>
      </c>
      <c r="AC24" s="6" t="str">
        <f t="shared" si="4"/>
        <v>0.00439822971502571i</v>
      </c>
      <c r="AD24" s="6" t="str">
        <f t="shared" si="4"/>
        <v>0.0045553093477052i</v>
      </c>
      <c r="AE24" s="6" t="str">
        <f t="shared" si="4"/>
        <v>0.00471238898038469i</v>
      </c>
    </row>
    <row r="25" spans="1:31" x14ac:dyDescent="0.2">
      <c r="A25" t="s">
        <v>16</v>
      </c>
      <c r="B25" s="6" t="str">
        <f t="shared" ref="B25:AE25" si="5">IMDIV(1,IMSUM(B23,B24))</f>
        <v>2.63915682018781+470.015225274211i</v>
      </c>
      <c r="C25" s="6" t="str">
        <f t="shared" si="5"/>
        <v>10.6480191319542+1207.02467105927i</v>
      </c>
      <c r="D25" s="6" t="str">
        <f t="shared" si="5"/>
        <v>59.6332802728418+3457.28634442632i</v>
      </c>
      <c r="E25" s="6" t="str">
        <f t="shared" si="5"/>
        <v>1106.57782199675-16627.6319464002i</v>
      </c>
      <c r="F25" s="6" t="str">
        <f t="shared" si="5"/>
        <v>31.7567870815723-3004.76001182609i</v>
      </c>
      <c r="G25" s="6" t="str">
        <f t="shared" si="5"/>
        <v>10.0212143727553-1761.8177684713i</v>
      </c>
      <c r="H25" s="6" t="str">
        <f t="shared" si="5"/>
        <v>4.99684424583781-1280.82996639685i</v>
      </c>
      <c r="I25" s="6" t="str">
        <f t="shared" si="5"/>
        <v>3.26970599370146-1020.12783219431i</v>
      </c>
      <c r="J25" s="6" t="str">
        <f t="shared" si="5"/>
        <v>2.33698487804192-854.140124125211i</v>
      </c>
      <c r="K25" s="6" t="str">
        <f t="shared" si="5"/>
        <v>1.89246123858817-738.020495131874i</v>
      </c>
      <c r="L25" s="6" t="str">
        <f t="shared" si="5"/>
        <v>1.61608815114596-651.609283027167i</v>
      </c>
      <c r="M25" s="6" t="str">
        <f t="shared" si="5"/>
        <v>1.46235743729944-584.526158428545i</v>
      </c>
      <c r="N25" s="6" t="str">
        <f t="shared" si="5"/>
        <v>1.40186976936888-530.591148860754i</v>
      </c>
      <c r="O25" s="6" t="str">
        <f t="shared" si="5"/>
        <v>1.39385402279595-486.340037016692i</v>
      </c>
      <c r="P25" s="6" t="str">
        <f t="shared" si="5"/>
        <v>1.43521678248709-449.223013149893i</v>
      </c>
      <c r="Q25" s="6" t="str">
        <f t="shared" si="5"/>
        <v>1.51256483081671-417.607153482284i</v>
      </c>
      <c r="R25" s="6" t="str">
        <f t="shared" si="5"/>
        <v>1.60175893293304-390.350574399412i</v>
      </c>
      <c r="S25" s="6" t="str">
        <f t="shared" si="5"/>
        <v>1.72534315885133-366.577131336438i</v>
      </c>
      <c r="T25" s="6" t="str">
        <f t="shared" si="5"/>
        <v>1.83727562967815-345.667038977136i</v>
      </c>
      <c r="U25" s="6" t="str">
        <f t="shared" si="5"/>
        <v>1.91178019550517-327.147592509233i</v>
      </c>
      <c r="V25" s="6" t="str">
        <f t="shared" si="5"/>
        <v>1.99241553447029-310.594384929873i</v>
      </c>
      <c r="W25" s="6" t="str">
        <f t="shared" si="5"/>
        <v>2.03802273044942-295.709678257426i</v>
      </c>
      <c r="X25" s="6" t="str">
        <f t="shared" si="5"/>
        <v>2.03843614419396-282.256561965814i</v>
      </c>
      <c r="Y25" s="6" t="str">
        <f t="shared" si="5"/>
        <v>2.0185258316907-270.018431435688i</v>
      </c>
      <c r="Z25" s="6" t="str">
        <f t="shared" si="5"/>
        <v>1.98270205212557-258.829427956934i</v>
      </c>
      <c r="AA25" s="6" t="str">
        <f t="shared" si="5"/>
        <v>1.93300015998976-248.556855034162i</v>
      </c>
      <c r="AB25" s="6" t="str">
        <f t="shared" si="5"/>
        <v>1.8755330527709-239.087324326191i</v>
      </c>
      <c r="AC25" s="6" t="str">
        <f t="shared" si="5"/>
        <v>1.81222746654903-230.326145440801i</v>
      </c>
      <c r="AD25" s="6" t="str">
        <f t="shared" si="5"/>
        <v>1.74108250949936-222.195161585995i</v>
      </c>
      <c r="AE25" s="6" t="str">
        <f t="shared" si="5"/>
        <v>1.66463884136759-214.627455250858i</v>
      </c>
    </row>
    <row r="26" spans="1:31" x14ac:dyDescent="0.2">
      <c r="A26" t="s">
        <v>8</v>
      </c>
      <c r="B26" s="5">
        <f t="shared" ref="B26:AE26" si="6">IMREAL(B25)</f>
        <v>2.6391568201878099</v>
      </c>
      <c r="C26" s="5">
        <f t="shared" si="6"/>
        <v>10.6480191319542</v>
      </c>
      <c r="D26" s="5">
        <f t="shared" si="6"/>
        <v>59.633280272841802</v>
      </c>
      <c r="E26" s="5">
        <f t="shared" si="6"/>
        <v>1106.5778219967499</v>
      </c>
      <c r="F26" s="5">
        <f t="shared" si="6"/>
        <v>31.756787081572298</v>
      </c>
      <c r="G26" s="5">
        <f t="shared" si="6"/>
        <v>10.021214372755299</v>
      </c>
      <c r="H26" s="5">
        <f t="shared" si="6"/>
        <v>4.99684424583781</v>
      </c>
      <c r="I26" s="5">
        <f t="shared" si="6"/>
        <v>3.2697059937014599</v>
      </c>
      <c r="J26" s="5">
        <f t="shared" si="6"/>
        <v>2.3369848780419198</v>
      </c>
      <c r="K26" s="5">
        <f t="shared" si="6"/>
        <v>1.8924612385881701</v>
      </c>
      <c r="L26" s="5">
        <f t="shared" si="6"/>
        <v>1.6160881511459599</v>
      </c>
      <c r="M26" s="5">
        <f t="shared" si="6"/>
        <v>1.4623574372994399</v>
      </c>
      <c r="N26" s="5">
        <f t="shared" si="6"/>
        <v>1.40186976936888</v>
      </c>
      <c r="O26" s="5">
        <f t="shared" si="6"/>
        <v>1.3938540227959499</v>
      </c>
      <c r="P26" s="5">
        <f t="shared" si="6"/>
        <v>1.4352167824870901</v>
      </c>
      <c r="Q26" s="5">
        <f t="shared" si="6"/>
        <v>1.5125648308167099</v>
      </c>
      <c r="R26" s="5">
        <f t="shared" si="6"/>
        <v>1.6017589329330399</v>
      </c>
      <c r="S26" s="5">
        <f t="shared" si="6"/>
        <v>1.7253431588513299</v>
      </c>
      <c r="T26" s="5">
        <f t="shared" si="6"/>
        <v>1.8372756296781501</v>
      </c>
      <c r="U26" s="5">
        <f t="shared" si="6"/>
        <v>1.9117801955051701</v>
      </c>
      <c r="V26" s="5">
        <f t="shared" si="6"/>
        <v>1.9924155344702901</v>
      </c>
      <c r="W26" s="5">
        <f t="shared" si="6"/>
        <v>2.0380227304494198</v>
      </c>
      <c r="X26" s="5">
        <f t="shared" si="6"/>
        <v>2.0384361441939598</v>
      </c>
      <c r="Y26" s="5">
        <f t="shared" si="6"/>
        <v>2.0185258316907002</v>
      </c>
      <c r="Z26" s="5">
        <f t="shared" si="6"/>
        <v>1.98270205212557</v>
      </c>
      <c r="AA26" s="5">
        <f t="shared" si="6"/>
        <v>1.9330001599897599</v>
      </c>
      <c r="AB26" s="5">
        <f t="shared" si="6"/>
        <v>1.8755330527709</v>
      </c>
      <c r="AC26" s="5">
        <f t="shared" si="6"/>
        <v>1.8122274665490301</v>
      </c>
      <c r="AD26" s="5">
        <f t="shared" si="6"/>
        <v>1.7410825094993601</v>
      </c>
      <c r="AE26" s="5">
        <f t="shared" si="6"/>
        <v>1.6646388413675901</v>
      </c>
    </row>
    <row r="27" spans="1:31" x14ac:dyDescent="0.2">
      <c r="A27" t="s">
        <v>9</v>
      </c>
      <c r="B27" s="5">
        <f t="shared" ref="B27:AE27" si="7">IMAGINARY(B25)</f>
        <v>470.01522527421099</v>
      </c>
      <c r="C27" s="5">
        <f t="shared" si="7"/>
        <v>1207.0246710592701</v>
      </c>
      <c r="D27" s="5">
        <f t="shared" si="7"/>
        <v>3457.2863444263198</v>
      </c>
      <c r="E27" s="5">
        <f t="shared" si="7"/>
        <v>-16627.631946400201</v>
      </c>
      <c r="F27" s="5">
        <f t="shared" si="7"/>
        <v>-3004.7600118260898</v>
      </c>
      <c r="G27" s="5">
        <f t="shared" si="7"/>
        <v>-1761.8177684713</v>
      </c>
      <c r="H27" s="5">
        <f t="shared" si="7"/>
        <v>-1280.8299663968501</v>
      </c>
      <c r="I27" s="5">
        <f t="shared" si="7"/>
        <v>-1020.12783219431</v>
      </c>
      <c r="J27" s="5">
        <f t="shared" si="7"/>
        <v>-854.14012412521095</v>
      </c>
      <c r="K27" s="5">
        <f t="shared" si="7"/>
        <v>-738.02049513187399</v>
      </c>
      <c r="L27" s="5">
        <f t="shared" si="7"/>
        <v>-651.60928302716695</v>
      </c>
      <c r="M27" s="5">
        <f t="shared" si="7"/>
        <v>-584.52615842854505</v>
      </c>
      <c r="N27" s="5">
        <f t="shared" si="7"/>
        <v>-530.59114886075395</v>
      </c>
      <c r="O27" s="5">
        <f t="shared" si="7"/>
        <v>-486.34003701669201</v>
      </c>
      <c r="P27" s="5">
        <f t="shared" si="7"/>
        <v>-449.22301314989301</v>
      </c>
      <c r="Q27" s="5">
        <f t="shared" si="7"/>
        <v>-417.60715348228399</v>
      </c>
      <c r="R27" s="5">
        <f t="shared" si="7"/>
        <v>-390.35057439941198</v>
      </c>
      <c r="S27" s="5">
        <f t="shared" si="7"/>
        <v>-366.57713133643801</v>
      </c>
      <c r="T27" s="5">
        <f t="shared" si="7"/>
        <v>-345.66703897713597</v>
      </c>
      <c r="U27" s="5">
        <f t="shared" si="7"/>
        <v>-327.14759250923299</v>
      </c>
      <c r="V27" s="5">
        <f t="shared" si="7"/>
        <v>-310.594384929873</v>
      </c>
      <c r="W27" s="5">
        <f t="shared" si="7"/>
        <v>-295.70967825742599</v>
      </c>
      <c r="X27" s="5">
        <f t="shared" si="7"/>
        <v>-282.256561965814</v>
      </c>
      <c r="Y27" s="5">
        <f t="shared" si="7"/>
        <v>-270.018431435688</v>
      </c>
      <c r="Z27" s="5">
        <f t="shared" si="7"/>
        <v>-258.82942795693401</v>
      </c>
      <c r="AA27" s="5">
        <f t="shared" si="7"/>
        <v>-248.556855034162</v>
      </c>
      <c r="AB27" s="5">
        <f t="shared" si="7"/>
        <v>-239.08732432619101</v>
      </c>
      <c r="AC27" s="5">
        <f t="shared" si="7"/>
        <v>-230.32614544080101</v>
      </c>
      <c r="AD27" s="5">
        <f t="shared" si="7"/>
        <v>-222.19516158599501</v>
      </c>
      <c r="AE27" s="5">
        <f t="shared" si="7"/>
        <v>-214.62745525085799</v>
      </c>
    </row>
    <row r="28" spans="1:31" x14ac:dyDescent="0.2">
      <c r="A28" t="s">
        <v>17</v>
      </c>
      <c r="B28" s="5">
        <f t="shared" ref="B28:AE28" si="8">IMABS(B25)</f>
        <v>470.02263470846685</v>
      </c>
      <c r="C28" s="5">
        <f t="shared" si="8"/>
        <v>1207.0716370030295</v>
      </c>
      <c r="D28" s="5">
        <f t="shared" si="8"/>
        <v>3457.8006008838629</v>
      </c>
      <c r="E28" s="5">
        <f t="shared" si="8"/>
        <v>16664.41293958727</v>
      </c>
      <c r="F28" s="5">
        <f t="shared" si="8"/>
        <v>3004.9278231256849</v>
      </c>
      <c r="G28" s="5">
        <f t="shared" si="8"/>
        <v>1761.8462685599716</v>
      </c>
      <c r="H28" s="5">
        <f t="shared" si="8"/>
        <v>1280.8397133414367</v>
      </c>
      <c r="I28" s="5">
        <f t="shared" si="8"/>
        <v>1020.1330721992831</v>
      </c>
      <c r="J28" s="5">
        <f t="shared" si="8"/>
        <v>854.14332119320056</v>
      </c>
      <c r="K28" s="5">
        <f t="shared" si="8"/>
        <v>738.02292148972992</v>
      </c>
      <c r="L28" s="5">
        <f t="shared" si="8"/>
        <v>651.61128709384013</v>
      </c>
      <c r="M28" s="5">
        <f t="shared" si="8"/>
        <v>584.52798767595982</v>
      </c>
      <c r="N28" s="5">
        <f t="shared" si="8"/>
        <v>530.59300079083687</v>
      </c>
      <c r="O28" s="5">
        <f t="shared" si="8"/>
        <v>486.34203441038727</v>
      </c>
      <c r="P28" s="5">
        <f t="shared" si="8"/>
        <v>449.22530582179104</v>
      </c>
      <c r="Q28" s="5">
        <f t="shared" si="8"/>
        <v>417.60989271321552</v>
      </c>
      <c r="R28" s="5">
        <f t="shared" si="8"/>
        <v>390.3538607028629</v>
      </c>
      <c r="S28" s="5">
        <f t="shared" si="8"/>
        <v>366.58119159044145</v>
      </c>
      <c r="T28" s="5">
        <f t="shared" si="8"/>
        <v>345.6719216496478</v>
      </c>
      <c r="U28" s="5">
        <f t="shared" si="8"/>
        <v>327.15317847776305</v>
      </c>
      <c r="V28" s="5">
        <f t="shared" si="8"/>
        <v>310.60077538478254</v>
      </c>
      <c r="W28" s="5">
        <f t="shared" si="8"/>
        <v>295.71670117151012</v>
      </c>
      <c r="X28" s="5">
        <f t="shared" si="8"/>
        <v>282.26392258784216</v>
      </c>
      <c r="Y28" s="5">
        <f t="shared" si="8"/>
        <v>270.02597608660272</v>
      </c>
      <c r="Z28" s="5">
        <f t="shared" si="8"/>
        <v>258.83702185727066</v>
      </c>
      <c r="AA28" s="5">
        <f t="shared" si="8"/>
        <v>248.56437128858983</v>
      </c>
      <c r="AB28" s="5">
        <f t="shared" si="8"/>
        <v>239.09468057171262</v>
      </c>
      <c r="AC28" s="5">
        <f t="shared" si="8"/>
        <v>230.33327471732679</v>
      </c>
      <c r="AD28" s="5">
        <f t="shared" si="8"/>
        <v>222.20198289063785</v>
      </c>
      <c r="AE28" s="5">
        <f t="shared" si="8"/>
        <v>214.6339105778284</v>
      </c>
    </row>
    <row r="32" spans="1:31" x14ac:dyDescent="0.2">
      <c r="A32" s="8" t="s">
        <v>23</v>
      </c>
      <c r="B32" s="8" t="s">
        <v>24</v>
      </c>
      <c r="C32" s="11" t="s">
        <v>25</v>
      </c>
    </row>
    <row r="33" spans="1:3" x14ac:dyDescent="0.2">
      <c r="A33" t="s">
        <v>26</v>
      </c>
      <c r="B33" t="str">
        <f ca="1">CubicSpline_version("v")</f>
        <v>1.04</v>
      </c>
      <c r="C33" s="13">
        <f ca="1">CubicSpline_version("d")</f>
        <v>41705</v>
      </c>
    </row>
    <row r="34" spans="1:3" x14ac:dyDescent="0.2">
      <c r="A34" s="12"/>
    </row>
    <row r="35" spans="1:3" x14ac:dyDescent="0.2">
      <c r="A35" t="s">
        <v>27</v>
      </c>
    </row>
  </sheetData>
  <hyperlinks>
    <hyperlink ref="A4" r:id="rId1" xr:uid="{00000000-0004-0000-0600-000000000000}"/>
  </hyperlinks>
  <pageMargins left="0.75" right="0.75" top="1" bottom="1" header="0.5" footer="0.5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U111"/>
  <sheetViews>
    <sheetView workbookViewId="0">
      <selection activeCell="A3" sqref="A3:B3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</cols>
  <sheetData>
    <row r="1" spans="1:21" x14ac:dyDescent="0.2">
      <c r="A1" t="s">
        <v>20</v>
      </c>
      <c r="B1" t="s">
        <v>21</v>
      </c>
    </row>
    <row r="2" spans="1:21" x14ac:dyDescent="0.2">
      <c r="A2" t="s">
        <v>31</v>
      </c>
      <c r="B2">
        <v>125</v>
      </c>
    </row>
    <row r="3" spans="1:21" x14ac:dyDescent="0.2">
      <c r="A3" s="15" t="s">
        <v>32</v>
      </c>
      <c r="B3" s="13">
        <v>43568</v>
      </c>
    </row>
    <row r="5" spans="1:21" x14ac:dyDescent="0.2">
      <c r="A5" t="s">
        <v>0</v>
      </c>
      <c r="E5" s="14" t="s">
        <v>2</v>
      </c>
      <c r="F5" s="14"/>
      <c r="G5" s="14"/>
      <c r="J5" t="s">
        <v>1</v>
      </c>
      <c r="N5" s="14" t="s">
        <v>2</v>
      </c>
      <c r="O5" s="14"/>
      <c r="P5" s="14"/>
    </row>
    <row r="6" spans="1:21" x14ac:dyDescent="0.2">
      <c r="A6" s="1">
        <v>10000</v>
      </c>
      <c r="B6">
        <v>118.03</v>
      </c>
      <c r="E6" cm="1">
        <f t="array" ref="E6:G111">cstable(A6:A111,B6:B111)</f>
        <v>10000</v>
      </c>
      <c r="F6">
        <v>118.03</v>
      </c>
      <c r="G6">
        <v>0</v>
      </c>
      <c r="J6" s="1">
        <v>10000</v>
      </c>
      <c r="K6">
        <v>0.45</v>
      </c>
      <c r="N6" cm="1">
        <f t="array" ref="N6:P111">cstable([1]Mix!J6:J111,[1]Mix!K6:K111)</f>
        <v>10000</v>
      </c>
      <c r="O6">
        <v>0.45</v>
      </c>
      <c r="P6">
        <v>0</v>
      </c>
      <c r="S6">
        <v>1000000</v>
      </c>
      <c r="T6">
        <f>csinterpolate(CSTableU1,S6)</f>
        <v>118.57</v>
      </c>
      <c r="U6">
        <f>csinterp1($A$6:$A$36,$B$6:$B$36,S6)</f>
        <v>118.57</v>
      </c>
    </row>
    <row r="7" spans="1:21" x14ac:dyDescent="0.2">
      <c r="A7" s="1">
        <v>50000</v>
      </c>
      <c r="B7">
        <v>117.55</v>
      </c>
      <c r="E7">
        <v>50000</v>
      </c>
      <c r="F7">
        <v>117.55</v>
      </c>
      <c r="G7">
        <v>4.3691986194254643E-10</v>
      </c>
      <c r="J7" s="1">
        <v>50000</v>
      </c>
      <c r="K7">
        <v>0.45</v>
      </c>
      <c r="N7">
        <v>50000</v>
      </c>
      <c r="O7">
        <v>0.45</v>
      </c>
      <c r="P7">
        <v>-2.7006442767139957E-13</v>
      </c>
      <c r="S7">
        <v>5000000</v>
      </c>
      <c r="T7">
        <f>csinterpolate(CSTableU1,S7)</f>
        <v>119.69</v>
      </c>
      <c r="U7">
        <f>csinterp1($A$6:$A$36,$B$6:$B$36,S7)</f>
        <v>119.69</v>
      </c>
    </row>
    <row r="8" spans="1:21" x14ac:dyDescent="0.2">
      <c r="A8" s="1">
        <v>100000</v>
      </c>
      <c r="B8">
        <v>117.59</v>
      </c>
      <c r="E8">
        <v>100000</v>
      </c>
      <c r="F8">
        <v>117.59</v>
      </c>
      <c r="G8">
        <v>-3.6911502993140081E-11</v>
      </c>
      <c r="J8" s="1">
        <v>100000</v>
      </c>
      <c r="K8">
        <v>0.45</v>
      </c>
      <c r="N8">
        <v>100000</v>
      </c>
      <c r="O8">
        <v>0.45</v>
      </c>
      <c r="P8">
        <v>9.7223193961703842E-13</v>
      </c>
      <c r="S8">
        <v>20000000</v>
      </c>
      <c r="T8">
        <f>csinterpolate(CSTableU1,S8)</f>
        <v>152.65425339002283</v>
      </c>
      <c r="U8">
        <f>csinterp1($A$6:$A$36,$B$6:$B$36,S8)</f>
        <v>90.640149701922368</v>
      </c>
    </row>
    <row r="9" spans="1:21" x14ac:dyDescent="0.2">
      <c r="A9" s="1">
        <v>300000</v>
      </c>
      <c r="B9">
        <v>117.89</v>
      </c>
      <c r="E9">
        <v>300000</v>
      </c>
      <c r="F9">
        <v>117.89</v>
      </c>
      <c r="G9">
        <v>4.0487919972094114E-12</v>
      </c>
      <c r="J9" s="1">
        <v>300000</v>
      </c>
      <c r="K9">
        <v>0.46</v>
      </c>
      <c r="N9">
        <v>300000</v>
      </c>
      <c r="O9">
        <v>0.46</v>
      </c>
      <c r="P9">
        <v>-8.6306374212474469E-13</v>
      </c>
    </row>
    <row r="10" spans="1:21" x14ac:dyDescent="0.2">
      <c r="A10" s="1">
        <v>500000</v>
      </c>
      <c r="B10">
        <v>117.95</v>
      </c>
      <c r="E10">
        <v>500000</v>
      </c>
      <c r="F10">
        <v>117.95</v>
      </c>
      <c r="G10">
        <v>-1.52836649956968E-11</v>
      </c>
      <c r="J10" s="1">
        <v>500000</v>
      </c>
      <c r="K10">
        <v>0.48</v>
      </c>
      <c r="N10">
        <v>500000</v>
      </c>
      <c r="O10">
        <v>0.48</v>
      </c>
      <c r="P10">
        <v>3.9800230288819335E-12</v>
      </c>
    </row>
    <row r="11" spans="1:21" x14ac:dyDescent="0.2">
      <c r="A11" s="1">
        <v>700000</v>
      </c>
      <c r="B11">
        <v>117.85</v>
      </c>
      <c r="E11">
        <v>700000</v>
      </c>
      <c r="F11">
        <v>117.85</v>
      </c>
      <c r="G11">
        <v>3.3085867985576172E-11</v>
      </c>
      <c r="J11" s="1">
        <v>700000</v>
      </c>
      <c r="K11">
        <v>0.57999999999999996</v>
      </c>
      <c r="N11">
        <v>700000</v>
      </c>
      <c r="O11">
        <v>0.57999999999999996</v>
      </c>
      <c r="P11">
        <v>-3.0570283734029843E-12</v>
      </c>
    </row>
    <row r="12" spans="1:21" x14ac:dyDescent="0.2">
      <c r="A12" s="1">
        <v>1000000</v>
      </c>
      <c r="B12">
        <v>118.57</v>
      </c>
      <c r="E12">
        <v>1000000</v>
      </c>
      <c r="F12">
        <v>118.57</v>
      </c>
      <c r="G12">
        <v>-4.2097116621455267E-11</v>
      </c>
      <c r="J12" s="1">
        <v>1000000</v>
      </c>
      <c r="K12">
        <v>0.62</v>
      </c>
      <c r="N12">
        <v>1000000</v>
      </c>
      <c r="O12">
        <v>0.62</v>
      </c>
      <c r="P12">
        <v>2.0341255875533111E-13</v>
      </c>
    </row>
    <row r="13" spans="1:21" x14ac:dyDescent="0.2">
      <c r="A13" s="1">
        <v>1080000</v>
      </c>
      <c r="B13">
        <v>118.5</v>
      </c>
      <c r="E13">
        <v>1080000</v>
      </c>
      <c r="F13">
        <v>118.5</v>
      </c>
      <c r="G13">
        <v>3.0225602957921074E-11</v>
      </c>
      <c r="J13" s="1">
        <v>1080000</v>
      </c>
      <c r="K13">
        <v>0.62</v>
      </c>
      <c r="N13">
        <v>1080000</v>
      </c>
      <c r="O13">
        <v>0.62</v>
      </c>
      <c r="P13">
        <v>-4.685629079144607E-13</v>
      </c>
    </row>
    <row r="14" spans="1:21" x14ac:dyDescent="0.2">
      <c r="A14" s="1">
        <v>1160000</v>
      </c>
      <c r="B14">
        <v>118.51</v>
      </c>
      <c r="E14">
        <v>1160000</v>
      </c>
      <c r="F14">
        <v>118.51</v>
      </c>
      <c r="G14">
        <v>-3.8052952102306159E-12</v>
      </c>
      <c r="J14" s="1">
        <v>1160000</v>
      </c>
      <c r="K14">
        <v>0.62</v>
      </c>
      <c r="N14">
        <v>1160000</v>
      </c>
      <c r="O14">
        <v>0.62</v>
      </c>
      <c r="P14">
        <v>1.6708390729025115E-12</v>
      </c>
    </row>
    <row r="15" spans="1:21" x14ac:dyDescent="0.2">
      <c r="A15" s="1">
        <v>1240000</v>
      </c>
      <c r="B15">
        <v>118.53</v>
      </c>
      <c r="E15">
        <v>1240000</v>
      </c>
      <c r="F15">
        <v>118.53</v>
      </c>
      <c r="G15">
        <v>-5.6294221170071348E-12</v>
      </c>
      <c r="J15" s="1">
        <v>1240000</v>
      </c>
      <c r="K15">
        <v>0.63</v>
      </c>
      <c r="N15">
        <v>1240000</v>
      </c>
      <c r="O15">
        <v>0.63</v>
      </c>
      <c r="P15">
        <v>3.1602066163044229E-12</v>
      </c>
    </row>
    <row r="16" spans="1:21" x14ac:dyDescent="0.2">
      <c r="A16" s="1">
        <v>1320000</v>
      </c>
      <c r="B16">
        <v>118.52</v>
      </c>
      <c r="E16">
        <v>1320000</v>
      </c>
      <c r="F16">
        <v>118.52</v>
      </c>
      <c r="G16">
        <v>-1.8020163217419096E-12</v>
      </c>
      <c r="J16" s="1">
        <v>1320000</v>
      </c>
      <c r="K16">
        <v>0.65</v>
      </c>
      <c r="N16">
        <v>1320000</v>
      </c>
      <c r="O16">
        <v>0.65</v>
      </c>
      <c r="P16">
        <v>-4.9366655381201957E-12</v>
      </c>
    </row>
    <row r="17" spans="1:16" x14ac:dyDescent="0.2">
      <c r="A17" s="1">
        <v>1420000</v>
      </c>
      <c r="B17">
        <v>118.49</v>
      </c>
      <c r="E17">
        <v>1420000</v>
      </c>
      <c r="F17">
        <v>118.49</v>
      </c>
      <c r="G17">
        <v>4.9079645187973569E-13</v>
      </c>
      <c r="J17" s="1">
        <v>1420000</v>
      </c>
      <c r="K17">
        <v>0.66</v>
      </c>
      <c r="N17">
        <v>1420000</v>
      </c>
      <c r="O17">
        <v>0.66</v>
      </c>
      <c r="P17">
        <v>6.2438306441891625E-12</v>
      </c>
    </row>
    <row r="18" spans="1:16" x14ac:dyDescent="0.2">
      <c r="A18" s="1">
        <v>1530000</v>
      </c>
      <c r="B18">
        <v>118.47</v>
      </c>
      <c r="E18">
        <v>1530000</v>
      </c>
      <c r="F18">
        <v>118.47</v>
      </c>
      <c r="G18">
        <v>6.2105275588717863E-12</v>
      </c>
      <c r="J18" s="1">
        <v>1530000</v>
      </c>
      <c r="K18">
        <v>0.7</v>
      </c>
      <c r="N18">
        <v>1530000</v>
      </c>
      <c r="O18">
        <v>0.7</v>
      </c>
      <c r="P18">
        <v>-4.9720375902659253E-12</v>
      </c>
    </row>
    <row r="19" spans="1:16" x14ac:dyDescent="0.2">
      <c r="A19" s="1">
        <v>1640000</v>
      </c>
      <c r="B19">
        <v>118.5</v>
      </c>
      <c r="E19">
        <v>1640000</v>
      </c>
      <c r="F19">
        <v>118.5</v>
      </c>
      <c r="G19">
        <v>-5.3951825761622097E-13</v>
      </c>
      <c r="J19" s="1">
        <v>1640000</v>
      </c>
      <c r="K19">
        <v>0.72</v>
      </c>
      <c r="N19">
        <v>1640000</v>
      </c>
      <c r="O19">
        <v>0.72</v>
      </c>
      <c r="P19">
        <v>3.7269643449737584E-12</v>
      </c>
    </row>
    <row r="20" spans="1:16" x14ac:dyDescent="0.2">
      <c r="A20" s="1">
        <v>1750000</v>
      </c>
      <c r="B20">
        <v>118.53</v>
      </c>
      <c r="E20">
        <v>1750000</v>
      </c>
      <c r="F20">
        <v>118.53</v>
      </c>
      <c r="G20">
        <v>-4.0524545284069024E-12</v>
      </c>
      <c r="J20" s="1">
        <v>1750000</v>
      </c>
      <c r="K20">
        <v>0.75</v>
      </c>
      <c r="N20">
        <v>1750000</v>
      </c>
      <c r="O20">
        <v>0.75</v>
      </c>
      <c r="P20">
        <v>-4.977142103678691E-12</v>
      </c>
    </row>
    <row r="21" spans="1:16" x14ac:dyDescent="0.2">
      <c r="A21" s="1">
        <v>1870000</v>
      </c>
      <c r="B21">
        <v>118.53</v>
      </c>
      <c r="E21">
        <v>1870000</v>
      </c>
      <c r="F21">
        <v>118.53</v>
      </c>
      <c r="G21">
        <v>2.3926037920105079E-12</v>
      </c>
      <c r="J21" s="1">
        <v>1870000</v>
      </c>
      <c r="K21">
        <v>0.75</v>
      </c>
      <c r="N21">
        <v>1870000</v>
      </c>
      <c r="O21">
        <v>0.75</v>
      </c>
      <c r="P21">
        <v>2.0262971115120555E-12</v>
      </c>
    </row>
    <row r="22" spans="1:16" x14ac:dyDescent="0.2">
      <c r="A22" s="1">
        <v>2020000</v>
      </c>
      <c r="B22">
        <v>118.54</v>
      </c>
      <c r="E22">
        <v>2020000</v>
      </c>
      <c r="F22">
        <v>118.54</v>
      </c>
      <c r="G22">
        <v>-2.7047433618442756E-12</v>
      </c>
      <c r="J22" s="1">
        <v>2020000</v>
      </c>
      <c r="K22">
        <v>0.76</v>
      </c>
      <c r="N22">
        <v>2020000</v>
      </c>
      <c r="O22">
        <v>0.76</v>
      </c>
      <c r="P22">
        <v>-6.4628925183377686E-13</v>
      </c>
    </row>
    <row r="23" spans="1:16" x14ac:dyDescent="0.2">
      <c r="A23" s="1">
        <v>2160000</v>
      </c>
      <c r="B23">
        <v>118.54</v>
      </c>
      <c r="E23">
        <v>2160000</v>
      </c>
      <c r="F23">
        <v>118.54</v>
      </c>
      <c r="G23">
        <v>5.7847184361992766E-12</v>
      </c>
      <c r="J23" s="1">
        <v>2160000</v>
      </c>
      <c r="K23">
        <v>0.76</v>
      </c>
      <c r="N23">
        <v>2160000</v>
      </c>
      <c r="O23">
        <v>0.76</v>
      </c>
      <c r="P23">
        <v>-2.3506914333087009E-12</v>
      </c>
    </row>
    <row r="24" spans="1:16" x14ac:dyDescent="0.2">
      <c r="A24" s="1">
        <v>2310000</v>
      </c>
      <c r="B24">
        <v>118.59</v>
      </c>
      <c r="E24">
        <v>2310000</v>
      </c>
      <c r="F24">
        <v>118.59</v>
      </c>
      <c r="G24">
        <v>-6.5098174822499731E-12</v>
      </c>
      <c r="J24" s="1">
        <v>2310000</v>
      </c>
      <c r="K24">
        <v>0.74</v>
      </c>
      <c r="N24">
        <v>2310000</v>
      </c>
      <c r="O24">
        <v>0.74</v>
      </c>
      <c r="P24">
        <v>4.3592101771718326E-12</v>
      </c>
    </row>
    <row r="25" spans="1:16" x14ac:dyDescent="0.2">
      <c r="A25" s="1">
        <v>2480000</v>
      </c>
      <c r="B25">
        <v>118.58</v>
      </c>
      <c r="E25">
        <v>2480000</v>
      </c>
      <c r="F25">
        <v>118.58</v>
      </c>
      <c r="G25">
        <v>5.5625543925849196E-12</v>
      </c>
      <c r="J25" s="1">
        <v>2480000</v>
      </c>
      <c r="K25">
        <v>0.77</v>
      </c>
      <c r="N25">
        <v>2480000</v>
      </c>
      <c r="O25">
        <v>0.77</v>
      </c>
      <c r="P25">
        <v>-3.402748641070008E-12</v>
      </c>
    </row>
    <row r="26" spans="1:16" x14ac:dyDescent="0.2">
      <c r="A26" s="1">
        <v>2670000</v>
      </c>
      <c r="B26">
        <v>118.65</v>
      </c>
      <c r="E26">
        <v>2670000</v>
      </c>
      <c r="F26">
        <v>118.65</v>
      </c>
      <c r="G26">
        <v>-1.7626457811482711E-12</v>
      </c>
      <c r="J26" s="1">
        <v>2670000</v>
      </c>
      <c r="K26">
        <v>0.76</v>
      </c>
      <c r="N26">
        <v>2670000</v>
      </c>
      <c r="O26">
        <v>0.76</v>
      </c>
      <c r="P26">
        <v>1.7594752018695661E-12</v>
      </c>
    </row>
    <row r="27" spans="1:16" x14ac:dyDescent="0.2">
      <c r="A27" s="1">
        <v>2860000</v>
      </c>
      <c r="B27">
        <v>118.71</v>
      </c>
      <c r="E27">
        <v>2860000</v>
      </c>
      <c r="F27">
        <v>118.71</v>
      </c>
      <c r="G27">
        <v>-1.7402112949089114E-13</v>
      </c>
      <c r="J27" s="1">
        <v>2860000</v>
      </c>
      <c r="K27">
        <v>0.77</v>
      </c>
      <c r="N27">
        <v>2860000</v>
      </c>
      <c r="O27">
        <v>0.77</v>
      </c>
      <c r="P27">
        <v>-3.1105244341656288E-13</v>
      </c>
    </row>
    <row r="28" spans="1:16" x14ac:dyDescent="0.2">
      <c r="A28" s="1">
        <v>3050000</v>
      </c>
      <c r="B28">
        <v>118.76</v>
      </c>
      <c r="E28">
        <v>3050000</v>
      </c>
      <c r="F28">
        <v>118.76</v>
      </c>
      <c r="G28">
        <v>7.9668043761986449E-13</v>
      </c>
      <c r="J28" s="1">
        <v>3050000</v>
      </c>
      <c r="K28">
        <v>0.78</v>
      </c>
      <c r="N28">
        <v>3050000</v>
      </c>
      <c r="O28">
        <v>0.78</v>
      </c>
      <c r="P28">
        <v>-5.1526542820331475E-13</v>
      </c>
    </row>
    <row r="29" spans="1:16" x14ac:dyDescent="0.2">
      <c r="A29" s="1">
        <v>3270000</v>
      </c>
      <c r="B29">
        <v>118.84</v>
      </c>
      <c r="E29">
        <v>3270000</v>
      </c>
      <c r="F29">
        <v>118.84</v>
      </c>
      <c r="G29">
        <v>-7.8832412946800247E-14</v>
      </c>
      <c r="J29" s="1">
        <v>3270000</v>
      </c>
      <c r="K29">
        <v>0.78</v>
      </c>
      <c r="N29">
        <v>3270000</v>
      </c>
      <c r="O29">
        <v>0.78</v>
      </c>
      <c r="P29">
        <v>7.5376428041661034E-13</v>
      </c>
    </row>
    <row r="30" spans="1:16" x14ac:dyDescent="0.2">
      <c r="A30" s="1">
        <v>3530000</v>
      </c>
      <c r="B30">
        <v>118.94</v>
      </c>
      <c r="E30">
        <v>3530000</v>
      </c>
      <c r="F30">
        <v>118.94</v>
      </c>
      <c r="G30">
        <v>1.0109056164076677E-13</v>
      </c>
      <c r="J30" s="1">
        <v>3530000</v>
      </c>
      <c r="K30">
        <v>0.8</v>
      </c>
      <c r="N30">
        <v>3530000</v>
      </c>
      <c r="O30">
        <v>0.8</v>
      </c>
      <c r="P30">
        <v>-5.7198789791059465E-13</v>
      </c>
    </row>
    <row r="31" spans="1:16" x14ac:dyDescent="0.2">
      <c r="A31" s="1">
        <v>3780000</v>
      </c>
      <c r="B31">
        <v>119.04</v>
      </c>
      <c r="E31">
        <v>3780000</v>
      </c>
      <c r="F31">
        <v>119.04</v>
      </c>
      <c r="G31">
        <v>3.8766987202456571E-14</v>
      </c>
      <c r="J31" s="1">
        <v>3780000</v>
      </c>
      <c r="K31">
        <v>0.81</v>
      </c>
      <c r="N31">
        <v>3780000</v>
      </c>
      <c r="O31">
        <v>0.81</v>
      </c>
      <c r="P31">
        <v>6.636419256881047E-13</v>
      </c>
    </row>
    <row r="32" spans="1:16" x14ac:dyDescent="0.2">
      <c r="A32" s="1">
        <v>4040000</v>
      </c>
      <c r="B32">
        <v>119.15</v>
      </c>
      <c r="E32">
        <v>4040000</v>
      </c>
      <c r="F32">
        <v>119.15</v>
      </c>
      <c r="G32">
        <v>2.8325604271008875E-13</v>
      </c>
      <c r="J32" s="1">
        <v>4040000</v>
      </c>
      <c r="K32">
        <v>0.84</v>
      </c>
      <c r="N32">
        <v>4040000</v>
      </c>
      <c r="O32">
        <v>0.84</v>
      </c>
      <c r="P32">
        <v>-3.1388499006356961E-13</v>
      </c>
    </row>
    <row r="33" spans="1:16" x14ac:dyDescent="0.2">
      <c r="A33" s="1">
        <v>4330000</v>
      </c>
      <c r="B33">
        <v>119.29</v>
      </c>
      <c r="E33">
        <v>4330000</v>
      </c>
      <c r="F33">
        <v>119.29</v>
      </c>
      <c r="G33">
        <v>1.2561766214717757E-13</v>
      </c>
      <c r="J33" s="1">
        <v>4330000</v>
      </c>
      <c r="K33">
        <v>0.86</v>
      </c>
      <c r="N33">
        <v>4330000</v>
      </c>
      <c r="O33">
        <v>0.86</v>
      </c>
      <c r="P33">
        <v>-3.6478620851170646E-13</v>
      </c>
    </row>
    <row r="34" spans="1:16" x14ac:dyDescent="0.2">
      <c r="A34" s="1">
        <v>4660000</v>
      </c>
      <c r="B34">
        <v>119.47</v>
      </c>
      <c r="E34">
        <v>4660000</v>
      </c>
      <c r="F34">
        <v>119.47</v>
      </c>
      <c r="G34">
        <v>4.1898604588111912E-13</v>
      </c>
      <c r="J34" s="1">
        <v>4660000</v>
      </c>
      <c r="K34">
        <v>0.87</v>
      </c>
      <c r="N34">
        <v>4660000</v>
      </c>
      <c r="O34">
        <v>0.87</v>
      </c>
      <c r="P34">
        <v>9.435958304329E-13</v>
      </c>
    </row>
    <row r="35" spans="1:16" x14ac:dyDescent="0.2">
      <c r="A35" s="1">
        <v>5000000</v>
      </c>
      <c r="B35">
        <v>119.69</v>
      </c>
      <c r="E35">
        <v>5000000</v>
      </c>
      <c r="F35">
        <v>119.69</v>
      </c>
      <c r="G35">
        <v>1.9795701353070828E-14</v>
      </c>
      <c r="J35" s="1">
        <v>5000000</v>
      </c>
      <c r="K35">
        <v>0.93</v>
      </c>
      <c r="N35">
        <v>5000000</v>
      </c>
      <c r="O35">
        <v>0.93</v>
      </c>
      <c r="P35">
        <v>-7.8539298934599758E-13</v>
      </c>
    </row>
    <row r="36" spans="1:16" x14ac:dyDescent="0.2">
      <c r="A36" s="1">
        <v>5340000</v>
      </c>
      <c r="B36">
        <v>119.92</v>
      </c>
      <c r="E36">
        <v>5340000</v>
      </c>
      <c r="F36">
        <v>119.92</v>
      </c>
      <c r="G36">
        <v>2.086229057537417E-14</v>
      </c>
      <c r="J36" s="1">
        <v>5340000</v>
      </c>
      <c r="K36">
        <v>0.95</v>
      </c>
      <c r="N36">
        <v>5340000</v>
      </c>
      <c r="O36">
        <v>0.95</v>
      </c>
      <c r="P36">
        <v>1.2185155947703432E-13</v>
      </c>
    </row>
    <row r="37" spans="1:16" x14ac:dyDescent="0.2">
      <c r="A37" s="1">
        <v>5720000</v>
      </c>
      <c r="B37">
        <v>120.19</v>
      </c>
      <c r="E37">
        <v>5720000</v>
      </c>
      <c r="F37">
        <v>120.19</v>
      </c>
      <c r="G37">
        <v>4.4095296956937364E-13</v>
      </c>
      <c r="J37" s="1">
        <v>5720000</v>
      </c>
      <c r="K37">
        <v>0.98</v>
      </c>
      <c r="N37">
        <v>5720000</v>
      </c>
      <c r="O37">
        <v>0.98</v>
      </c>
      <c r="P37">
        <v>5.5871159154326142E-13</v>
      </c>
    </row>
    <row r="38" spans="1:16" x14ac:dyDescent="0.2">
      <c r="A38" s="1">
        <v>6170000</v>
      </c>
      <c r="B38">
        <v>120.57</v>
      </c>
      <c r="E38">
        <v>6170000</v>
      </c>
      <c r="F38">
        <v>120.57</v>
      </c>
      <c r="G38">
        <v>1.4133149339116474E-13</v>
      </c>
      <c r="J38" s="1">
        <v>6170000</v>
      </c>
      <c r="K38">
        <v>1.07</v>
      </c>
      <c r="N38">
        <v>6170000</v>
      </c>
      <c r="O38">
        <v>1.07</v>
      </c>
      <c r="P38">
        <v>-5.4988676686533809E-13</v>
      </c>
    </row>
    <row r="39" spans="1:16" x14ac:dyDescent="0.2">
      <c r="A39" s="1">
        <v>6610000</v>
      </c>
      <c r="B39">
        <v>120.98</v>
      </c>
      <c r="E39">
        <v>6610000</v>
      </c>
      <c r="F39">
        <v>120.98</v>
      </c>
      <c r="G39">
        <v>1.6873529477304756E-13</v>
      </c>
      <c r="J39" s="1">
        <v>6610000</v>
      </c>
      <c r="K39">
        <v>1.1100000000000001</v>
      </c>
      <c r="N39">
        <v>6610000</v>
      </c>
      <c r="O39">
        <v>1.1100000000000001</v>
      </c>
      <c r="P39">
        <v>1.6552903245540713E-13</v>
      </c>
    </row>
    <row r="40" spans="1:16" x14ac:dyDescent="0.2">
      <c r="A40" s="1">
        <v>7050000</v>
      </c>
      <c r="B40">
        <v>121.42</v>
      </c>
      <c r="E40">
        <v>7050000</v>
      </c>
      <c r="F40">
        <v>121.42</v>
      </c>
      <c r="G40">
        <v>1.1347939363194224E-13</v>
      </c>
      <c r="J40" s="1">
        <v>7050000</v>
      </c>
      <c r="K40">
        <v>1.17</v>
      </c>
      <c r="N40">
        <v>7050000</v>
      </c>
      <c r="O40">
        <v>1.17</v>
      </c>
      <c r="P40">
        <v>5.0760534778750475E-13</v>
      </c>
    </row>
    <row r="41" spans="1:16" x14ac:dyDescent="0.2">
      <c r="A41" s="1">
        <v>7560000</v>
      </c>
      <c r="B41">
        <v>121.97</v>
      </c>
      <c r="E41">
        <v>7560000</v>
      </c>
      <c r="F41">
        <v>121.97</v>
      </c>
      <c r="G41">
        <v>3.5438011312408477E-13</v>
      </c>
      <c r="J41" s="1">
        <v>7560000</v>
      </c>
      <c r="K41">
        <v>1.31</v>
      </c>
      <c r="N41">
        <v>7560000</v>
      </c>
      <c r="O41">
        <v>1.31</v>
      </c>
      <c r="P41">
        <v>-4.0863907790007997E-13</v>
      </c>
    </row>
    <row r="42" spans="1:16" x14ac:dyDescent="0.2">
      <c r="A42" s="1">
        <v>8170000</v>
      </c>
      <c r="B42">
        <v>122.72</v>
      </c>
      <c r="E42">
        <v>8170000</v>
      </c>
      <c r="F42">
        <v>122.72</v>
      </c>
      <c r="G42">
        <v>8.9795083415648225E-14</v>
      </c>
      <c r="J42" s="1">
        <v>8170000</v>
      </c>
      <c r="K42">
        <v>1.42</v>
      </c>
      <c r="N42">
        <v>8170000</v>
      </c>
      <c r="O42">
        <v>1.42</v>
      </c>
      <c r="P42">
        <v>1.4980524050801824E-13</v>
      </c>
    </row>
    <row r="43" spans="1:16" x14ac:dyDescent="0.2">
      <c r="A43" s="1">
        <v>8780000</v>
      </c>
      <c r="B43">
        <v>123.54</v>
      </c>
      <c r="E43">
        <v>8780000</v>
      </c>
      <c r="F43">
        <v>123.54</v>
      </c>
      <c r="G43">
        <v>4.1516838954775948E-13</v>
      </c>
      <c r="J43" s="1">
        <v>8780000</v>
      </c>
      <c r="K43">
        <v>1.56</v>
      </c>
      <c r="N43">
        <v>8780000</v>
      </c>
      <c r="O43">
        <v>1.56</v>
      </c>
      <c r="P43">
        <v>2.9315904572557588E-13</v>
      </c>
    </row>
    <row r="44" spans="1:16" x14ac:dyDescent="0.2">
      <c r="A44" s="1">
        <v>9390000</v>
      </c>
      <c r="B44">
        <v>124.47</v>
      </c>
      <c r="E44">
        <v>9390000</v>
      </c>
      <c r="F44">
        <v>124.47</v>
      </c>
      <c r="G44">
        <v>2.3248101204147442E-14</v>
      </c>
      <c r="J44" s="1">
        <v>9390000</v>
      </c>
      <c r="K44">
        <v>1.78</v>
      </c>
      <c r="N44">
        <v>9390000</v>
      </c>
      <c r="O44">
        <v>1.78</v>
      </c>
      <c r="P44">
        <v>-3.2465610456817436E-14</v>
      </c>
    </row>
    <row r="45" spans="1:16" x14ac:dyDescent="0.2">
      <c r="A45" s="1">
        <v>10000000</v>
      </c>
      <c r="B45">
        <v>125.48</v>
      </c>
      <c r="E45">
        <v>10000000</v>
      </c>
      <c r="F45">
        <v>125.48</v>
      </c>
      <c r="G45">
        <v>7.818150185893605E-13</v>
      </c>
      <c r="J45" s="1">
        <v>10000000</v>
      </c>
      <c r="K45">
        <v>2.02</v>
      </c>
      <c r="N45">
        <v>10000000</v>
      </c>
      <c r="O45">
        <v>2.02</v>
      </c>
      <c r="P45">
        <v>1.5919734934007131E-13</v>
      </c>
    </row>
    <row r="46" spans="1:16" x14ac:dyDescent="0.2">
      <c r="A46" s="1">
        <v>10700000</v>
      </c>
      <c r="B46">
        <v>126.84</v>
      </c>
      <c r="E46">
        <v>10700000</v>
      </c>
      <c r="F46">
        <v>126.84</v>
      </c>
      <c r="G46">
        <v>-4.8545723257721336E-13</v>
      </c>
      <c r="J46" s="1">
        <v>10700000</v>
      </c>
      <c r="K46">
        <v>2.35</v>
      </c>
      <c r="N46">
        <v>10700000</v>
      </c>
      <c r="O46">
        <v>2.35</v>
      </c>
      <c r="P46">
        <v>1.0088951139169018E-13</v>
      </c>
    </row>
    <row r="47" spans="1:16" x14ac:dyDescent="0.2">
      <c r="A47" s="1">
        <v>11600000</v>
      </c>
      <c r="B47">
        <v>128.58000000000001</v>
      </c>
      <c r="E47">
        <v>11600000</v>
      </c>
      <c r="F47">
        <v>128.58000000000001</v>
      </c>
      <c r="G47">
        <v>1.0544997489908199E-12</v>
      </c>
      <c r="J47" s="1">
        <v>11600000</v>
      </c>
      <c r="K47">
        <v>2.88</v>
      </c>
      <c r="N47">
        <v>11600000</v>
      </c>
      <c r="O47">
        <v>2.88</v>
      </c>
      <c r="P47">
        <v>3.0053035974493814E-13</v>
      </c>
    </row>
    <row r="48" spans="1:16" x14ac:dyDescent="0.2">
      <c r="A48" s="1">
        <v>12400000</v>
      </c>
      <c r="B48">
        <v>130.59</v>
      </c>
      <c r="E48">
        <v>12400000</v>
      </c>
      <c r="F48">
        <v>130.59</v>
      </c>
      <c r="G48">
        <v>4.0826545343822028E-13</v>
      </c>
      <c r="J48" s="1">
        <v>12400000</v>
      </c>
      <c r="K48">
        <v>3.54</v>
      </c>
      <c r="N48">
        <v>12400000</v>
      </c>
      <c r="O48">
        <v>3.54</v>
      </c>
      <c r="P48">
        <v>3.8007860410169738E-13</v>
      </c>
    </row>
    <row r="49" spans="1:16" x14ac:dyDescent="0.2">
      <c r="A49" s="1">
        <v>13200000</v>
      </c>
      <c r="B49">
        <v>132.86000000000001</v>
      </c>
      <c r="E49">
        <v>13200000</v>
      </c>
      <c r="F49">
        <v>132.86000000000001</v>
      </c>
      <c r="G49">
        <v>-2.5006156274352133E-13</v>
      </c>
      <c r="J49" s="1">
        <v>13200000</v>
      </c>
      <c r="K49">
        <v>4.43</v>
      </c>
      <c r="N49">
        <v>13200000</v>
      </c>
      <c r="O49">
        <v>4.43</v>
      </c>
      <c r="P49">
        <v>3.3540522384826778E-13</v>
      </c>
    </row>
    <row r="50" spans="1:16" x14ac:dyDescent="0.2">
      <c r="A50" s="1">
        <v>14200000</v>
      </c>
      <c r="B50">
        <v>135.72</v>
      </c>
      <c r="E50">
        <v>14200000</v>
      </c>
      <c r="F50">
        <v>135.72</v>
      </c>
      <c r="G50">
        <v>7.0860926312593654E-13</v>
      </c>
      <c r="J50" s="1">
        <v>14200000</v>
      </c>
      <c r="K50">
        <v>5.91</v>
      </c>
      <c r="N50">
        <v>14200000</v>
      </c>
      <c r="O50">
        <v>5.91</v>
      </c>
      <c r="P50">
        <v>6.9347831086488347E-13</v>
      </c>
    </row>
    <row r="51" spans="1:16" x14ac:dyDescent="0.2">
      <c r="A51" s="1">
        <v>15300000</v>
      </c>
      <c r="B51">
        <v>139.38999999999999</v>
      </c>
      <c r="E51">
        <v>15300000</v>
      </c>
      <c r="F51">
        <v>139.38999999999999</v>
      </c>
      <c r="G51">
        <v>1.2007679617856898E-13</v>
      </c>
      <c r="J51" s="1">
        <v>15300000</v>
      </c>
      <c r="K51">
        <v>8.31</v>
      </c>
      <c r="N51">
        <v>15300000</v>
      </c>
      <c r="O51">
        <v>8.31</v>
      </c>
      <c r="P51">
        <v>8.7535905584391832E-13</v>
      </c>
    </row>
    <row r="52" spans="1:16" x14ac:dyDescent="0.2">
      <c r="A52" s="1">
        <v>16400000</v>
      </c>
      <c r="B52">
        <v>143.28</v>
      </c>
      <c r="E52">
        <v>16400000</v>
      </c>
      <c r="F52">
        <v>143.28</v>
      </c>
      <c r="G52">
        <v>-9.8007356930986415E-14</v>
      </c>
      <c r="J52" s="1">
        <v>16400000</v>
      </c>
      <c r="K52">
        <v>11.73</v>
      </c>
      <c r="N52">
        <v>16400000</v>
      </c>
      <c r="O52">
        <v>11.73</v>
      </c>
      <c r="P52">
        <v>8.6293670542886428E-13</v>
      </c>
    </row>
    <row r="53" spans="1:16" x14ac:dyDescent="0.2">
      <c r="A53" s="1">
        <v>17500000</v>
      </c>
      <c r="B53">
        <v>147.07</v>
      </c>
      <c r="E53">
        <v>17500000</v>
      </c>
      <c r="F53">
        <v>147.07</v>
      </c>
      <c r="G53">
        <v>-2.2391513704977725E-13</v>
      </c>
      <c r="J53" s="1">
        <v>17500000</v>
      </c>
      <c r="K53">
        <v>16.41</v>
      </c>
      <c r="N53">
        <v>17500000</v>
      </c>
      <c r="O53">
        <v>16.41</v>
      </c>
      <c r="P53">
        <v>1.9208280067381427E-12</v>
      </c>
    </row>
    <row r="54" spans="1:16" x14ac:dyDescent="0.2">
      <c r="A54" s="1">
        <v>18700000</v>
      </c>
      <c r="B54">
        <v>150.66</v>
      </c>
      <c r="E54">
        <v>18700000</v>
      </c>
      <c r="F54">
        <v>150.66</v>
      </c>
      <c r="G54">
        <v>-1.3207579580617925E-12</v>
      </c>
      <c r="J54" s="1">
        <v>18700000</v>
      </c>
      <c r="K54">
        <v>23.49</v>
      </c>
      <c r="N54">
        <v>18700000</v>
      </c>
      <c r="O54">
        <v>23.49</v>
      </c>
      <c r="P54">
        <v>7.3073388133383814E-14</v>
      </c>
    </row>
    <row r="55" spans="1:16" x14ac:dyDescent="0.2">
      <c r="A55" s="1">
        <v>20200000</v>
      </c>
      <c r="B55">
        <v>152.75</v>
      </c>
      <c r="E55">
        <v>20200000</v>
      </c>
      <c r="F55">
        <v>152.75</v>
      </c>
      <c r="G55">
        <v>-1.4594725746710627E-12</v>
      </c>
      <c r="J55" s="1">
        <v>20200000</v>
      </c>
      <c r="K55">
        <v>33.549999999999997</v>
      </c>
      <c r="N55">
        <v>20200000</v>
      </c>
      <c r="O55">
        <v>33.549999999999997</v>
      </c>
      <c r="P55">
        <v>1.4269400639959717E-12</v>
      </c>
    </row>
    <row r="56" spans="1:16" x14ac:dyDescent="0.2">
      <c r="A56" s="1">
        <v>21600000</v>
      </c>
      <c r="B56">
        <v>151.80000000000001</v>
      </c>
      <c r="E56">
        <v>21600000</v>
      </c>
      <c r="F56">
        <v>151.80000000000001</v>
      </c>
      <c r="G56">
        <v>-1.4181076437454882E-12</v>
      </c>
      <c r="J56" s="1">
        <v>21600000</v>
      </c>
      <c r="K56">
        <v>44.49</v>
      </c>
      <c r="N56">
        <v>21600000</v>
      </c>
      <c r="O56">
        <v>44.49</v>
      </c>
      <c r="P56">
        <v>-1.2429629769017103E-12</v>
      </c>
    </row>
    <row r="57" spans="1:16" x14ac:dyDescent="0.2">
      <c r="A57" s="1">
        <v>23100000</v>
      </c>
      <c r="B57">
        <v>147.86000000000001</v>
      </c>
      <c r="E57">
        <v>23100000</v>
      </c>
      <c r="F57">
        <v>147.86000000000001</v>
      </c>
      <c r="G57">
        <v>-9.4685699353876536E-13</v>
      </c>
      <c r="J57" s="1">
        <v>23100000</v>
      </c>
      <c r="K57">
        <v>54.68</v>
      </c>
      <c r="N57">
        <v>23100000</v>
      </c>
      <c r="O57">
        <v>54.68</v>
      </c>
      <c r="P57">
        <v>-6.0949673951917313E-13</v>
      </c>
    </row>
    <row r="58" spans="1:16" x14ac:dyDescent="0.2">
      <c r="A58" s="1">
        <v>24800000</v>
      </c>
      <c r="B58">
        <v>140.88</v>
      </c>
      <c r="E58">
        <v>24800000</v>
      </c>
      <c r="F58">
        <v>140.88</v>
      </c>
      <c r="G58">
        <v>-4.0485170198870543E-13</v>
      </c>
      <c r="J58" s="1">
        <v>24800000</v>
      </c>
      <c r="K58">
        <v>64.11</v>
      </c>
      <c r="N58">
        <v>24800000</v>
      </c>
      <c r="O58">
        <v>64.11</v>
      </c>
      <c r="P58">
        <v>-1.0073079179695562E-12</v>
      </c>
    </row>
    <row r="59" spans="1:16" x14ac:dyDescent="0.2">
      <c r="A59" s="1">
        <v>26700000</v>
      </c>
      <c r="B59">
        <v>131.6</v>
      </c>
      <c r="E59">
        <v>26700000</v>
      </c>
      <c r="F59">
        <v>131.6</v>
      </c>
      <c r="G59">
        <v>-7.6515735217388813E-14</v>
      </c>
      <c r="J59" s="1">
        <v>26700000</v>
      </c>
      <c r="K59">
        <v>71.61</v>
      </c>
      <c r="N59">
        <v>26700000</v>
      </c>
      <c r="O59">
        <v>71.61</v>
      </c>
      <c r="P59">
        <v>-6.8914786752488556E-13</v>
      </c>
    </row>
    <row r="60" spans="1:16" x14ac:dyDescent="0.2">
      <c r="A60" s="1">
        <v>28600000</v>
      </c>
      <c r="B60">
        <v>122.17</v>
      </c>
      <c r="E60">
        <v>28600000</v>
      </c>
      <c r="F60">
        <v>122.17</v>
      </c>
      <c r="G60">
        <v>4.6160716363389758E-13</v>
      </c>
      <c r="J60" s="1">
        <v>28600000</v>
      </c>
      <c r="K60">
        <v>76.41</v>
      </c>
      <c r="N60">
        <v>28600000</v>
      </c>
      <c r="O60">
        <v>76.41</v>
      </c>
      <c r="P60">
        <v>-7.2363523796968653E-13</v>
      </c>
    </row>
    <row r="61" spans="1:16" x14ac:dyDescent="0.2">
      <c r="A61" s="1">
        <v>30500000</v>
      </c>
      <c r="B61">
        <v>113.86</v>
      </c>
      <c r="E61">
        <v>30500000</v>
      </c>
      <c r="F61">
        <v>113.86</v>
      </c>
      <c r="G61">
        <v>9.1582925557129098E-14</v>
      </c>
      <c r="J61" s="1">
        <v>30500000</v>
      </c>
      <c r="K61">
        <v>78.94</v>
      </c>
      <c r="N61">
        <v>30500000</v>
      </c>
      <c r="O61">
        <v>78.94</v>
      </c>
      <c r="P61">
        <v>-1.8916436619192913E-13</v>
      </c>
    </row>
    <row r="62" spans="1:16" x14ac:dyDescent="0.2">
      <c r="A62" s="1">
        <v>32700000</v>
      </c>
      <c r="B62">
        <v>105.12</v>
      </c>
      <c r="E62">
        <v>32700000</v>
      </c>
      <c r="F62">
        <v>105.12</v>
      </c>
      <c r="G62">
        <v>3.5350364832791679E-13</v>
      </c>
      <c r="J62" s="1">
        <v>32700000</v>
      </c>
      <c r="K62">
        <v>80.56</v>
      </c>
      <c r="N62">
        <v>32700000</v>
      </c>
      <c r="O62">
        <v>80.56</v>
      </c>
      <c r="P62">
        <v>-2.9328959596021657E-13</v>
      </c>
    </row>
    <row r="63" spans="1:16" x14ac:dyDescent="0.2">
      <c r="A63" s="1">
        <v>35300000</v>
      </c>
      <c r="B63">
        <v>96.33</v>
      </c>
      <c r="E63">
        <v>35300000</v>
      </c>
      <c r="F63">
        <v>96.33</v>
      </c>
      <c r="G63">
        <v>-1.668046477902486E-14</v>
      </c>
      <c r="J63" s="1">
        <v>35300000</v>
      </c>
      <c r="K63">
        <v>80.98</v>
      </c>
      <c r="N63">
        <v>35300000</v>
      </c>
      <c r="O63">
        <v>80.98</v>
      </c>
      <c r="P63">
        <v>-8.3542046965667038E-14</v>
      </c>
    </row>
    <row r="64" spans="1:16" x14ac:dyDescent="0.2">
      <c r="A64" s="1">
        <v>37800000</v>
      </c>
      <c r="B64">
        <v>88.56</v>
      </c>
      <c r="E64">
        <v>37800000</v>
      </c>
      <c r="F64">
        <v>88.56</v>
      </c>
      <c r="G64">
        <v>3.5505865588355145E-13</v>
      </c>
      <c r="J64" s="1">
        <v>37800000</v>
      </c>
      <c r="K64">
        <v>80.56</v>
      </c>
      <c r="N64">
        <v>37800000</v>
      </c>
      <c r="O64">
        <v>80.56</v>
      </c>
      <c r="P64">
        <v>-1.4501957627376406E-13</v>
      </c>
    </row>
    <row r="65" spans="1:16" x14ac:dyDescent="0.2">
      <c r="A65" s="1">
        <v>40400000</v>
      </c>
      <c r="B65">
        <v>82.07</v>
      </c>
      <c r="E65">
        <v>40400000</v>
      </c>
      <c r="F65">
        <v>82.07</v>
      </c>
      <c r="G65">
        <v>3.5069151927781309E-14</v>
      </c>
      <c r="J65" s="1">
        <v>40400000</v>
      </c>
      <c r="K65">
        <v>79.37</v>
      </c>
      <c r="N65">
        <v>40400000</v>
      </c>
      <c r="O65">
        <v>79.37</v>
      </c>
      <c r="P65">
        <v>-1.9268865672029209E-14</v>
      </c>
    </row>
    <row r="66" spans="1:16" x14ac:dyDescent="0.2">
      <c r="A66" s="1">
        <v>43300000</v>
      </c>
      <c r="B66">
        <v>75.64</v>
      </c>
      <c r="E66">
        <v>43300000</v>
      </c>
      <c r="F66">
        <v>75.64</v>
      </c>
      <c r="G66">
        <v>1.2571090502007428E-13</v>
      </c>
      <c r="J66" s="1">
        <v>43300000</v>
      </c>
      <c r="K66">
        <v>77.69</v>
      </c>
      <c r="N66">
        <v>43300000</v>
      </c>
      <c r="O66">
        <v>77.69</v>
      </c>
      <c r="P66">
        <v>-4.8517173140545575E-14</v>
      </c>
    </row>
    <row r="67" spans="1:16" x14ac:dyDescent="0.2">
      <c r="A67" s="1">
        <v>46600000</v>
      </c>
      <c r="B67">
        <v>69.45</v>
      </c>
      <c r="E67">
        <v>46600000</v>
      </c>
      <c r="F67">
        <v>69.45</v>
      </c>
      <c r="G67">
        <v>1.1769304802336857E-13</v>
      </c>
      <c r="J67" s="1">
        <v>46600000</v>
      </c>
      <c r="K67">
        <v>75.44</v>
      </c>
      <c r="N67">
        <v>46600000</v>
      </c>
      <c r="O67">
        <v>75.44</v>
      </c>
      <c r="P67">
        <v>1.2862313772148496E-14</v>
      </c>
    </row>
    <row r="68" spans="1:16" x14ac:dyDescent="0.2">
      <c r="A68" s="1">
        <v>50000000</v>
      </c>
      <c r="B68">
        <v>64.33</v>
      </c>
      <c r="E68">
        <v>50000000</v>
      </c>
      <c r="F68">
        <v>64.33</v>
      </c>
      <c r="G68">
        <v>6.6858384358529272E-14</v>
      </c>
      <c r="J68" s="1">
        <v>50000000</v>
      </c>
      <c r="K68">
        <v>73.150000000000006</v>
      </c>
      <c r="N68">
        <v>50000000</v>
      </c>
      <c r="O68">
        <v>73.150000000000006</v>
      </c>
      <c r="P68">
        <v>1.1024790334670663E-14</v>
      </c>
    </row>
    <row r="69" spans="1:16" x14ac:dyDescent="0.2">
      <c r="A69" s="1">
        <v>53400000</v>
      </c>
      <c r="B69">
        <v>60.03</v>
      </c>
      <c r="E69">
        <v>53400000</v>
      </c>
      <c r="F69">
        <v>60.03</v>
      </c>
      <c r="G69">
        <v>4.0478950874698326E-14</v>
      </c>
      <c r="J69" s="1">
        <v>53400000</v>
      </c>
      <c r="K69">
        <v>70.95</v>
      </c>
      <c r="N69">
        <v>53400000</v>
      </c>
      <c r="O69">
        <v>70.95</v>
      </c>
      <c r="P69">
        <v>-1.0248672342670654E-14</v>
      </c>
    </row>
    <row r="70" spans="1:16" x14ac:dyDescent="0.2">
      <c r="A70" s="1">
        <v>57200000</v>
      </c>
      <c r="B70">
        <v>55.88</v>
      </c>
      <c r="E70">
        <v>57200000</v>
      </c>
      <c r="F70">
        <v>55.88</v>
      </c>
      <c r="G70">
        <v>5.9312714672531632E-14</v>
      </c>
      <c r="J70" s="1">
        <v>57200000</v>
      </c>
      <c r="K70">
        <v>68.5</v>
      </c>
      <c r="N70">
        <v>57200000</v>
      </c>
      <c r="O70">
        <v>68.5</v>
      </c>
      <c r="P70">
        <v>3.2639074510912912E-14</v>
      </c>
    </row>
    <row r="71" spans="1:16" x14ac:dyDescent="0.2">
      <c r="A71" s="1">
        <v>61700000</v>
      </c>
      <c r="B71">
        <v>51.86</v>
      </c>
      <c r="E71">
        <v>61700000</v>
      </c>
      <c r="F71">
        <v>51.86</v>
      </c>
      <c r="G71">
        <v>1.2049000457662969E-14</v>
      </c>
      <c r="J71" s="1">
        <v>61700000</v>
      </c>
      <c r="K71">
        <v>65.97</v>
      </c>
      <c r="N71">
        <v>61700000</v>
      </c>
      <c r="O71">
        <v>65.97</v>
      </c>
      <c r="P71">
        <v>-1.7279917068349697E-15</v>
      </c>
    </row>
    <row r="72" spans="1:16" x14ac:dyDescent="0.2">
      <c r="A72" s="1">
        <v>66100000</v>
      </c>
      <c r="B72">
        <v>48.4</v>
      </c>
      <c r="E72">
        <v>66100000</v>
      </c>
      <c r="F72">
        <v>48.4</v>
      </c>
      <c r="G72">
        <v>3.646335401031628E-14</v>
      </c>
      <c r="J72" s="1">
        <v>66100000</v>
      </c>
      <c r="K72">
        <v>63.62</v>
      </c>
      <c r="N72">
        <v>66100000</v>
      </c>
      <c r="O72">
        <v>63.62</v>
      </c>
      <c r="P72">
        <v>1.1970521788734704E-14</v>
      </c>
    </row>
    <row r="73" spans="1:16" x14ac:dyDescent="0.2">
      <c r="A73" s="1">
        <v>70500000</v>
      </c>
      <c r="B73">
        <v>45.5</v>
      </c>
      <c r="E73">
        <v>70500000</v>
      </c>
      <c r="F73">
        <v>45.5</v>
      </c>
      <c r="G73">
        <v>1.5651302509337059E-14</v>
      </c>
      <c r="J73" s="1">
        <v>70500000</v>
      </c>
      <c r="K73">
        <v>61.47</v>
      </c>
      <c r="N73">
        <v>70500000</v>
      </c>
      <c r="O73">
        <v>61.47</v>
      </c>
      <c r="P73">
        <v>1.5829375626277259E-14</v>
      </c>
    </row>
    <row r="74" spans="1:16" x14ac:dyDescent="0.2">
      <c r="A74" s="1">
        <v>75600000</v>
      </c>
      <c r="B74">
        <v>42.6</v>
      </c>
      <c r="E74">
        <v>75600000</v>
      </c>
      <c r="F74">
        <v>42.6</v>
      </c>
      <c r="G74">
        <v>1.666024379221676E-14</v>
      </c>
      <c r="J74" s="1">
        <v>75600000</v>
      </c>
      <c r="K74">
        <v>59.3</v>
      </c>
      <c r="N74">
        <v>75600000</v>
      </c>
      <c r="O74">
        <v>59.3</v>
      </c>
      <c r="P74">
        <v>4.9899161917429475E-15</v>
      </c>
    </row>
    <row r="75" spans="1:16" x14ac:dyDescent="0.2">
      <c r="A75" s="1">
        <v>81700000</v>
      </c>
      <c r="B75">
        <v>39.659999999999997</v>
      </c>
      <c r="E75">
        <v>81700000</v>
      </c>
      <c r="F75">
        <v>39.659999999999997</v>
      </c>
      <c r="G75">
        <v>1.0975462860745488E-14</v>
      </c>
      <c r="J75" s="1">
        <v>81700000</v>
      </c>
      <c r="K75">
        <v>56.95</v>
      </c>
      <c r="N75">
        <v>81700000</v>
      </c>
      <c r="O75">
        <v>56.95</v>
      </c>
      <c r="P75">
        <v>8.0265292205695592E-15</v>
      </c>
    </row>
    <row r="76" spans="1:16" x14ac:dyDescent="0.2">
      <c r="A76" s="1">
        <v>87800000</v>
      </c>
      <c r="B76">
        <v>37.130000000000003</v>
      </c>
      <c r="E76">
        <v>87800000</v>
      </c>
      <c r="F76">
        <v>37.130000000000003</v>
      </c>
      <c r="G76">
        <v>5.5491651786703318E-15</v>
      </c>
      <c r="J76" s="1">
        <v>87800000</v>
      </c>
      <c r="K76">
        <v>54.88</v>
      </c>
      <c r="N76">
        <v>87800000</v>
      </c>
      <c r="O76">
        <v>54.88</v>
      </c>
      <c r="P76">
        <v>8.0531203793506075E-15</v>
      </c>
    </row>
    <row r="77" spans="1:16" x14ac:dyDescent="0.2">
      <c r="A77" s="1">
        <v>93900000</v>
      </c>
      <c r="B77">
        <v>34.869999999999997</v>
      </c>
      <c r="E77">
        <v>93900000</v>
      </c>
      <c r="F77">
        <v>34.869999999999997</v>
      </c>
      <c r="G77">
        <v>1.0364560111752248E-14</v>
      </c>
      <c r="J77" s="1">
        <v>93900000</v>
      </c>
      <c r="K77">
        <v>53.08</v>
      </c>
      <c r="N77">
        <v>93900000</v>
      </c>
      <c r="O77">
        <v>53.08</v>
      </c>
      <c r="P77">
        <v>3.2976729492082184E-15</v>
      </c>
    </row>
    <row r="78" spans="1:16" x14ac:dyDescent="0.2">
      <c r="A78" s="1">
        <v>100000000</v>
      </c>
      <c r="B78">
        <v>32.9</v>
      </c>
      <c r="E78">
        <v>100000000</v>
      </c>
      <c r="F78">
        <v>32.9</v>
      </c>
      <c r="G78">
        <v>-2.4578240611366904E-16</v>
      </c>
      <c r="J78" s="1">
        <v>100000000</v>
      </c>
      <c r="K78">
        <v>51.43</v>
      </c>
      <c r="N78">
        <v>100000000</v>
      </c>
      <c r="O78">
        <v>51.43</v>
      </c>
      <c r="P78">
        <v>2.9432343166956868E-15</v>
      </c>
    </row>
    <row r="79" spans="1:16" x14ac:dyDescent="0.2">
      <c r="A79" s="1">
        <v>107000000</v>
      </c>
      <c r="B79">
        <v>30.8</v>
      </c>
      <c r="E79">
        <v>107000000</v>
      </c>
      <c r="F79">
        <v>30.8</v>
      </c>
      <c r="G79">
        <v>1.1560085770182387E-14</v>
      </c>
      <c r="J79" s="1">
        <v>107000000</v>
      </c>
      <c r="K79">
        <v>49.72</v>
      </c>
      <c r="N79">
        <v>107000000</v>
      </c>
      <c r="O79">
        <v>49.72</v>
      </c>
      <c r="P79">
        <v>8.572569981463742E-15</v>
      </c>
    </row>
    <row r="80" spans="1:16" x14ac:dyDescent="0.2">
      <c r="A80" s="1">
        <v>116000000</v>
      </c>
      <c r="B80">
        <v>28.6</v>
      </c>
      <c r="E80">
        <v>116000000</v>
      </c>
      <c r="F80">
        <v>28.6</v>
      </c>
      <c r="G80">
        <v>-3.8743260521898194E-15</v>
      </c>
      <c r="J80" s="1">
        <v>116000000</v>
      </c>
      <c r="K80">
        <v>47.92</v>
      </c>
      <c r="N80">
        <v>116000000</v>
      </c>
      <c r="O80">
        <v>47.92</v>
      </c>
      <c r="P80">
        <v>-3.2456215454912262E-15</v>
      </c>
    </row>
    <row r="81" spans="1:16" x14ac:dyDescent="0.2">
      <c r="A81" s="1">
        <v>124000000</v>
      </c>
      <c r="B81">
        <v>26.66</v>
      </c>
      <c r="E81">
        <v>124000000</v>
      </c>
      <c r="F81">
        <v>26.66</v>
      </c>
      <c r="G81">
        <v>4.9191225636846806E-15</v>
      </c>
      <c r="J81" s="1">
        <v>124000000</v>
      </c>
      <c r="K81">
        <v>46.32</v>
      </c>
      <c r="N81">
        <v>124000000</v>
      </c>
      <c r="O81">
        <v>46.32</v>
      </c>
      <c r="P81">
        <v>4.1497503391906239E-15</v>
      </c>
    </row>
    <row r="82" spans="1:16" x14ac:dyDescent="0.2">
      <c r="A82" s="1">
        <v>132000000</v>
      </c>
      <c r="B82">
        <v>24.92</v>
      </c>
      <c r="E82">
        <v>132000000</v>
      </c>
      <c r="F82">
        <v>24.92</v>
      </c>
      <c r="G82">
        <v>2.9478357974513736E-15</v>
      </c>
      <c r="J82" s="1">
        <v>132000000</v>
      </c>
      <c r="K82">
        <v>44.89</v>
      </c>
      <c r="N82">
        <v>132000000</v>
      </c>
      <c r="O82">
        <v>44.89</v>
      </c>
      <c r="P82">
        <v>2.5841201887288952E-15</v>
      </c>
    </row>
    <row r="83" spans="1:16" x14ac:dyDescent="0.2">
      <c r="A83" s="1">
        <v>142000000</v>
      </c>
      <c r="B83">
        <v>23.03</v>
      </c>
      <c r="E83">
        <v>142000000</v>
      </c>
      <c r="F83">
        <v>23.03</v>
      </c>
      <c r="G83">
        <v>2.5524930782271483E-15</v>
      </c>
      <c r="J83" s="1">
        <v>142000000</v>
      </c>
      <c r="K83">
        <v>43.33</v>
      </c>
      <c r="N83">
        <v>142000000</v>
      </c>
      <c r="O83">
        <v>43.33</v>
      </c>
      <c r="P83">
        <v>1.0273670492233111E-15</v>
      </c>
    </row>
    <row r="84" spans="1:16" x14ac:dyDescent="0.2">
      <c r="A84" s="1">
        <v>153000000</v>
      </c>
      <c r="B84">
        <v>21.2</v>
      </c>
      <c r="E84">
        <v>153000000</v>
      </c>
      <c r="F84">
        <v>21.2</v>
      </c>
      <c r="G84">
        <v>-7.8625949261163523E-17</v>
      </c>
      <c r="J84" s="1">
        <v>153000000</v>
      </c>
      <c r="K84">
        <v>41.76</v>
      </c>
      <c r="N84">
        <v>153000000</v>
      </c>
      <c r="O84">
        <v>41.76</v>
      </c>
      <c r="P84">
        <v>9.6779506197244608E-16</v>
      </c>
    </row>
    <row r="85" spans="1:16" x14ac:dyDescent="0.2">
      <c r="A85" s="1">
        <v>164000000</v>
      </c>
      <c r="B85">
        <v>19.46</v>
      </c>
      <c r="E85">
        <v>164000000</v>
      </c>
      <c r="F85">
        <v>19.46</v>
      </c>
      <c r="G85">
        <v>2.2248206361730488E-15</v>
      </c>
      <c r="J85" s="1">
        <v>164000000</v>
      </c>
      <c r="K85">
        <v>40.299999999999997</v>
      </c>
      <c r="N85">
        <v>164000000</v>
      </c>
      <c r="O85">
        <v>40.299999999999997</v>
      </c>
      <c r="P85">
        <v>5.5599815743232106E-16</v>
      </c>
    </row>
    <row r="86" spans="1:16" x14ac:dyDescent="0.2">
      <c r="A86" s="1">
        <v>175000000</v>
      </c>
      <c r="B86">
        <v>17.899999999999999</v>
      </c>
      <c r="E86">
        <v>175000000</v>
      </c>
      <c r="F86">
        <v>17.899999999999999</v>
      </c>
      <c r="G86">
        <v>1.0496323927952036E-16</v>
      </c>
      <c r="J86" s="1">
        <v>175000000</v>
      </c>
      <c r="K86">
        <v>38.909999999999997</v>
      </c>
      <c r="N86">
        <v>175000000</v>
      </c>
      <c r="O86">
        <v>38.909999999999997</v>
      </c>
      <c r="P86">
        <v>2.7928668846357787E-16</v>
      </c>
    </row>
    <row r="87" spans="1:16" x14ac:dyDescent="0.2">
      <c r="A87" s="1">
        <v>187000000</v>
      </c>
      <c r="B87">
        <v>16.32</v>
      </c>
      <c r="E87">
        <v>187000000</v>
      </c>
      <c r="F87">
        <v>16.32</v>
      </c>
      <c r="G87">
        <v>2.6339795753609559E-15</v>
      </c>
      <c r="J87" s="1">
        <v>187000000</v>
      </c>
      <c r="K87">
        <v>37.479999999999997</v>
      </c>
      <c r="N87">
        <v>187000000</v>
      </c>
      <c r="O87">
        <v>37.479999999999997</v>
      </c>
      <c r="P87">
        <v>2.0182208983948764E-15</v>
      </c>
    </row>
    <row r="88" spans="1:16" x14ac:dyDescent="0.2">
      <c r="A88" s="1">
        <v>202000000</v>
      </c>
      <c r="B88">
        <v>14.68</v>
      </c>
      <c r="E88">
        <v>202000000</v>
      </c>
      <c r="F88">
        <v>14.68</v>
      </c>
      <c r="G88">
        <v>-6.3296372938979248E-16</v>
      </c>
      <c r="J88" s="1">
        <v>202000000</v>
      </c>
      <c r="K88">
        <v>35.950000000000003</v>
      </c>
      <c r="N88">
        <v>202000000</v>
      </c>
      <c r="O88">
        <v>35.950000000000003</v>
      </c>
      <c r="P88">
        <v>-6.2235791832560062E-16</v>
      </c>
    </row>
    <row r="89" spans="1:16" x14ac:dyDescent="0.2">
      <c r="A89" s="1">
        <v>216000000</v>
      </c>
      <c r="B89">
        <v>13.23</v>
      </c>
      <c r="E89">
        <v>216000000</v>
      </c>
      <c r="F89">
        <v>13.23</v>
      </c>
      <c r="G89">
        <v>2.269545088973055E-15</v>
      </c>
      <c r="J89" s="1">
        <v>216000000</v>
      </c>
      <c r="K89">
        <v>34.549999999999997</v>
      </c>
      <c r="N89">
        <v>216000000</v>
      </c>
      <c r="O89">
        <v>34.549999999999997</v>
      </c>
      <c r="P89">
        <v>1.27310327049692E-15</v>
      </c>
    </row>
    <row r="90" spans="1:16" x14ac:dyDescent="0.2">
      <c r="A90" s="1">
        <v>231000000</v>
      </c>
      <c r="B90">
        <v>11.97</v>
      </c>
      <c r="E90">
        <v>231000000</v>
      </c>
      <c r="F90">
        <v>11.97</v>
      </c>
      <c r="G90">
        <v>-3.5623676802726116E-16</v>
      </c>
      <c r="J90" s="1">
        <v>231000000</v>
      </c>
      <c r="K90">
        <v>33.22</v>
      </c>
      <c r="N90">
        <v>231000000</v>
      </c>
      <c r="O90">
        <v>33.22</v>
      </c>
      <c r="P90">
        <v>1.9153474451601388E-16</v>
      </c>
    </row>
    <row r="91" spans="1:16" x14ac:dyDescent="0.2">
      <c r="A91" s="1">
        <v>248000000</v>
      </c>
      <c r="B91">
        <v>10.62</v>
      </c>
      <c r="E91">
        <v>248000000</v>
      </c>
      <c r="F91">
        <v>10.62</v>
      </c>
      <c r="G91">
        <v>9.5796403434436306E-16</v>
      </c>
      <c r="J91" s="1">
        <v>248000000</v>
      </c>
      <c r="K91">
        <v>31.81</v>
      </c>
      <c r="N91">
        <v>248000000</v>
      </c>
      <c r="O91">
        <v>31.81</v>
      </c>
      <c r="P91">
        <v>1.7636285117594933E-16</v>
      </c>
    </row>
    <row r="92" spans="1:16" x14ac:dyDescent="0.2">
      <c r="A92" s="1">
        <v>267000000</v>
      </c>
      <c r="B92">
        <v>9.32</v>
      </c>
      <c r="E92">
        <v>267000000</v>
      </c>
      <c r="F92">
        <v>9.32</v>
      </c>
      <c r="G92">
        <v>1.5930984365740018E-16</v>
      </c>
      <c r="J92" s="1">
        <v>267000000</v>
      </c>
      <c r="K92">
        <v>30.3</v>
      </c>
      <c r="N92">
        <v>267000000</v>
      </c>
      <c r="O92">
        <v>30.3</v>
      </c>
      <c r="P92">
        <v>2.5530197994377001E-16</v>
      </c>
    </row>
    <row r="93" spans="1:16" x14ac:dyDescent="0.2">
      <c r="A93" s="1">
        <v>286000000</v>
      </c>
      <c r="B93">
        <v>8.16</v>
      </c>
      <c r="E93">
        <v>286000000</v>
      </c>
      <c r="F93">
        <v>8.16</v>
      </c>
      <c r="G93">
        <v>7.3166639712019806E-16</v>
      </c>
      <c r="J93" s="1">
        <v>286000000</v>
      </c>
      <c r="K93">
        <v>28.89</v>
      </c>
      <c r="N93">
        <v>286000000</v>
      </c>
      <c r="O93">
        <v>28.89</v>
      </c>
      <c r="P93">
        <v>4.6447909054478012E-16</v>
      </c>
    </row>
    <row r="94" spans="1:16" x14ac:dyDescent="0.2">
      <c r="A94" s="1">
        <v>305000000</v>
      </c>
      <c r="B94">
        <v>7.2</v>
      </c>
      <c r="E94">
        <v>305000000</v>
      </c>
      <c r="F94">
        <v>7.2</v>
      </c>
      <c r="G94">
        <v>2.3812429085349965E-16</v>
      </c>
      <c r="J94" s="1">
        <v>305000000</v>
      </c>
      <c r="K94">
        <v>27.62</v>
      </c>
      <c r="N94">
        <v>305000000</v>
      </c>
      <c r="O94">
        <v>27.62</v>
      </c>
      <c r="P94">
        <v>2.1365146397130025E-16</v>
      </c>
    </row>
    <row r="95" spans="1:16" x14ac:dyDescent="0.2">
      <c r="A95" s="1">
        <v>327000000</v>
      </c>
      <c r="B95">
        <v>6.24</v>
      </c>
      <c r="E95">
        <v>327000000</v>
      </c>
      <c r="F95">
        <v>6.24</v>
      </c>
      <c r="G95">
        <v>3.5962997833588879E-16</v>
      </c>
      <c r="J95" s="1">
        <v>327000000</v>
      </c>
      <c r="K95">
        <v>26.28</v>
      </c>
      <c r="N95">
        <v>327000000</v>
      </c>
      <c r="O95">
        <v>26.28</v>
      </c>
      <c r="P95">
        <v>4.2061651629110878E-16</v>
      </c>
    </row>
    <row r="96" spans="1:16" x14ac:dyDescent="0.2">
      <c r="A96" s="1">
        <v>353000000</v>
      </c>
      <c r="B96">
        <v>5.3</v>
      </c>
      <c r="E96">
        <v>353000000</v>
      </c>
      <c r="F96">
        <v>5.3</v>
      </c>
      <c r="G96">
        <v>1.9738048369547928E-16</v>
      </c>
      <c r="J96" s="1">
        <v>353000000</v>
      </c>
      <c r="K96">
        <v>24.89</v>
      </c>
      <c r="N96">
        <v>353000000</v>
      </c>
      <c r="O96">
        <v>24.89</v>
      </c>
      <c r="P96">
        <v>-1.5161657153867883E-17</v>
      </c>
    </row>
    <row r="97" spans="1:16" x14ac:dyDescent="0.2">
      <c r="A97" s="1">
        <v>378000000</v>
      </c>
      <c r="B97">
        <v>4.54</v>
      </c>
      <c r="E97">
        <v>378000000</v>
      </c>
      <c r="F97">
        <v>4.54</v>
      </c>
      <c r="G97">
        <v>2.0159552597620199E-16</v>
      </c>
      <c r="J97" s="1">
        <v>378000000</v>
      </c>
      <c r="K97">
        <v>23.63</v>
      </c>
      <c r="N97">
        <v>378000000</v>
      </c>
      <c r="O97">
        <v>23.63</v>
      </c>
      <c r="P97">
        <v>3.591876150142492E-16</v>
      </c>
    </row>
    <row r="98" spans="1:16" x14ac:dyDescent="0.2">
      <c r="A98" s="1">
        <v>404000000</v>
      </c>
      <c r="B98">
        <v>3.87</v>
      </c>
      <c r="E98">
        <v>404000000</v>
      </c>
      <c r="F98">
        <v>3.87</v>
      </c>
      <c r="G98">
        <v>8.7975370871376406E-17</v>
      </c>
      <c r="J98" s="1">
        <v>404000000</v>
      </c>
      <c r="K98">
        <v>22.49</v>
      </c>
      <c r="N98">
        <v>404000000</v>
      </c>
      <c r="O98">
        <v>22.49</v>
      </c>
      <c r="P98">
        <v>1.1788390847963251E-16</v>
      </c>
    </row>
    <row r="99" spans="1:16" x14ac:dyDescent="0.2">
      <c r="A99" s="1">
        <v>433000000</v>
      </c>
      <c r="B99">
        <v>3.21</v>
      </c>
      <c r="E99">
        <v>433000000</v>
      </c>
      <c r="F99">
        <v>3.21</v>
      </c>
      <c r="G99">
        <v>1.0844434504209875E-16</v>
      </c>
      <c r="J99" s="1">
        <v>433000000</v>
      </c>
      <c r="K99">
        <v>21.36</v>
      </c>
      <c r="N99">
        <v>433000000</v>
      </c>
      <c r="O99">
        <v>21.36</v>
      </c>
      <c r="P99">
        <v>2.4061074846611977E-16</v>
      </c>
    </row>
    <row r="100" spans="1:16" x14ac:dyDescent="0.2">
      <c r="A100" s="1">
        <v>466000000</v>
      </c>
      <c r="B100">
        <v>2.57</v>
      </c>
      <c r="E100">
        <v>466000000</v>
      </c>
      <c r="F100">
        <v>2.57</v>
      </c>
      <c r="G100">
        <v>1.2696070405468248E-16</v>
      </c>
      <c r="J100" s="1">
        <v>466000000</v>
      </c>
      <c r="K100">
        <v>20.25</v>
      </c>
      <c r="N100">
        <v>466000000</v>
      </c>
      <c r="O100">
        <v>20.25</v>
      </c>
      <c r="P100">
        <v>-3.8771046230735002E-17</v>
      </c>
    </row>
    <row r="101" spans="1:16" x14ac:dyDescent="0.2">
      <c r="A101" s="1">
        <v>500000000</v>
      </c>
      <c r="B101">
        <v>2.0499999999999998</v>
      </c>
      <c r="E101">
        <v>500000000</v>
      </c>
      <c r="F101">
        <v>2.0499999999999998</v>
      </c>
      <c r="G101">
        <v>1.1786861034019827E-16</v>
      </c>
      <c r="J101" s="1">
        <v>500000000</v>
      </c>
      <c r="K101">
        <v>19.170000000000002</v>
      </c>
      <c r="N101">
        <v>500000000</v>
      </c>
      <c r="O101">
        <v>19.170000000000002</v>
      </c>
      <c r="P101">
        <v>2.4956211822355621E-16</v>
      </c>
    </row>
    <row r="102" spans="1:16" x14ac:dyDescent="0.2">
      <c r="A102" s="1">
        <v>534000000</v>
      </c>
      <c r="B102">
        <v>1.63</v>
      </c>
      <c r="E102">
        <v>534000000</v>
      </c>
      <c r="F102">
        <v>1.63</v>
      </c>
      <c r="G102">
        <v>-7.9404003546962931E-17</v>
      </c>
      <c r="J102" s="1">
        <v>534000000</v>
      </c>
      <c r="K102">
        <v>18.27</v>
      </c>
      <c r="N102">
        <v>534000000</v>
      </c>
      <c r="O102">
        <v>18.27</v>
      </c>
      <c r="P102">
        <v>-2.522137130018737E-17</v>
      </c>
    </row>
    <row r="103" spans="1:16" x14ac:dyDescent="0.2">
      <c r="A103" s="1">
        <v>572000000</v>
      </c>
      <c r="B103">
        <v>1.1499999999999999</v>
      </c>
      <c r="E103">
        <v>572000000</v>
      </c>
      <c r="F103">
        <v>1.1499999999999999</v>
      </c>
      <c r="G103">
        <v>1.5144255615286614E-16</v>
      </c>
      <c r="J103" s="1">
        <v>572000000</v>
      </c>
      <c r="K103">
        <v>17.329999999999998</v>
      </c>
      <c r="N103">
        <v>572000000</v>
      </c>
      <c r="O103">
        <v>17.329999999999998</v>
      </c>
      <c r="P103">
        <v>1.4603269020557891E-16</v>
      </c>
    </row>
    <row r="104" spans="1:16" x14ac:dyDescent="0.2">
      <c r="A104" s="1">
        <v>617000000</v>
      </c>
      <c r="B104">
        <v>0.74</v>
      </c>
      <c r="E104">
        <v>617000000</v>
      </c>
      <c r="F104">
        <v>0.74</v>
      </c>
      <c r="G104">
        <v>-2.2206781534384866E-17</v>
      </c>
      <c r="J104" s="1">
        <v>617000000</v>
      </c>
      <c r="K104">
        <v>16.399999999999999</v>
      </c>
      <c r="N104">
        <v>617000000</v>
      </c>
      <c r="O104">
        <v>16.399999999999999</v>
      </c>
      <c r="P104">
        <v>2.528973704133789E-17</v>
      </c>
    </row>
    <row r="105" spans="1:16" x14ac:dyDescent="0.2">
      <c r="A105" s="1">
        <v>661000000</v>
      </c>
      <c r="B105">
        <v>0.37</v>
      </c>
      <c r="E105">
        <v>661000000</v>
      </c>
      <c r="F105">
        <v>0.37</v>
      </c>
      <c r="G105">
        <v>3.0682120417334795E-17</v>
      </c>
      <c r="J105" s="1">
        <v>661000000</v>
      </c>
      <c r="K105">
        <v>15.59</v>
      </c>
      <c r="N105">
        <v>661000000</v>
      </c>
      <c r="O105">
        <v>15.59</v>
      </c>
      <c r="P105">
        <v>5.6191143019215427E-17</v>
      </c>
    </row>
    <row r="106" spans="1:16" x14ac:dyDescent="0.2">
      <c r="A106" s="1">
        <v>705000000</v>
      </c>
      <c r="B106">
        <v>0.05</v>
      </c>
      <c r="E106">
        <v>705000000</v>
      </c>
      <c r="F106">
        <v>0.05</v>
      </c>
      <c r="G106">
        <v>5.443697755099606E-17</v>
      </c>
      <c r="J106" s="1">
        <v>705000000</v>
      </c>
      <c r="K106">
        <v>14.87</v>
      </c>
      <c r="N106">
        <v>705000000</v>
      </c>
      <c r="O106">
        <v>14.87</v>
      </c>
      <c r="P106">
        <v>2.8871310716505116E-17</v>
      </c>
    </row>
    <row r="107" spans="1:16" x14ac:dyDescent="0.2">
      <c r="A107" s="1">
        <v>756000000</v>
      </c>
      <c r="B107">
        <v>-0.22</v>
      </c>
      <c r="E107">
        <v>756000000</v>
      </c>
      <c r="F107">
        <v>-0.22</v>
      </c>
      <c r="G107">
        <v>3.5023278619354799E-18</v>
      </c>
      <c r="J107" s="1">
        <v>756000000</v>
      </c>
      <c r="K107">
        <v>14.13</v>
      </c>
      <c r="N107">
        <v>756000000</v>
      </c>
      <c r="O107">
        <v>14.13</v>
      </c>
      <c r="P107">
        <v>6.2059516145593044E-17</v>
      </c>
    </row>
    <row r="108" spans="1:16" x14ac:dyDescent="0.2">
      <c r="A108" s="1">
        <v>817000000</v>
      </c>
      <c r="B108">
        <v>-0.49</v>
      </c>
      <c r="E108">
        <v>817000000</v>
      </c>
      <c r="F108">
        <v>-0.49</v>
      </c>
      <c r="G108">
        <v>2.6992156344233884E-17</v>
      </c>
      <c r="J108" s="1">
        <v>817000000</v>
      </c>
      <c r="K108">
        <v>13.41</v>
      </c>
      <c r="N108">
        <v>817000000</v>
      </c>
      <c r="O108">
        <v>13.41</v>
      </c>
      <c r="P108">
        <v>1.4186605493596262E-17</v>
      </c>
    </row>
    <row r="109" spans="1:16" x14ac:dyDescent="0.2">
      <c r="A109" s="1">
        <v>878000000</v>
      </c>
      <c r="B109">
        <v>-0.69</v>
      </c>
      <c r="E109">
        <v>878000000</v>
      </c>
      <c r="F109">
        <v>-0.69</v>
      </c>
      <c r="G109">
        <v>1.4019303945609727E-18</v>
      </c>
      <c r="J109" s="1">
        <v>878000000</v>
      </c>
      <c r="K109">
        <v>12.79</v>
      </c>
      <c r="N109">
        <v>878000000</v>
      </c>
      <c r="O109">
        <v>12.79</v>
      </c>
      <c r="P109">
        <v>4.2441038499209671E-17</v>
      </c>
    </row>
    <row r="110" spans="1:16" x14ac:dyDescent="0.2">
      <c r="A110" s="1">
        <v>939000000</v>
      </c>
      <c r="B110">
        <v>-0.87</v>
      </c>
      <c r="E110">
        <v>939000000</v>
      </c>
      <c r="F110">
        <v>-0.87</v>
      </c>
      <c r="G110">
        <v>-3.5048259864024318E-19</v>
      </c>
      <c r="J110" s="1">
        <v>939000000</v>
      </c>
      <c r="K110">
        <v>12.3</v>
      </c>
      <c r="N110">
        <v>939000000</v>
      </c>
      <c r="O110">
        <v>12.3</v>
      </c>
      <c r="P110">
        <v>2.5670310114514182E-17</v>
      </c>
    </row>
    <row r="111" spans="1:16" x14ac:dyDescent="0.2">
      <c r="A111" s="1">
        <v>1000000000</v>
      </c>
      <c r="B111">
        <v>-1.05</v>
      </c>
      <c r="E111">
        <v>1000000000</v>
      </c>
      <c r="F111">
        <v>-1.05</v>
      </c>
      <c r="G111">
        <v>0</v>
      </c>
      <c r="J111" s="1">
        <v>1000000000</v>
      </c>
      <c r="K111">
        <v>11.9</v>
      </c>
      <c r="N111">
        <v>1000000000</v>
      </c>
      <c r="O111">
        <v>11.9</v>
      </c>
      <c r="P111">
        <v>0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FT140-61 12t</vt:lpstr>
      <vt:lpstr>FT140-61 4t</vt:lpstr>
      <vt:lpstr>FT140-61 4t (3)</vt:lpstr>
      <vt:lpstr>FT140-61 4t (2)</vt:lpstr>
      <vt:lpstr>FT240-61 12t</vt:lpstr>
      <vt:lpstr>FT240-61x2 12t</vt:lpstr>
      <vt:lpstr>FT240-61x3 13t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2021-01-23T16:56:21Z</dcterms:modified>
</cp:coreProperties>
</file>