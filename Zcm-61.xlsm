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600" yWindow="225" windowWidth="20700" windowHeight="11190" activeTab="4"/>
  </bookViews>
  <sheets>
    <sheet name="FT140-61 12t" sheetId="1" r:id="rId1"/>
    <sheet name="FT140-61 4t" sheetId="3" r:id="rId2"/>
    <sheet name="FT140-61 4t (3)" sheetId="8" r:id="rId3"/>
    <sheet name="FT140-61 4t (2)" sheetId="4" r:id="rId4"/>
    <sheet name="FT240-61 12t" sheetId="5" r:id="rId5"/>
    <sheet name="FT240-61x2 12t" sheetId="6" r:id="rId6"/>
    <sheet name="FT240-61x3 13t" sheetId="7" r:id="rId7"/>
    <sheet name="Mix" sheetId="2" r:id="rId8"/>
  </sheets>
  <functionGroups builtInGroupCount="18"/>
  <definedNames>
    <definedName name="CSTableU1">Mix!$E$6:$G$36</definedName>
    <definedName name="CSTableU2">Mix!$N$6:$P$67</definedName>
  </definedNames>
  <calcPr calcId="152511"/>
</workbook>
</file>

<file path=xl/calcChain.xml><?xml version="1.0" encoding="utf-8"?>
<calcChain xmlns="http://schemas.openxmlformats.org/spreadsheetml/2006/main">
  <c r="C18" i="8" l="1"/>
  <c r="D18" i="8"/>
  <c r="B24" i="8"/>
  <c r="C24" i="8"/>
  <c r="B16" i="8"/>
  <c r="B13" i="8"/>
  <c r="B12" i="8"/>
  <c r="B7" i="7"/>
  <c r="B24" i="7"/>
  <c r="C18" i="7"/>
  <c r="C24" i="7"/>
  <c r="B16" i="7"/>
  <c r="B13" i="7"/>
  <c r="B12" i="7"/>
  <c r="B12" i="1"/>
  <c r="B13" i="1"/>
  <c r="B16" i="1"/>
  <c r="C18" i="1"/>
  <c r="D18" i="1"/>
  <c r="B24" i="1"/>
  <c r="C24" i="1"/>
  <c r="B12" i="3"/>
  <c r="B13" i="3"/>
  <c r="B16" i="3"/>
  <c r="C18" i="3"/>
  <c r="B24" i="3"/>
  <c r="B12" i="4"/>
  <c r="B13" i="4"/>
  <c r="B16" i="4"/>
  <c r="C18" i="4"/>
  <c r="D18" i="4"/>
  <c r="B24" i="4"/>
  <c r="C24" i="4"/>
  <c r="B12" i="5"/>
  <c r="B13" i="5"/>
  <c r="B16" i="5"/>
  <c r="C18" i="5"/>
  <c r="D18" i="5" s="1"/>
  <c r="D24" i="5" s="1"/>
  <c r="E18" i="5"/>
  <c r="E24" i="5" s="1"/>
  <c r="B24" i="5"/>
  <c r="C24" i="5"/>
  <c r="B12" i="6"/>
  <c r="B13" i="6"/>
  <c r="B16" i="6"/>
  <c r="C18" i="6"/>
  <c r="B24" i="6"/>
  <c r="D18" i="7"/>
  <c r="D24" i="7" s="1"/>
  <c r="F18" i="5"/>
  <c r="G18" i="5" s="1"/>
  <c r="E18" i="7"/>
  <c r="F24" i="5"/>
  <c r="U6" i="2"/>
  <c r="N6" i="2" a="1"/>
  <c r="U8" i="2"/>
  <c r="E6" i="2" a="1"/>
  <c r="U7" i="2"/>
  <c r="B33" i="4"/>
  <c r="B33" i="5"/>
  <c r="C33" i="4"/>
  <c r="B33" i="1"/>
  <c r="B33" i="3"/>
  <c r="C33" i="3"/>
  <c r="B33" i="7"/>
  <c r="C33" i="1"/>
  <c r="C33" i="7"/>
  <c r="B33" i="8"/>
  <c r="C33" i="8"/>
  <c r="B33" i="6"/>
  <c r="C33" i="6"/>
  <c r="C33" i="5"/>
  <c r="E6" i="2" l="1"/>
  <c r="E8" i="2"/>
  <c r="E10" i="2"/>
  <c r="E12" i="2"/>
  <c r="E14" i="2"/>
  <c r="E16" i="2"/>
  <c r="E18" i="2"/>
  <c r="E20" i="2"/>
  <c r="E22" i="2"/>
  <c r="E24" i="2"/>
  <c r="E26" i="2"/>
  <c r="E28" i="2"/>
  <c r="E30" i="2"/>
  <c r="E32" i="2"/>
  <c r="E34" i="2"/>
  <c r="E36" i="2"/>
  <c r="F8" i="2"/>
  <c r="F12" i="2"/>
  <c r="F16" i="2"/>
  <c r="F20" i="2"/>
  <c r="F24" i="2"/>
  <c r="F28" i="2"/>
  <c r="F32" i="2"/>
  <c r="F36" i="2"/>
  <c r="G7" i="2"/>
  <c r="G9" i="2"/>
  <c r="G11" i="2"/>
  <c r="G13" i="2"/>
  <c r="G15" i="2"/>
  <c r="G17" i="2"/>
  <c r="G19" i="2"/>
  <c r="G21" i="2"/>
  <c r="G23" i="2"/>
  <c r="G25" i="2"/>
  <c r="G27" i="2"/>
  <c r="G29" i="2"/>
  <c r="G31" i="2"/>
  <c r="G33" i="2"/>
  <c r="G35" i="2"/>
  <c r="F7" i="2"/>
  <c r="F11" i="2"/>
  <c r="F15" i="2"/>
  <c r="F19" i="2"/>
  <c r="F23" i="2"/>
  <c r="F27" i="2"/>
  <c r="F31" i="2"/>
  <c r="F35" i="2"/>
  <c r="E7" i="2"/>
  <c r="E11" i="2"/>
  <c r="E15" i="2"/>
  <c r="E19" i="2"/>
  <c r="E23" i="2"/>
  <c r="E27" i="2"/>
  <c r="E31" i="2"/>
  <c r="E35" i="2"/>
  <c r="F10" i="2"/>
  <c r="F18" i="2"/>
  <c r="F26" i="2"/>
  <c r="F34" i="2"/>
  <c r="G8" i="2"/>
  <c r="G12" i="2"/>
  <c r="G16" i="2"/>
  <c r="G20" i="2"/>
  <c r="G24" i="2"/>
  <c r="G28" i="2"/>
  <c r="G32" i="2"/>
  <c r="G36" i="2"/>
  <c r="F13" i="2"/>
  <c r="F21" i="2"/>
  <c r="F29" i="2"/>
  <c r="E9" i="2"/>
  <c r="E17" i="2"/>
  <c r="E25" i="2"/>
  <c r="E33" i="2"/>
  <c r="F14" i="2"/>
  <c r="F30" i="2"/>
  <c r="G10" i="2"/>
  <c r="G18" i="2"/>
  <c r="G26" i="2"/>
  <c r="G34" i="2"/>
  <c r="F17" i="2"/>
  <c r="F33" i="2"/>
  <c r="E13" i="2"/>
  <c r="E21" i="2"/>
  <c r="E29" i="2"/>
  <c r="G6" i="2"/>
  <c r="F22" i="2"/>
  <c r="F6" i="2"/>
  <c r="G14" i="2"/>
  <c r="G22" i="2"/>
  <c r="G30" i="2"/>
  <c r="F9" i="2"/>
  <c r="F25" i="2"/>
  <c r="O7" i="2"/>
  <c r="O11" i="2"/>
  <c r="O15" i="2"/>
  <c r="O19" i="2"/>
  <c r="O23" i="2"/>
  <c r="O27" i="2"/>
  <c r="O31" i="2"/>
  <c r="O35" i="2"/>
  <c r="O38" i="2"/>
  <c r="N41" i="2"/>
  <c r="P43" i="2"/>
  <c r="O46" i="2"/>
  <c r="N49" i="2"/>
  <c r="P51" i="2"/>
  <c r="O54" i="2"/>
  <c r="N57" i="2"/>
  <c r="P59" i="2"/>
  <c r="O62" i="2"/>
  <c r="N65" i="2"/>
  <c r="P67" i="2"/>
  <c r="N8" i="2"/>
  <c r="N10" i="2"/>
  <c r="N12" i="2"/>
  <c r="N14" i="2"/>
  <c r="N16" i="2"/>
  <c r="N18" i="2"/>
  <c r="N6" i="2"/>
  <c r="O13" i="2"/>
  <c r="O21" i="2"/>
  <c r="O29" i="2"/>
  <c r="N37" i="2"/>
  <c r="O42" i="2"/>
  <c r="P47" i="2"/>
  <c r="N53" i="2"/>
  <c r="O58" i="2"/>
  <c r="P63" i="2"/>
  <c r="N7" i="2"/>
  <c r="N11" i="2"/>
  <c r="N15" i="2"/>
  <c r="N19" i="2"/>
  <c r="N21" i="2"/>
  <c r="N23" i="2"/>
  <c r="N25" i="2"/>
  <c r="N27" i="2"/>
  <c r="N29" i="2"/>
  <c r="N31" i="2"/>
  <c r="N33" i="2"/>
  <c r="N35" i="2"/>
  <c r="O37" i="2"/>
  <c r="N40" i="2"/>
  <c r="P42" i="2"/>
  <c r="O45" i="2"/>
  <c r="N48" i="2"/>
  <c r="P50" i="2"/>
  <c r="O53" i="2"/>
  <c r="N56" i="2"/>
  <c r="P58" i="2"/>
  <c r="O61" i="2"/>
  <c r="N64" i="2"/>
  <c r="P66" i="2"/>
  <c r="O8" i="2"/>
  <c r="O12" i="2"/>
  <c r="O16" i="2"/>
  <c r="O20" i="2"/>
  <c r="O24" i="2"/>
  <c r="O28" i="2"/>
  <c r="O32" i="2"/>
  <c r="O36" i="2"/>
  <c r="N39" i="2"/>
  <c r="P41" i="2"/>
  <c r="O44" i="2"/>
  <c r="N47" i="2"/>
  <c r="P49" i="2"/>
  <c r="O52" i="2"/>
  <c r="N55" i="2"/>
  <c r="P57" i="2"/>
  <c r="O60" i="2"/>
  <c r="N63" i="2"/>
  <c r="P65" i="2"/>
  <c r="P6" i="2"/>
  <c r="P8" i="2"/>
  <c r="P10" i="2"/>
  <c r="P12" i="2"/>
  <c r="P14" i="2"/>
  <c r="P16" i="2"/>
  <c r="P18" i="2"/>
  <c r="P20" i="2"/>
  <c r="P22" i="2"/>
  <c r="P24" i="2"/>
  <c r="P26" i="2"/>
  <c r="P28" i="2"/>
  <c r="P30" i="2"/>
  <c r="P32" i="2"/>
  <c r="P34" i="2"/>
  <c r="P36" i="2"/>
  <c r="O39" i="2"/>
  <c r="N42" i="2"/>
  <c r="P44" i="2"/>
  <c r="O47" i="2"/>
  <c r="N50" i="2"/>
  <c r="P52" i="2"/>
  <c r="O55" i="2"/>
  <c r="N58" i="2"/>
  <c r="P60" i="2"/>
  <c r="O63" i="2"/>
  <c r="N66" i="2"/>
  <c r="O9" i="2"/>
  <c r="O25" i="2"/>
  <c r="P39" i="2"/>
  <c r="O50" i="2"/>
  <c r="N61" i="2"/>
  <c r="N9" i="2"/>
  <c r="N17" i="2"/>
  <c r="N22" i="2"/>
  <c r="N26" i="2"/>
  <c r="N30" i="2"/>
  <c r="N34" i="2"/>
  <c r="P38" i="2"/>
  <c r="N44" i="2"/>
  <c r="O49" i="2"/>
  <c r="P54" i="2"/>
  <c r="N60" i="2"/>
  <c r="O65" i="2"/>
  <c r="O10" i="2"/>
  <c r="O18" i="2"/>
  <c r="O26" i="2"/>
  <c r="O34" i="2"/>
  <c r="O40" i="2"/>
  <c r="P45" i="2"/>
  <c r="N51" i="2"/>
  <c r="O56" i="2"/>
  <c r="P61" i="2"/>
  <c r="N67" i="2"/>
  <c r="P9" i="2"/>
  <c r="P13" i="2"/>
  <c r="P17" i="2"/>
  <c r="P21" i="2"/>
  <c r="P25" i="2"/>
  <c r="P29" i="2"/>
  <c r="P33" i="2"/>
  <c r="N38" i="2"/>
  <c r="O43" i="2"/>
  <c r="P48" i="2"/>
  <c r="N54" i="2"/>
  <c r="O59" i="2"/>
  <c r="P64" i="2"/>
  <c r="O17" i="2"/>
  <c r="N45" i="2"/>
  <c r="O66" i="2"/>
  <c r="N20" i="2"/>
  <c r="N28" i="2"/>
  <c r="N36" i="2"/>
  <c r="P46" i="2"/>
  <c r="O57" i="2"/>
  <c r="O6" i="2"/>
  <c r="O22" i="2"/>
  <c r="P37" i="2"/>
  <c r="O48" i="2"/>
  <c r="N59" i="2"/>
  <c r="P7" i="2"/>
  <c r="P15" i="2"/>
  <c r="P23" i="2"/>
  <c r="P31" i="2"/>
  <c r="P40" i="2"/>
  <c r="O51" i="2"/>
  <c r="N62" i="2"/>
  <c r="O33" i="2"/>
  <c r="P55" i="2"/>
  <c r="N13" i="2"/>
  <c r="N24" i="2"/>
  <c r="N32" i="2"/>
  <c r="O41" i="2"/>
  <c r="N52" i="2"/>
  <c r="P62" i="2"/>
  <c r="O14" i="2"/>
  <c r="O30" i="2"/>
  <c r="N43" i="2"/>
  <c r="P53" i="2"/>
  <c r="O64" i="2"/>
  <c r="P11" i="2"/>
  <c r="P19" i="2"/>
  <c r="P27" i="2"/>
  <c r="P35" i="2"/>
  <c r="N46" i="2"/>
  <c r="P56" i="2"/>
  <c r="O67" i="2"/>
  <c r="E18" i="8"/>
  <c r="D24" i="8"/>
  <c r="E24" i="7"/>
  <c r="F18" i="7"/>
  <c r="G24" i="5"/>
  <c r="H18" i="5"/>
  <c r="E18" i="4"/>
  <c r="D24" i="4"/>
  <c r="D18" i="3"/>
  <c r="C24" i="3"/>
  <c r="D18" i="6"/>
  <c r="C24" i="6"/>
  <c r="E18" i="1"/>
  <c r="D24" i="1"/>
  <c r="B20" i="7"/>
  <c r="C20" i="6"/>
  <c r="B20" i="1"/>
  <c r="B20" i="6"/>
  <c r="C20" i="3"/>
  <c r="B20" i="4"/>
  <c r="T8" i="2"/>
  <c r="C20" i="5"/>
  <c r="D20" i="1"/>
  <c r="D20" i="7"/>
  <c r="E20" i="7"/>
  <c r="G20" i="5"/>
  <c r="C20" i="8"/>
  <c r="B20" i="8"/>
  <c r="T7" i="2"/>
  <c r="D20" i="5"/>
  <c r="C20" i="4"/>
  <c r="C20" i="1"/>
  <c r="C20" i="7"/>
  <c r="T6" i="2"/>
  <c r="B20" i="5"/>
  <c r="D20" i="4"/>
  <c r="B20" i="3"/>
  <c r="E20" i="5"/>
  <c r="F20" i="5"/>
  <c r="B19" i="6"/>
  <c r="C19" i="3"/>
  <c r="D19" i="5"/>
  <c r="C19" i="8"/>
  <c r="B19" i="8"/>
  <c r="C19" i="5"/>
  <c r="B19" i="1"/>
  <c r="B19" i="7"/>
  <c r="C19" i="4"/>
  <c r="C19" i="1"/>
  <c r="F19" i="5"/>
  <c r="G19" i="5"/>
  <c r="C19" i="7"/>
  <c r="B19" i="5"/>
  <c r="B19" i="3"/>
  <c r="E19" i="5"/>
  <c r="C19" i="6"/>
  <c r="B19" i="4"/>
  <c r="D19" i="1"/>
  <c r="D19" i="7"/>
  <c r="D20" i="8"/>
  <c r="D19" i="4"/>
  <c r="D19" i="8"/>
  <c r="E19" i="7"/>
  <c r="D21" i="7" l="1"/>
  <c r="D21" i="1"/>
  <c r="B21" i="4"/>
  <c r="C21" i="6"/>
  <c r="E21" i="5"/>
  <c r="B21" i="3"/>
  <c r="B21" i="5"/>
  <c r="C21" i="7"/>
  <c r="G21" i="5"/>
  <c r="F21" i="5"/>
  <c r="C21" i="1"/>
  <c r="C21" i="4"/>
  <c r="B21" i="7"/>
  <c r="B21" i="1"/>
  <c r="C21" i="5"/>
  <c r="B21" i="8"/>
  <c r="C21" i="8"/>
  <c r="D21" i="5"/>
  <c r="C21" i="3"/>
  <c r="B21" i="6"/>
  <c r="F22" i="5"/>
  <c r="E22" i="5"/>
  <c r="B22" i="3"/>
  <c r="D22" i="4"/>
  <c r="B22" i="5"/>
  <c r="C22" i="7"/>
  <c r="C22" i="1"/>
  <c r="C22" i="4"/>
  <c r="D22" i="5"/>
  <c r="B22" i="8"/>
  <c r="C22" i="8"/>
  <c r="G22" i="5"/>
  <c r="E22" i="7"/>
  <c r="D22" i="7"/>
  <c r="D22" i="1"/>
  <c r="C22" i="5"/>
  <c r="B22" i="4"/>
  <c r="C22" i="3"/>
  <c r="B22" i="6"/>
  <c r="B22" i="1"/>
  <c r="C22" i="6"/>
  <c r="B22" i="7"/>
  <c r="E21" i="7"/>
  <c r="E23" i="7" s="1"/>
  <c r="E25" i="7" s="1"/>
  <c r="D21" i="8"/>
  <c r="D21" i="4"/>
  <c r="D23" i="4" s="1"/>
  <c r="D25" i="4" s="1"/>
  <c r="D22" i="8"/>
  <c r="F18" i="1"/>
  <c r="E24" i="1"/>
  <c r="D24" i="6"/>
  <c r="E18" i="6"/>
  <c r="D24" i="3"/>
  <c r="E18" i="3"/>
  <c r="I18" i="5"/>
  <c r="H24" i="5"/>
  <c r="F18" i="8"/>
  <c r="E24" i="8"/>
  <c r="F18" i="4"/>
  <c r="E24" i="4"/>
  <c r="F24" i="7"/>
  <c r="G18" i="7"/>
  <c r="D19" i="6"/>
  <c r="D20" i="3"/>
  <c r="H20" i="5"/>
  <c r="E20" i="4"/>
  <c r="F19" i="7"/>
  <c r="F20" i="7"/>
  <c r="E19" i="1"/>
  <c r="E20" i="1"/>
  <c r="D20" i="6"/>
  <c r="D19" i="3"/>
  <c r="H19" i="5"/>
  <c r="E20" i="8"/>
  <c r="E19" i="8"/>
  <c r="E19" i="4"/>
  <c r="D23" i="8" l="1"/>
  <c r="D25" i="8" s="1"/>
  <c r="B23" i="6"/>
  <c r="B25" i="6" s="1"/>
  <c r="D23" i="5"/>
  <c r="D25" i="5" s="1"/>
  <c r="B23" i="8"/>
  <c r="B25" i="8" s="1"/>
  <c r="B23" i="1"/>
  <c r="B25" i="1" s="1"/>
  <c r="C23" i="4"/>
  <c r="C25" i="4" s="1"/>
  <c r="F23" i="5"/>
  <c r="F25" i="5" s="1"/>
  <c r="C23" i="7"/>
  <c r="C25" i="7" s="1"/>
  <c r="B23" i="3"/>
  <c r="B25" i="3" s="1"/>
  <c r="C23" i="6"/>
  <c r="C25" i="6" s="1"/>
  <c r="D23" i="1"/>
  <c r="D25" i="1" s="1"/>
  <c r="C23" i="3"/>
  <c r="C25" i="3" s="1"/>
  <c r="C23" i="8"/>
  <c r="C25" i="8" s="1"/>
  <c r="C23" i="5"/>
  <c r="C25" i="5" s="1"/>
  <c r="B23" i="7"/>
  <c r="B25" i="7" s="1"/>
  <c r="C23" i="1"/>
  <c r="C25" i="1" s="1"/>
  <c r="G23" i="5"/>
  <c r="G25" i="5" s="1"/>
  <c r="B23" i="5"/>
  <c r="B25" i="5" s="1"/>
  <c r="E23" i="5"/>
  <c r="E25" i="5" s="1"/>
  <c r="B23" i="4"/>
  <c r="B25" i="4" s="1"/>
  <c r="D23" i="7"/>
  <c r="D25" i="7" s="1"/>
  <c r="E21" i="4"/>
  <c r="E21" i="8"/>
  <c r="E23" i="8" s="1"/>
  <c r="E25" i="8" s="1"/>
  <c r="E22" i="8"/>
  <c r="H21" i="5"/>
  <c r="D21" i="3"/>
  <c r="D22" i="6"/>
  <c r="E22" i="1"/>
  <c r="E21" i="1"/>
  <c r="E23" i="1" s="1"/>
  <c r="E25" i="1" s="1"/>
  <c r="F22" i="7"/>
  <c r="F21" i="7"/>
  <c r="F23" i="7" s="1"/>
  <c r="F25" i="7" s="1"/>
  <c r="E22" i="4"/>
  <c r="H22" i="5"/>
  <c r="D22" i="3"/>
  <c r="D21" i="6"/>
  <c r="D23" i="6" s="1"/>
  <c r="D25" i="6" s="1"/>
  <c r="G24" i="7"/>
  <c r="H18" i="7"/>
  <c r="F24" i="4"/>
  <c r="G18" i="4"/>
  <c r="F18" i="3"/>
  <c r="E24" i="3"/>
  <c r="E24" i="6"/>
  <c r="F18" i="6"/>
  <c r="D28" i="8"/>
  <c r="D27" i="8"/>
  <c r="D26" i="8"/>
  <c r="G18" i="8"/>
  <c r="F24" i="8"/>
  <c r="I24" i="5"/>
  <c r="J18" i="5"/>
  <c r="G18" i="1"/>
  <c r="F24" i="1"/>
  <c r="D26" i="4"/>
  <c r="D28" i="4"/>
  <c r="D27" i="4"/>
  <c r="E28" i="7"/>
  <c r="E27" i="7"/>
  <c r="E26" i="7"/>
  <c r="G19" i="7"/>
  <c r="F19" i="4"/>
  <c r="E19" i="3"/>
  <c r="E19" i="6"/>
  <c r="F20" i="8"/>
  <c r="I20" i="5"/>
  <c r="F20" i="1"/>
  <c r="G20" i="7"/>
  <c r="F20" i="4"/>
  <c r="E20" i="3"/>
  <c r="E20" i="6"/>
  <c r="F19" i="8"/>
  <c r="I19" i="5"/>
  <c r="F19" i="1"/>
  <c r="D23" i="3" l="1"/>
  <c r="D25" i="3" s="1"/>
  <c r="E23" i="4"/>
  <c r="E25" i="4" s="1"/>
  <c r="B26" i="4"/>
  <c r="B27" i="4"/>
  <c r="B28" i="4"/>
  <c r="B26" i="5"/>
  <c r="B27" i="5"/>
  <c r="B28" i="5"/>
  <c r="C27" i="1"/>
  <c r="C28" i="1"/>
  <c r="C26" i="1"/>
  <c r="C26" i="5"/>
  <c r="C27" i="5"/>
  <c r="C28" i="5"/>
  <c r="C27" i="3"/>
  <c r="C26" i="3"/>
  <c r="C28" i="3"/>
  <c r="C27" i="6"/>
  <c r="C26" i="6"/>
  <c r="C28" i="6"/>
  <c r="C27" i="7"/>
  <c r="C28" i="7"/>
  <c r="C26" i="7"/>
  <c r="C26" i="4"/>
  <c r="C28" i="4"/>
  <c r="C27" i="4"/>
  <c r="B27" i="8"/>
  <c r="B28" i="8"/>
  <c r="B26" i="8"/>
  <c r="B28" i="6"/>
  <c r="B27" i="6"/>
  <c r="B26" i="6"/>
  <c r="H23" i="5"/>
  <c r="H25" i="5" s="1"/>
  <c r="H27" i="5" s="1"/>
  <c r="D28" i="7"/>
  <c r="D27" i="7"/>
  <c r="D26" i="7"/>
  <c r="E27" i="5"/>
  <c r="E26" i="5"/>
  <c r="E28" i="5"/>
  <c r="G28" i="5"/>
  <c r="G27" i="5"/>
  <c r="G26" i="5"/>
  <c r="B28" i="7"/>
  <c r="B27" i="7"/>
  <c r="B26" i="7"/>
  <c r="C28" i="8"/>
  <c r="C27" i="8"/>
  <c r="C26" i="8"/>
  <c r="D28" i="1"/>
  <c r="D26" i="1"/>
  <c r="D27" i="1"/>
  <c r="B26" i="3"/>
  <c r="B27" i="3"/>
  <c r="B28" i="3"/>
  <c r="F28" i="5"/>
  <c r="F26" i="5"/>
  <c r="F27" i="5"/>
  <c r="B28" i="1"/>
  <c r="B26" i="1"/>
  <c r="B27" i="1"/>
  <c r="D26" i="5"/>
  <c r="D27" i="5"/>
  <c r="D28" i="5"/>
  <c r="F21" i="1"/>
  <c r="I21" i="5"/>
  <c r="I23" i="5" s="1"/>
  <c r="I25" i="5" s="1"/>
  <c r="F21" i="8"/>
  <c r="E22" i="6"/>
  <c r="E22" i="3"/>
  <c r="F22" i="4"/>
  <c r="G22" i="7"/>
  <c r="F22" i="1"/>
  <c r="I22" i="5"/>
  <c r="F22" i="8"/>
  <c r="E21" i="6"/>
  <c r="E21" i="3"/>
  <c r="E23" i="3" s="1"/>
  <c r="E25" i="3" s="1"/>
  <c r="F21" i="4"/>
  <c r="G21" i="7"/>
  <c r="G23" i="7" s="1"/>
  <c r="G25" i="7" s="1"/>
  <c r="H18" i="1"/>
  <c r="G24" i="1"/>
  <c r="H18" i="8"/>
  <c r="G24" i="8"/>
  <c r="G18" i="6"/>
  <c r="F24" i="6"/>
  <c r="H18" i="4"/>
  <c r="G24" i="4"/>
  <c r="H24" i="7"/>
  <c r="I18" i="7"/>
  <c r="D26" i="6"/>
  <c r="D27" i="6"/>
  <c r="D28" i="6"/>
  <c r="F27" i="7"/>
  <c r="F28" i="7"/>
  <c r="F26" i="7"/>
  <c r="E27" i="1"/>
  <c r="E28" i="1"/>
  <c r="E26" i="1"/>
  <c r="H26" i="5"/>
  <c r="E27" i="8"/>
  <c r="E28" i="8"/>
  <c r="E26" i="8"/>
  <c r="K18" i="5"/>
  <c r="J24" i="5"/>
  <c r="F24" i="3"/>
  <c r="G18" i="3"/>
  <c r="D28" i="3"/>
  <c r="D27" i="3"/>
  <c r="D26" i="3"/>
  <c r="E28" i="4"/>
  <c r="E26" i="4"/>
  <c r="E27" i="4"/>
  <c r="G19" i="1"/>
  <c r="F19" i="6"/>
  <c r="G19" i="4"/>
  <c r="J20" i="5"/>
  <c r="F20" i="3"/>
  <c r="G20" i="1"/>
  <c r="G19" i="8"/>
  <c r="G20" i="8"/>
  <c r="F20" i="6"/>
  <c r="G20" i="4"/>
  <c r="H19" i="7"/>
  <c r="H20" i="7"/>
  <c r="J19" i="5"/>
  <c r="F19" i="3"/>
  <c r="H28" i="5" l="1"/>
  <c r="F23" i="4"/>
  <c r="F25" i="4" s="1"/>
  <c r="E23" i="6"/>
  <c r="E25" i="6" s="1"/>
  <c r="F23" i="8"/>
  <c r="F25" i="8" s="1"/>
  <c r="F23" i="1"/>
  <c r="F25" i="1" s="1"/>
  <c r="F21" i="3"/>
  <c r="J21" i="5"/>
  <c r="H22" i="7"/>
  <c r="H21" i="7"/>
  <c r="H23" i="7" s="1"/>
  <c r="H25" i="7" s="1"/>
  <c r="G22" i="4"/>
  <c r="F22" i="6"/>
  <c r="G22" i="8"/>
  <c r="G21" i="8"/>
  <c r="G23" i="8" s="1"/>
  <c r="G25" i="8" s="1"/>
  <c r="G22" i="1"/>
  <c r="F22" i="3"/>
  <c r="J22" i="5"/>
  <c r="G21" i="4"/>
  <c r="G23" i="4" s="1"/>
  <c r="G25" i="4" s="1"/>
  <c r="F21" i="6"/>
  <c r="G21" i="1"/>
  <c r="G23" i="1" s="1"/>
  <c r="G25" i="1" s="1"/>
  <c r="K24" i="5"/>
  <c r="L18" i="5"/>
  <c r="G26" i="7"/>
  <c r="G28" i="7"/>
  <c r="G27" i="7"/>
  <c r="E26" i="3"/>
  <c r="E27" i="3"/>
  <c r="E28" i="3"/>
  <c r="I27" i="5"/>
  <c r="I28" i="5"/>
  <c r="I26" i="5"/>
  <c r="H18" i="3"/>
  <c r="G24" i="3"/>
  <c r="I24" i="7"/>
  <c r="J18" i="7"/>
  <c r="H24" i="4"/>
  <c r="I18" i="4"/>
  <c r="G24" i="6"/>
  <c r="H18" i="6"/>
  <c r="I18" i="8"/>
  <c r="H24" i="8"/>
  <c r="I18" i="1"/>
  <c r="H24" i="1"/>
  <c r="F26" i="4"/>
  <c r="F27" i="4"/>
  <c r="F28" i="4"/>
  <c r="E28" i="6"/>
  <c r="E27" i="6"/>
  <c r="E26" i="6"/>
  <c r="F26" i="8"/>
  <c r="F28" i="8"/>
  <c r="F27" i="8"/>
  <c r="F26" i="1"/>
  <c r="F28" i="1"/>
  <c r="F27" i="1"/>
  <c r="K19" i="5"/>
  <c r="G20" i="3"/>
  <c r="G19" i="3"/>
  <c r="I19" i="7"/>
  <c r="H20" i="4"/>
  <c r="G20" i="6"/>
  <c r="H19" i="8"/>
  <c r="H19" i="1"/>
  <c r="K20" i="5"/>
  <c r="I20" i="7"/>
  <c r="H19" i="4"/>
  <c r="G19" i="6"/>
  <c r="H20" i="8"/>
  <c r="H20" i="1"/>
  <c r="J23" i="5" l="1"/>
  <c r="J25" i="5" s="1"/>
  <c r="J28" i="5" s="1"/>
  <c r="F23" i="6"/>
  <c r="F25" i="6" s="1"/>
  <c r="F23" i="3"/>
  <c r="F25" i="3" s="1"/>
  <c r="H22" i="1"/>
  <c r="H22" i="8"/>
  <c r="G21" i="6"/>
  <c r="H21" i="4"/>
  <c r="I22" i="7"/>
  <c r="K22" i="5"/>
  <c r="H21" i="1"/>
  <c r="H23" i="1" s="1"/>
  <c r="H25" i="1" s="1"/>
  <c r="H21" i="8"/>
  <c r="H23" i="8" s="1"/>
  <c r="H25" i="8" s="1"/>
  <c r="G22" i="6"/>
  <c r="H22" i="4"/>
  <c r="I21" i="7"/>
  <c r="I23" i="7" s="1"/>
  <c r="I25" i="7" s="1"/>
  <c r="G21" i="3"/>
  <c r="G22" i="3"/>
  <c r="K21" i="5"/>
  <c r="K23" i="5" s="1"/>
  <c r="K25" i="5" s="1"/>
  <c r="J18" i="1"/>
  <c r="I24" i="1"/>
  <c r="J18" i="8"/>
  <c r="I24" i="8"/>
  <c r="H24" i="3"/>
  <c r="I18" i="3"/>
  <c r="M18" i="5"/>
  <c r="L24" i="5"/>
  <c r="G27" i="1"/>
  <c r="G28" i="1"/>
  <c r="G26" i="1"/>
  <c r="G28" i="4"/>
  <c r="G27" i="4"/>
  <c r="G26" i="4"/>
  <c r="G26" i="8"/>
  <c r="G28" i="8"/>
  <c r="G27" i="8"/>
  <c r="H28" i="7"/>
  <c r="H26" i="7"/>
  <c r="H27" i="7"/>
  <c r="I18" i="6"/>
  <c r="H24" i="6"/>
  <c r="J18" i="4"/>
  <c r="I24" i="4"/>
  <c r="J24" i="7"/>
  <c r="K18" i="7"/>
  <c r="F26" i="6"/>
  <c r="F27" i="6"/>
  <c r="F28" i="6"/>
  <c r="F28" i="3"/>
  <c r="F26" i="3"/>
  <c r="F27" i="3"/>
  <c r="I19" i="1"/>
  <c r="I20" i="8"/>
  <c r="H20" i="3"/>
  <c r="L20" i="5"/>
  <c r="H20" i="6"/>
  <c r="I20" i="4"/>
  <c r="J20" i="7"/>
  <c r="I20" i="1"/>
  <c r="I19" i="8"/>
  <c r="H19" i="3"/>
  <c r="L19" i="5"/>
  <c r="H19" i="6"/>
  <c r="I19" i="4"/>
  <c r="J19" i="7"/>
  <c r="J26" i="5" l="1"/>
  <c r="J27" i="5"/>
  <c r="G23" i="6"/>
  <c r="G25" i="6" s="1"/>
  <c r="G23" i="3"/>
  <c r="G25" i="3" s="1"/>
  <c r="H23" i="4"/>
  <c r="H25" i="4" s="1"/>
  <c r="J21" i="7"/>
  <c r="I21" i="4"/>
  <c r="I23" i="4" s="1"/>
  <c r="I25" i="4" s="1"/>
  <c r="H21" i="6"/>
  <c r="L21" i="5"/>
  <c r="H21" i="3"/>
  <c r="I21" i="8"/>
  <c r="I23" i="8" s="1"/>
  <c r="I25" i="8" s="1"/>
  <c r="I22" i="1"/>
  <c r="J22" i="7"/>
  <c r="I22" i="4"/>
  <c r="H22" i="6"/>
  <c r="L22" i="5"/>
  <c r="H22" i="3"/>
  <c r="I22" i="8"/>
  <c r="I21" i="1"/>
  <c r="I23" i="1" s="1"/>
  <c r="I25" i="1" s="1"/>
  <c r="J24" i="4"/>
  <c r="K18" i="4"/>
  <c r="I24" i="6"/>
  <c r="J18" i="6"/>
  <c r="J18" i="3"/>
  <c r="I24" i="3"/>
  <c r="K27" i="5"/>
  <c r="K28" i="5"/>
  <c r="K26" i="5"/>
  <c r="G27" i="3"/>
  <c r="G26" i="3"/>
  <c r="G28" i="3"/>
  <c r="H27" i="8"/>
  <c r="H28" i="8"/>
  <c r="H26" i="8"/>
  <c r="H28" i="4"/>
  <c r="H27" i="4"/>
  <c r="H26" i="4"/>
  <c r="K24" i="7"/>
  <c r="L18" i="7"/>
  <c r="M24" i="5"/>
  <c r="N18" i="5"/>
  <c r="K18" i="8"/>
  <c r="J24" i="8"/>
  <c r="K18" i="1"/>
  <c r="J24" i="1"/>
  <c r="I28" i="7"/>
  <c r="I26" i="7"/>
  <c r="I27" i="7"/>
  <c r="H26" i="1"/>
  <c r="H27" i="1"/>
  <c r="H28" i="1"/>
  <c r="G28" i="6"/>
  <c r="G27" i="6"/>
  <c r="G26" i="6"/>
  <c r="J19" i="4"/>
  <c r="I20" i="6"/>
  <c r="I19" i="3"/>
  <c r="K20" i="7"/>
  <c r="M19" i="5"/>
  <c r="J20" i="8"/>
  <c r="J19" i="1"/>
  <c r="J20" i="4"/>
  <c r="I19" i="6"/>
  <c r="I20" i="3"/>
  <c r="K19" i="7"/>
  <c r="M20" i="5"/>
  <c r="J19" i="8"/>
  <c r="J20" i="1"/>
  <c r="L23" i="5" l="1"/>
  <c r="L25" i="5" s="1"/>
  <c r="L28" i="5" s="1"/>
  <c r="H23" i="3"/>
  <c r="H25" i="3" s="1"/>
  <c r="H23" i="6"/>
  <c r="H25" i="6" s="1"/>
  <c r="H28" i="6" s="1"/>
  <c r="J23" i="7"/>
  <c r="J25" i="7" s="1"/>
  <c r="J22" i="1"/>
  <c r="J21" i="8"/>
  <c r="M22" i="5"/>
  <c r="K21" i="7"/>
  <c r="I22" i="3"/>
  <c r="I21" i="6"/>
  <c r="J22" i="4"/>
  <c r="J21" i="1"/>
  <c r="J22" i="8"/>
  <c r="M21" i="5"/>
  <c r="K22" i="7"/>
  <c r="I21" i="3"/>
  <c r="I22" i="6"/>
  <c r="J21" i="4"/>
  <c r="O18" i="5"/>
  <c r="N24" i="5"/>
  <c r="L24" i="7"/>
  <c r="M18" i="7"/>
  <c r="K18" i="6"/>
  <c r="J24" i="6"/>
  <c r="L18" i="4"/>
  <c r="K24" i="4"/>
  <c r="I27" i="1"/>
  <c r="I28" i="1"/>
  <c r="I26" i="1"/>
  <c r="I27" i="8"/>
  <c r="I28" i="8"/>
  <c r="I26" i="8"/>
  <c r="I26" i="4"/>
  <c r="I28" i="4"/>
  <c r="I27" i="4"/>
  <c r="L18" i="1"/>
  <c r="K24" i="1"/>
  <c r="L18" i="8"/>
  <c r="K24" i="8"/>
  <c r="J24" i="3"/>
  <c r="K18" i="3"/>
  <c r="H28" i="3"/>
  <c r="H26" i="3"/>
  <c r="H27" i="3"/>
  <c r="H27" i="6"/>
  <c r="J27" i="7"/>
  <c r="J26" i="7"/>
  <c r="J28" i="7"/>
  <c r="N19" i="5"/>
  <c r="J19" i="6"/>
  <c r="K19" i="4"/>
  <c r="K19" i="1"/>
  <c r="K19" i="8"/>
  <c r="J20" i="3"/>
  <c r="N20" i="5"/>
  <c r="L20" i="7"/>
  <c r="L19" i="7"/>
  <c r="J20" i="6"/>
  <c r="K20" i="4"/>
  <c r="K20" i="1"/>
  <c r="K20" i="8"/>
  <c r="J19" i="3"/>
  <c r="L27" i="5" l="1"/>
  <c r="L26" i="5"/>
  <c r="H26" i="6"/>
  <c r="J23" i="4"/>
  <c r="J25" i="4" s="1"/>
  <c r="J27" i="4" s="1"/>
  <c r="I23" i="3"/>
  <c r="I25" i="3" s="1"/>
  <c r="M23" i="5"/>
  <c r="M25" i="5" s="1"/>
  <c r="M27" i="5" s="1"/>
  <c r="J23" i="1"/>
  <c r="J25" i="1" s="1"/>
  <c r="I23" i="6"/>
  <c r="I25" i="6" s="1"/>
  <c r="I28" i="6" s="1"/>
  <c r="K23" i="7"/>
  <c r="K25" i="7" s="1"/>
  <c r="J23" i="8"/>
  <c r="J25" i="8" s="1"/>
  <c r="J26" i="8" s="1"/>
  <c r="J21" i="3"/>
  <c r="K22" i="8"/>
  <c r="K22" i="1"/>
  <c r="K22" i="4"/>
  <c r="J22" i="6"/>
  <c r="L21" i="7"/>
  <c r="L23" i="7" s="1"/>
  <c r="L25" i="7" s="1"/>
  <c r="L22" i="7"/>
  <c r="N22" i="5"/>
  <c r="J22" i="3"/>
  <c r="K21" i="8"/>
  <c r="K23" i="8" s="1"/>
  <c r="K25" i="8" s="1"/>
  <c r="K21" i="1"/>
  <c r="K23" i="1" s="1"/>
  <c r="K25" i="1" s="1"/>
  <c r="K21" i="4"/>
  <c r="K23" i="4" s="1"/>
  <c r="K25" i="4" s="1"/>
  <c r="J21" i="6"/>
  <c r="J23" i="6" s="1"/>
  <c r="J25" i="6" s="1"/>
  <c r="N21" i="5"/>
  <c r="N23" i="5" s="1"/>
  <c r="N25" i="5" s="1"/>
  <c r="L18" i="3"/>
  <c r="K24" i="3"/>
  <c r="J28" i="4"/>
  <c r="I27" i="3"/>
  <c r="I28" i="3"/>
  <c r="I26" i="3"/>
  <c r="J27" i="1"/>
  <c r="J28" i="1"/>
  <c r="J26" i="1"/>
  <c r="I27" i="6"/>
  <c r="K28" i="7"/>
  <c r="K27" i="7"/>
  <c r="K26" i="7"/>
  <c r="J28" i="8"/>
  <c r="M18" i="8"/>
  <c r="L24" i="8"/>
  <c r="M18" i="1"/>
  <c r="L24" i="1"/>
  <c r="L24" i="4"/>
  <c r="M18" i="4"/>
  <c r="K24" i="6"/>
  <c r="L18" i="6"/>
  <c r="M24" i="7"/>
  <c r="N18" i="7"/>
  <c r="P18" i="5"/>
  <c r="O24" i="5"/>
  <c r="L20" i="8"/>
  <c r="L20" i="1"/>
  <c r="L19" i="4"/>
  <c r="K20" i="6"/>
  <c r="M20" i="7"/>
  <c r="O20" i="5"/>
  <c r="K19" i="3"/>
  <c r="K20" i="3"/>
  <c r="L19" i="8"/>
  <c r="L19" i="1"/>
  <c r="L20" i="4"/>
  <c r="K19" i="6"/>
  <c r="M19" i="7"/>
  <c r="O19" i="5"/>
  <c r="M26" i="5" l="1"/>
  <c r="J27" i="8"/>
  <c r="I26" i="6"/>
  <c r="M28" i="5"/>
  <c r="J26" i="4"/>
  <c r="J23" i="3"/>
  <c r="J25" i="3" s="1"/>
  <c r="J28" i="3" s="1"/>
  <c r="O21" i="5"/>
  <c r="M21" i="7"/>
  <c r="K21" i="6"/>
  <c r="L22" i="4"/>
  <c r="L21" i="1"/>
  <c r="L21" i="8"/>
  <c r="K22" i="3"/>
  <c r="K21" i="3"/>
  <c r="K23" i="3" s="1"/>
  <c r="K25" i="3" s="1"/>
  <c r="O22" i="5"/>
  <c r="M22" i="7"/>
  <c r="K22" i="6"/>
  <c r="L21" i="4"/>
  <c r="L23" i="4" s="1"/>
  <c r="L25" i="4" s="1"/>
  <c r="L22" i="1"/>
  <c r="L22" i="8"/>
  <c r="P24" i="5"/>
  <c r="Q18" i="5"/>
  <c r="N18" i="1"/>
  <c r="M24" i="1"/>
  <c r="N18" i="8"/>
  <c r="M24" i="8"/>
  <c r="N26" i="5"/>
  <c r="N28" i="5"/>
  <c r="N27" i="5"/>
  <c r="K28" i="4"/>
  <c r="K27" i="4"/>
  <c r="K26" i="4"/>
  <c r="K26" i="8"/>
  <c r="K28" i="8"/>
  <c r="K27" i="8"/>
  <c r="L26" i="7"/>
  <c r="L28" i="7"/>
  <c r="L27" i="7"/>
  <c r="O18" i="7"/>
  <c r="N24" i="7"/>
  <c r="M18" i="6"/>
  <c r="L24" i="6"/>
  <c r="N18" i="4"/>
  <c r="M24" i="4"/>
  <c r="L24" i="3"/>
  <c r="M18" i="3"/>
  <c r="J27" i="6"/>
  <c r="J26" i="6"/>
  <c r="J28" i="6"/>
  <c r="K27" i="1"/>
  <c r="K28" i="1"/>
  <c r="K26" i="1"/>
  <c r="J26" i="3"/>
  <c r="P19" i="5"/>
  <c r="M19" i="1"/>
  <c r="M19" i="8"/>
  <c r="N19" i="7"/>
  <c r="L19" i="6"/>
  <c r="M20" i="4"/>
  <c r="P20" i="5"/>
  <c r="M20" i="1"/>
  <c r="M20" i="8"/>
  <c r="N20" i="7"/>
  <c r="L20" i="6"/>
  <c r="M19" i="4"/>
  <c r="L19" i="3"/>
  <c r="L20" i="3"/>
  <c r="L23" i="8" l="1"/>
  <c r="L25" i="8" s="1"/>
  <c r="M23" i="7"/>
  <c r="M25" i="7" s="1"/>
  <c r="J27" i="3"/>
  <c r="L23" i="1"/>
  <c r="L25" i="1" s="1"/>
  <c r="K23" i="6"/>
  <c r="K25" i="6" s="1"/>
  <c r="O23" i="5"/>
  <c r="O25" i="5" s="1"/>
  <c r="O26" i="5" s="1"/>
  <c r="L22" i="3"/>
  <c r="L21" i="3"/>
  <c r="L23" i="3" s="1"/>
  <c r="L25" i="3" s="1"/>
  <c r="M21" i="4"/>
  <c r="L22" i="6"/>
  <c r="N22" i="7"/>
  <c r="M22" i="8"/>
  <c r="M22" i="1"/>
  <c r="P22" i="5"/>
  <c r="M22" i="4"/>
  <c r="L21" i="6"/>
  <c r="L23" i="6" s="1"/>
  <c r="L25" i="6" s="1"/>
  <c r="N21" i="7"/>
  <c r="N23" i="7" s="1"/>
  <c r="N25" i="7" s="1"/>
  <c r="M21" i="8"/>
  <c r="M23" i="8" s="1"/>
  <c r="M25" i="8" s="1"/>
  <c r="M21" i="1"/>
  <c r="M23" i="1" s="1"/>
  <c r="M25" i="1" s="1"/>
  <c r="P21" i="5"/>
  <c r="P23" i="5" s="1"/>
  <c r="P25" i="5" s="1"/>
  <c r="R18" i="5"/>
  <c r="Q24" i="5"/>
  <c r="L27" i="4"/>
  <c r="L28" i="4"/>
  <c r="L26" i="4"/>
  <c r="K26" i="3"/>
  <c r="K27" i="3"/>
  <c r="K28" i="3"/>
  <c r="L26" i="8"/>
  <c r="L28" i="8"/>
  <c r="L27" i="8"/>
  <c r="M28" i="7"/>
  <c r="M27" i="7"/>
  <c r="M26" i="7"/>
  <c r="N18" i="3"/>
  <c r="M24" i="3"/>
  <c r="N24" i="4"/>
  <c r="O18" i="4"/>
  <c r="M24" i="6"/>
  <c r="N18" i="6"/>
  <c r="P18" i="7"/>
  <c r="O24" i="7"/>
  <c r="O18" i="8"/>
  <c r="N24" i="8"/>
  <c r="O18" i="1"/>
  <c r="N24" i="1"/>
  <c r="L26" i="1"/>
  <c r="L27" i="1"/>
  <c r="L28" i="1"/>
  <c r="K27" i="6"/>
  <c r="K28" i="6"/>
  <c r="K26" i="6"/>
  <c r="Q19" i="5"/>
  <c r="M19" i="3"/>
  <c r="N19" i="4"/>
  <c r="M19" i="6"/>
  <c r="O20" i="7"/>
  <c r="N20" i="8"/>
  <c r="N20" i="1"/>
  <c r="Q20" i="5"/>
  <c r="M20" i="3"/>
  <c r="N20" i="4"/>
  <c r="M20" i="6"/>
  <c r="O19" i="7"/>
  <c r="N19" i="8"/>
  <c r="N19" i="1"/>
  <c r="O28" i="5" l="1"/>
  <c r="O27" i="5"/>
  <c r="M23" i="4"/>
  <c r="M25" i="4" s="1"/>
  <c r="N21" i="1"/>
  <c r="N21" i="8"/>
  <c r="N23" i="8" s="1"/>
  <c r="N25" i="8" s="1"/>
  <c r="O21" i="7"/>
  <c r="M22" i="6"/>
  <c r="N22" i="4"/>
  <c r="M22" i="3"/>
  <c r="Q22" i="5"/>
  <c r="N22" i="1"/>
  <c r="N22" i="8"/>
  <c r="O22" i="7"/>
  <c r="M21" i="6"/>
  <c r="N21" i="4"/>
  <c r="N23" i="4" s="1"/>
  <c r="N25" i="4" s="1"/>
  <c r="M21" i="3"/>
  <c r="Q21" i="5"/>
  <c r="O18" i="6"/>
  <c r="N24" i="6"/>
  <c r="O24" i="4"/>
  <c r="P18" i="4"/>
  <c r="P27" i="5"/>
  <c r="P28" i="5"/>
  <c r="P26" i="5"/>
  <c r="M26" i="8"/>
  <c r="M28" i="8"/>
  <c r="M27" i="8"/>
  <c r="L28" i="6"/>
  <c r="L27" i="6"/>
  <c r="L26" i="6"/>
  <c r="L27" i="3"/>
  <c r="L28" i="3"/>
  <c r="L26" i="3"/>
  <c r="P18" i="1"/>
  <c r="O24" i="1"/>
  <c r="P18" i="8"/>
  <c r="O24" i="8"/>
  <c r="Q18" i="7"/>
  <c r="P24" i="7"/>
  <c r="N24" i="3"/>
  <c r="O18" i="3"/>
  <c r="R24" i="5"/>
  <c r="S18" i="5"/>
  <c r="M26" i="1"/>
  <c r="M27" i="1"/>
  <c r="M28" i="1"/>
  <c r="N28" i="7"/>
  <c r="N26" i="7"/>
  <c r="N27" i="7"/>
  <c r="M26" i="4"/>
  <c r="M27" i="4"/>
  <c r="M28" i="4"/>
  <c r="N19" i="6"/>
  <c r="O20" i="4"/>
  <c r="O20" i="1"/>
  <c r="O20" i="8"/>
  <c r="N19" i="3"/>
  <c r="R19" i="5"/>
  <c r="N20" i="6"/>
  <c r="O19" i="4"/>
  <c r="O19" i="1"/>
  <c r="O19" i="8"/>
  <c r="P19" i="7"/>
  <c r="P20" i="7"/>
  <c r="N20" i="3"/>
  <c r="R20" i="5"/>
  <c r="Q23" i="5" l="1"/>
  <c r="Q25" i="5" s="1"/>
  <c r="Q27" i="5" s="1"/>
  <c r="M23" i="3"/>
  <c r="M25" i="3" s="1"/>
  <c r="M23" i="6"/>
  <c r="M25" i="6" s="1"/>
  <c r="O23" i="7"/>
  <c r="O25" i="7" s="1"/>
  <c r="N23" i="1"/>
  <c r="N25" i="1" s="1"/>
  <c r="R22" i="5"/>
  <c r="N22" i="3"/>
  <c r="P22" i="7"/>
  <c r="P21" i="7"/>
  <c r="P23" i="7" s="1"/>
  <c r="P25" i="7" s="1"/>
  <c r="O21" i="8"/>
  <c r="O21" i="1"/>
  <c r="O21" i="4"/>
  <c r="N22" i="6"/>
  <c r="R21" i="5"/>
  <c r="R23" i="5" s="1"/>
  <c r="R25" i="5" s="1"/>
  <c r="N21" i="3"/>
  <c r="N23" i="3" s="1"/>
  <c r="N25" i="3" s="1"/>
  <c r="O22" i="8"/>
  <c r="O22" i="1"/>
  <c r="O22" i="4"/>
  <c r="N21" i="6"/>
  <c r="N23" i="6" s="1"/>
  <c r="N25" i="6" s="1"/>
  <c r="T18" i="5"/>
  <c r="S24" i="5"/>
  <c r="O24" i="3"/>
  <c r="P18" i="3"/>
  <c r="Q18" i="4"/>
  <c r="P24" i="4"/>
  <c r="Q28" i="5"/>
  <c r="N26" i="4"/>
  <c r="N28" i="4"/>
  <c r="N27" i="4"/>
  <c r="N27" i="8"/>
  <c r="N28" i="8"/>
  <c r="N26" i="8"/>
  <c r="R18" i="7"/>
  <c r="Q24" i="7"/>
  <c r="Q18" i="8"/>
  <c r="P24" i="8"/>
  <c r="P24" i="1"/>
  <c r="Q18" i="1"/>
  <c r="O24" i="6"/>
  <c r="P18" i="6"/>
  <c r="M28" i="3"/>
  <c r="M26" i="3"/>
  <c r="M27" i="3"/>
  <c r="M27" i="6"/>
  <c r="M26" i="6"/>
  <c r="M28" i="6"/>
  <c r="O28" i="7"/>
  <c r="O27" i="7"/>
  <c r="O26" i="7"/>
  <c r="N26" i="1"/>
  <c r="N27" i="1"/>
  <c r="N28" i="1"/>
  <c r="S19" i="5"/>
  <c r="O20" i="3"/>
  <c r="P19" i="4"/>
  <c r="Q20" i="7"/>
  <c r="P19" i="8"/>
  <c r="P19" i="1"/>
  <c r="O19" i="6"/>
  <c r="S20" i="5"/>
  <c r="O19" i="3"/>
  <c r="P20" i="4"/>
  <c r="Q19" i="7"/>
  <c r="P20" i="8"/>
  <c r="P20" i="1"/>
  <c r="O20" i="6"/>
  <c r="Q26" i="5" l="1"/>
  <c r="O23" i="1"/>
  <c r="O25" i="1" s="1"/>
  <c r="O23" i="4"/>
  <c r="O25" i="4" s="1"/>
  <c r="O23" i="8"/>
  <c r="O25" i="8" s="1"/>
  <c r="O22" i="6"/>
  <c r="P22" i="1"/>
  <c r="P22" i="8"/>
  <c r="Q21" i="7"/>
  <c r="Q23" i="7" s="1"/>
  <c r="Q25" i="7" s="1"/>
  <c r="P22" i="4"/>
  <c r="O21" i="3"/>
  <c r="O23" i="3" s="1"/>
  <c r="O25" i="3" s="1"/>
  <c r="S22" i="5"/>
  <c r="O21" i="6"/>
  <c r="O23" i="6" s="1"/>
  <c r="O25" i="6" s="1"/>
  <c r="P21" i="1"/>
  <c r="P21" i="8"/>
  <c r="P23" i="8" s="1"/>
  <c r="P25" i="8" s="1"/>
  <c r="Q22" i="7"/>
  <c r="P21" i="4"/>
  <c r="P23" i="4" s="1"/>
  <c r="P25" i="4" s="1"/>
  <c r="O22" i="3"/>
  <c r="S21" i="5"/>
  <c r="R18" i="8"/>
  <c r="Q24" i="8"/>
  <c r="S18" i="7"/>
  <c r="R24" i="7"/>
  <c r="Q18" i="3"/>
  <c r="P24" i="3"/>
  <c r="N26" i="6"/>
  <c r="N28" i="6"/>
  <c r="N27" i="6"/>
  <c r="N26" i="3"/>
  <c r="N27" i="3"/>
  <c r="N28" i="3"/>
  <c r="O26" i="1"/>
  <c r="O27" i="1"/>
  <c r="O28" i="1"/>
  <c r="P27" i="7"/>
  <c r="P28" i="7"/>
  <c r="P26" i="7"/>
  <c r="P24" i="6"/>
  <c r="Q18" i="6"/>
  <c r="Q24" i="1"/>
  <c r="R18" i="1"/>
  <c r="Q24" i="4"/>
  <c r="R18" i="4"/>
  <c r="T24" i="5"/>
  <c r="U18" i="5"/>
  <c r="R28" i="5"/>
  <c r="R26" i="5"/>
  <c r="R27" i="5"/>
  <c r="O28" i="4"/>
  <c r="O26" i="4"/>
  <c r="O27" i="4"/>
  <c r="O26" i="8"/>
  <c r="O28" i="8"/>
  <c r="O27" i="8"/>
  <c r="Q19" i="8"/>
  <c r="R20" i="7"/>
  <c r="P19" i="3"/>
  <c r="P20" i="6"/>
  <c r="Q20" i="1"/>
  <c r="Q20" i="4"/>
  <c r="T19" i="5"/>
  <c r="Q20" i="8"/>
  <c r="R19" i="7"/>
  <c r="P20" i="3"/>
  <c r="P19" i="6"/>
  <c r="Q19" i="1"/>
  <c r="Q19" i="4"/>
  <c r="T20" i="5"/>
  <c r="S23" i="5" l="1"/>
  <c r="S25" i="5" s="1"/>
  <c r="S27" i="5" s="1"/>
  <c r="P23" i="1"/>
  <c r="P25" i="1" s="1"/>
  <c r="T22" i="5"/>
  <c r="Q21" i="4"/>
  <c r="Q23" i="4" s="1"/>
  <c r="Q25" i="4" s="1"/>
  <c r="Q21" i="1"/>
  <c r="P21" i="6"/>
  <c r="P23" i="6" s="1"/>
  <c r="P25" i="6" s="1"/>
  <c r="P22" i="3"/>
  <c r="R21" i="7"/>
  <c r="R23" i="7" s="1"/>
  <c r="R25" i="7" s="1"/>
  <c r="Q22" i="8"/>
  <c r="T21" i="5"/>
  <c r="Q22" i="4"/>
  <c r="Q22" i="1"/>
  <c r="P22" i="6"/>
  <c r="P21" i="3"/>
  <c r="P23" i="3" s="1"/>
  <c r="P25" i="3" s="1"/>
  <c r="R22" i="7"/>
  <c r="Q21" i="8"/>
  <c r="Q23" i="8" s="1"/>
  <c r="Q25" i="8" s="1"/>
  <c r="V18" i="5"/>
  <c r="U24" i="5"/>
  <c r="S18" i="4"/>
  <c r="R24" i="4"/>
  <c r="R24" i="1"/>
  <c r="S18" i="1"/>
  <c r="R18" i="6"/>
  <c r="Q24" i="6"/>
  <c r="P26" i="4"/>
  <c r="P27" i="4"/>
  <c r="P28" i="4"/>
  <c r="P27" i="8"/>
  <c r="P28" i="8"/>
  <c r="P26" i="8"/>
  <c r="O26" i="6"/>
  <c r="O28" i="6"/>
  <c r="O27" i="6"/>
  <c r="O27" i="3"/>
  <c r="O28" i="3"/>
  <c r="O26" i="3"/>
  <c r="Q26" i="7"/>
  <c r="Q28" i="7"/>
  <c r="Q27" i="7"/>
  <c r="Q24" i="3"/>
  <c r="R18" i="3"/>
  <c r="T18" i="7"/>
  <c r="S24" i="7"/>
  <c r="S18" i="8"/>
  <c r="R24" i="8"/>
  <c r="P26" i="1"/>
  <c r="P27" i="1"/>
  <c r="P28" i="1"/>
  <c r="U19" i="5"/>
  <c r="R20" i="4"/>
  <c r="R20" i="1"/>
  <c r="Q19" i="6"/>
  <c r="S20" i="7"/>
  <c r="R19" i="8"/>
  <c r="U20" i="5"/>
  <c r="R19" i="4"/>
  <c r="R19" i="1"/>
  <c r="Q20" i="6"/>
  <c r="Q20" i="3"/>
  <c r="Q19" i="3"/>
  <c r="S19" i="7"/>
  <c r="R20" i="8"/>
  <c r="S28" i="5" l="1"/>
  <c r="S26" i="5"/>
  <c r="T23" i="5"/>
  <c r="T25" i="5" s="1"/>
  <c r="T26" i="5" s="1"/>
  <c r="Q23" i="1"/>
  <c r="Q25" i="1" s="1"/>
  <c r="R22" i="8"/>
  <c r="S21" i="7"/>
  <c r="Q21" i="3"/>
  <c r="Q22" i="3"/>
  <c r="Q22" i="6"/>
  <c r="R21" i="1"/>
  <c r="R21" i="4"/>
  <c r="U22" i="5"/>
  <c r="R21" i="8"/>
  <c r="R23" i="8" s="1"/>
  <c r="R25" i="8" s="1"/>
  <c r="S22" i="7"/>
  <c r="Q21" i="6"/>
  <c r="Q23" i="6" s="1"/>
  <c r="Q25" i="6" s="1"/>
  <c r="R22" i="1"/>
  <c r="R22" i="4"/>
  <c r="U21" i="5"/>
  <c r="U23" i="5" s="1"/>
  <c r="U25" i="5" s="1"/>
  <c r="S24" i="1"/>
  <c r="T18" i="1"/>
  <c r="Q26" i="8"/>
  <c r="Q28" i="8"/>
  <c r="Q27" i="8"/>
  <c r="P26" i="3"/>
  <c r="P27" i="3"/>
  <c r="P28" i="3"/>
  <c r="T28" i="5"/>
  <c r="T27" i="5"/>
  <c r="R28" i="7"/>
  <c r="R26" i="7"/>
  <c r="R27" i="7"/>
  <c r="P28" i="6"/>
  <c r="P26" i="6"/>
  <c r="P27" i="6"/>
  <c r="Q26" i="4"/>
  <c r="Q27" i="4"/>
  <c r="Q28" i="4"/>
  <c r="T18" i="8"/>
  <c r="S24" i="8"/>
  <c r="U18" i="7"/>
  <c r="T24" i="7"/>
  <c r="S18" i="3"/>
  <c r="R24" i="3"/>
  <c r="R24" i="6"/>
  <c r="S18" i="6"/>
  <c r="S24" i="4"/>
  <c r="T18" i="4"/>
  <c r="V24" i="5"/>
  <c r="W18" i="5"/>
  <c r="Q26" i="1"/>
  <c r="Q27" i="1"/>
  <c r="Q28" i="1"/>
  <c r="S20" i="1"/>
  <c r="S19" i="8"/>
  <c r="T20" i="7"/>
  <c r="R20" i="3"/>
  <c r="S19" i="4"/>
  <c r="V20" i="5"/>
  <c r="S19" i="1"/>
  <c r="S20" i="8"/>
  <c r="T19" i="7"/>
  <c r="R19" i="3"/>
  <c r="R19" i="6"/>
  <c r="R20" i="6"/>
  <c r="S20" i="4"/>
  <c r="V19" i="5"/>
  <c r="R23" i="4" l="1"/>
  <c r="R25" i="4" s="1"/>
  <c r="Q23" i="3"/>
  <c r="Q25" i="3" s="1"/>
  <c r="R23" i="1"/>
  <c r="R25" i="1" s="1"/>
  <c r="S23" i="7"/>
  <c r="S25" i="7" s="1"/>
  <c r="V21" i="5"/>
  <c r="S22" i="4"/>
  <c r="R22" i="6"/>
  <c r="R21" i="6"/>
  <c r="R23" i="6" s="1"/>
  <c r="R25" i="6" s="1"/>
  <c r="R21" i="3"/>
  <c r="T21" i="7"/>
  <c r="S22" i="8"/>
  <c r="S21" i="1"/>
  <c r="V22" i="5"/>
  <c r="S21" i="4"/>
  <c r="S23" i="4" s="1"/>
  <c r="S25" i="4" s="1"/>
  <c r="R22" i="3"/>
  <c r="T22" i="7"/>
  <c r="S21" i="8"/>
  <c r="S23" i="8" s="1"/>
  <c r="S25" i="8" s="1"/>
  <c r="S22" i="1"/>
  <c r="X18" i="5"/>
  <c r="W24" i="5"/>
  <c r="U18" i="4"/>
  <c r="T24" i="4"/>
  <c r="T24" i="1"/>
  <c r="U18" i="1"/>
  <c r="U26" i="5"/>
  <c r="U27" i="5"/>
  <c r="U28" i="5"/>
  <c r="R26" i="1"/>
  <c r="R27" i="1"/>
  <c r="R28" i="1"/>
  <c r="S26" i="7"/>
  <c r="S27" i="7"/>
  <c r="S28" i="7"/>
  <c r="T18" i="6"/>
  <c r="S24" i="6"/>
  <c r="S24" i="3"/>
  <c r="T18" i="3"/>
  <c r="V18" i="7"/>
  <c r="U24" i="7"/>
  <c r="U18" i="8"/>
  <c r="T24" i="8"/>
  <c r="Q28" i="6"/>
  <c r="Q27" i="6"/>
  <c r="Q26" i="6"/>
  <c r="R26" i="8"/>
  <c r="R28" i="8"/>
  <c r="R27" i="8"/>
  <c r="R26" i="4"/>
  <c r="R27" i="4"/>
  <c r="R28" i="4"/>
  <c r="Q26" i="3"/>
  <c r="Q27" i="3"/>
  <c r="Q28" i="3"/>
  <c r="T19" i="4"/>
  <c r="T20" i="1"/>
  <c r="S19" i="6"/>
  <c r="S20" i="3"/>
  <c r="S19" i="3"/>
  <c r="U19" i="7"/>
  <c r="T20" i="8"/>
  <c r="W20" i="5"/>
  <c r="W19" i="5"/>
  <c r="T20" i="4"/>
  <c r="T19" i="1"/>
  <c r="S20" i="6"/>
  <c r="U20" i="7"/>
  <c r="T19" i="8"/>
  <c r="S23" i="1" l="1"/>
  <c r="S25" i="1" s="1"/>
  <c r="T23" i="7"/>
  <c r="T25" i="7" s="1"/>
  <c r="R23" i="3"/>
  <c r="R25" i="3" s="1"/>
  <c r="V23" i="5"/>
  <c r="V25" i="5" s="1"/>
  <c r="V26" i="5" s="1"/>
  <c r="T21" i="8"/>
  <c r="U22" i="7"/>
  <c r="S22" i="6"/>
  <c r="T21" i="1"/>
  <c r="T22" i="4"/>
  <c r="W21" i="5"/>
  <c r="W22" i="5"/>
  <c r="T22" i="8"/>
  <c r="U21" i="7"/>
  <c r="U23" i="7" s="1"/>
  <c r="U25" i="7" s="1"/>
  <c r="S21" i="3"/>
  <c r="S22" i="3"/>
  <c r="S21" i="6"/>
  <c r="S23" i="6" s="1"/>
  <c r="S25" i="6" s="1"/>
  <c r="T22" i="1"/>
  <c r="T21" i="4"/>
  <c r="T23" i="4" s="1"/>
  <c r="T25" i="4" s="1"/>
  <c r="V18" i="8"/>
  <c r="U24" i="8"/>
  <c r="W18" i="7"/>
  <c r="V24" i="7"/>
  <c r="U18" i="3"/>
  <c r="T24" i="3"/>
  <c r="T24" i="6"/>
  <c r="U18" i="6"/>
  <c r="U24" i="1"/>
  <c r="V18" i="1"/>
  <c r="S27" i="4"/>
  <c r="S28" i="4"/>
  <c r="S26" i="4"/>
  <c r="S27" i="1"/>
  <c r="S26" i="1"/>
  <c r="S28" i="1"/>
  <c r="T27" i="7"/>
  <c r="T26" i="7"/>
  <c r="T28" i="7"/>
  <c r="R27" i="6"/>
  <c r="R26" i="6"/>
  <c r="R28" i="6"/>
  <c r="U24" i="4"/>
  <c r="V18" i="4"/>
  <c r="X24" i="5"/>
  <c r="Y18" i="5"/>
  <c r="S27" i="8"/>
  <c r="S28" i="8"/>
  <c r="S26" i="8"/>
  <c r="R26" i="3"/>
  <c r="R27" i="3"/>
  <c r="R28" i="3"/>
  <c r="V19" i="7"/>
  <c r="T20" i="3"/>
  <c r="T19" i="6"/>
  <c r="U19" i="1"/>
  <c r="U20" i="4"/>
  <c r="X20" i="5"/>
  <c r="U20" i="8"/>
  <c r="U19" i="8"/>
  <c r="V20" i="7"/>
  <c r="T19" i="3"/>
  <c r="T20" i="6"/>
  <c r="U20" i="1"/>
  <c r="U19" i="4"/>
  <c r="X19" i="5"/>
  <c r="V27" i="5" l="1"/>
  <c r="V28" i="5"/>
  <c r="S23" i="3"/>
  <c r="S25" i="3" s="1"/>
  <c r="W23" i="5"/>
  <c r="W25" i="5" s="1"/>
  <c r="W28" i="5" s="1"/>
  <c r="T23" i="1"/>
  <c r="T25" i="1" s="1"/>
  <c r="T23" i="8"/>
  <c r="T25" i="8" s="1"/>
  <c r="X21" i="5"/>
  <c r="U21" i="4"/>
  <c r="U22" i="1"/>
  <c r="T22" i="6"/>
  <c r="T21" i="3"/>
  <c r="V22" i="7"/>
  <c r="U21" i="8"/>
  <c r="U22" i="8"/>
  <c r="X22" i="5"/>
  <c r="U22" i="4"/>
  <c r="U21" i="1"/>
  <c r="U23" i="1" s="1"/>
  <c r="U25" i="1" s="1"/>
  <c r="T21" i="6"/>
  <c r="T23" i="6" s="1"/>
  <c r="T25" i="6" s="1"/>
  <c r="T22" i="3"/>
  <c r="V21" i="7"/>
  <c r="V23" i="7" s="1"/>
  <c r="V25" i="7" s="1"/>
  <c r="Z18" i="5"/>
  <c r="Y24" i="5"/>
  <c r="W18" i="4"/>
  <c r="V24" i="4"/>
  <c r="V24" i="1"/>
  <c r="W18" i="1"/>
  <c r="V18" i="6"/>
  <c r="U24" i="6"/>
  <c r="T26" i="4"/>
  <c r="T28" i="4"/>
  <c r="T27" i="4"/>
  <c r="S26" i="6"/>
  <c r="S28" i="6"/>
  <c r="S27" i="6"/>
  <c r="S26" i="3"/>
  <c r="S27" i="3"/>
  <c r="S28" i="3"/>
  <c r="T26" i="1"/>
  <c r="T27" i="1"/>
  <c r="T28" i="1"/>
  <c r="U24" i="3"/>
  <c r="V18" i="3"/>
  <c r="X18" i="7"/>
  <c r="W24" i="7"/>
  <c r="W18" i="8"/>
  <c r="V24" i="8"/>
  <c r="U27" i="7"/>
  <c r="U26" i="7"/>
  <c r="U28" i="7"/>
  <c r="T27" i="8"/>
  <c r="T28" i="8"/>
  <c r="T26" i="8"/>
  <c r="Y19" i="5"/>
  <c r="V20" i="4"/>
  <c r="V19" i="1"/>
  <c r="U20" i="6"/>
  <c r="U20" i="3"/>
  <c r="W19" i="7"/>
  <c r="W20" i="7"/>
  <c r="V20" i="8"/>
  <c r="Y20" i="5"/>
  <c r="V19" i="4"/>
  <c r="V20" i="1"/>
  <c r="U19" i="6"/>
  <c r="U19" i="3"/>
  <c r="V19" i="8"/>
  <c r="W26" i="5" l="1"/>
  <c r="W27" i="5"/>
  <c r="U23" i="4"/>
  <c r="U25" i="4" s="1"/>
  <c r="U23" i="8"/>
  <c r="U25" i="8" s="1"/>
  <c r="T23" i="3"/>
  <c r="T25" i="3" s="1"/>
  <c r="X23" i="5"/>
  <c r="X25" i="5" s="1"/>
  <c r="X26" i="5" s="1"/>
  <c r="V21" i="8"/>
  <c r="U21" i="3"/>
  <c r="U21" i="6"/>
  <c r="V22" i="1"/>
  <c r="V21" i="4"/>
  <c r="Y22" i="5"/>
  <c r="V22" i="8"/>
  <c r="W22" i="7"/>
  <c r="W21" i="7"/>
  <c r="W23" i="7" s="1"/>
  <c r="W25" i="7" s="1"/>
  <c r="U22" i="3"/>
  <c r="U22" i="6"/>
  <c r="V21" i="1"/>
  <c r="V23" i="1" s="1"/>
  <c r="V25" i="1" s="1"/>
  <c r="V22" i="4"/>
  <c r="Y21" i="5"/>
  <c r="Y23" i="5" s="1"/>
  <c r="Y25" i="5" s="1"/>
  <c r="X18" i="8"/>
  <c r="W24" i="8"/>
  <c r="Y18" i="7"/>
  <c r="X24" i="7"/>
  <c r="W24" i="1"/>
  <c r="X18" i="1"/>
  <c r="V27" i="7"/>
  <c r="V26" i="7"/>
  <c r="V28" i="7"/>
  <c r="T26" i="6"/>
  <c r="T28" i="6"/>
  <c r="T27" i="6"/>
  <c r="U26" i="4"/>
  <c r="U27" i="4"/>
  <c r="U28" i="4"/>
  <c r="W18" i="3"/>
  <c r="V24" i="3"/>
  <c r="V24" i="6"/>
  <c r="W18" i="6"/>
  <c r="W24" i="4"/>
  <c r="X18" i="4"/>
  <c r="Z24" i="5"/>
  <c r="AA18" i="5"/>
  <c r="U26" i="1"/>
  <c r="U27" i="1"/>
  <c r="U28" i="1"/>
  <c r="U26" i="8"/>
  <c r="U28" i="8"/>
  <c r="U27" i="8"/>
  <c r="T28" i="3"/>
  <c r="T26" i="3"/>
  <c r="T27" i="3"/>
  <c r="W19" i="8"/>
  <c r="W19" i="1"/>
  <c r="V19" i="3"/>
  <c r="V20" i="6"/>
  <c r="V19" i="6"/>
  <c r="W20" i="4"/>
  <c r="Z19" i="5"/>
  <c r="W20" i="8"/>
  <c r="X19" i="7"/>
  <c r="X20" i="7"/>
  <c r="W20" i="1"/>
  <c r="V20" i="3"/>
  <c r="W19" i="4"/>
  <c r="Z20" i="5"/>
  <c r="X27" i="5" l="1"/>
  <c r="X28" i="5"/>
  <c r="U23" i="3"/>
  <c r="U25" i="3" s="1"/>
  <c r="V23" i="4"/>
  <c r="V25" i="4" s="1"/>
  <c r="U23" i="6"/>
  <c r="U25" i="6" s="1"/>
  <c r="V23" i="8"/>
  <c r="V25" i="8" s="1"/>
  <c r="Z22" i="5"/>
  <c r="W21" i="4"/>
  <c r="V22" i="3"/>
  <c r="W22" i="1"/>
  <c r="X22" i="7"/>
  <c r="X21" i="7"/>
  <c r="X23" i="7" s="1"/>
  <c r="X25" i="7" s="1"/>
  <c r="W22" i="8"/>
  <c r="Z21" i="5"/>
  <c r="W22" i="4"/>
  <c r="V21" i="6"/>
  <c r="V23" i="6" s="1"/>
  <c r="V25" i="6" s="1"/>
  <c r="V22" i="6"/>
  <c r="V21" i="3"/>
  <c r="V23" i="3" s="1"/>
  <c r="V25" i="3" s="1"/>
  <c r="W21" i="1"/>
  <c r="W23" i="1" s="1"/>
  <c r="W25" i="1" s="1"/>
  <c r="W21" i="8"/>
  <c r="W23" i="8" s="1"/>
  <c r="W25" i="8" s="1"/>
  <c r="X18" i="6"/>
  <c r="W24" i="6"/>
  <c r="W24" i="3"/>
  <c r="X18" i="3"/>
  <c r="X24" i="1"/>
  <c r="Y18" i="1"/>
  <c r="Y27" i="5"/>
  <c r="Y28" i="5"/>
  <c r="Y26" i="5"/>
  <c r="V28" i="1"/>
  <c r="V26" i="1"/>
  <c r="V27" i="1"/>
  <c r="U27" i="3"/>
  <c r="U28" i="3"/>
  <c r="U26" i="3"/>
  <c r="AB18" i="5"/>
  <c r="AA24" i="5"/>
  <c r="Y18" i="4"/>
  <c r="X24" i="4"/>
  <c r="Z18" i="7"/>
  <c r="Y24" i="7"/>
  <c r="Y18" i="8"/>
  <c r="X24" i="8"/>
  <c r="W26" i="7"/>
  <c r="W28" i="7"/>
  <c r="W27" i="7"/>
  <c r="V28" i="4"/>
  <c r="V27" i="4"/>
  <c r="V26" i="4"/>
  <c r="U26" i="6"/>
  <c r="U27" i="6"/>
  <c r="U28" i="6"/>
  <c r="V26" i="8"/>
  <c r="V28" i="8"/>
  <c r="V27" i="8"/>
  <c r="W19" i="6"/>
  <c r="W19" i="3"/>
  <c r="AA19" i="5"/>
  <c r="X20" i="4"/>
  <c r="Y20" i="7"/>
  <c r="X20" i="8"/>
  <c r="W20" i="6"/>
  <c r="W20" i="3"/>
  <c r="X20" i="1"/>
  <c r="X19" i="1"/>
  <c r="AA20" i="5"/>
  <c r="X19" i="4"/>
  <c r="Y19" i="7"/>
  <c r="X19" i="8"/>
  <c r="Z23" i="5" l="1"/>
  <c r="Z25" i="5" s="1"/>
  <c r="Z27" i="5" s="1"/>
  <c r="W23" i="4"/>
  <c r="W25" i="4" s="1"/>
  <c r="X21" i="8"/>
  <c r="Y21" i="7"/>
  <c r="X21" i="4"/>
  <c r="AA22" i="5"/>
  <c r="X21" i="1"/>
  <c r="X22" i="1"/>
  <c r="W22" i="3"/>
  <c r="W22" i="6"/>
  <c r="X22" i="8"/>
  <c r="Y22" i="7"/>
  <c r="X22" i="4"/>
  <c r="AA21" i="5"/>
  <c r="AA23" i="5" s="1"/>
  <c r="AA25" i="5" s="1"/>
  <c r="W21" i="3"/>
  <c r="W23" i="3" s="1"/>
  <c r="W25" i="3" s="1"/>
  <c r="W21" i="6"/>
  <c r="W23" i="6" s="1"/>
  <c r="W25" i="6" s="1"/>
  <c r="Z18" i="8"/>
  <c r="Y24" i="8"/>
  <c r="AA18" i="7"/>
  <c r="Z24" i="7"/>
  <c r="Y24" i="4"/>
  <c r="Z18" i="4"/>
  <c r="AB24" i="5"/>
  <c r="AC18" i="5"/>
  <c r="Y18" i="3"/>
  <c r="X24" i="3"/>
  <c r="W27" i="8"/>
  <c r="W28" i="8"/>
  <c r="W26" i="8"/>
  <c r="V27" i="3"/>
  <c r="V28" i="3"/>
  <c r="V26" i="3"/>
  <c r="V27" i="6"/>
  <c r="V26" i="6"/>
  <c r="V28" i="6"/>
  <c r="Z28" i="5"/>
  <c r="X27" i="7"/>
  <c r="X28" i="7"/>
  <c r="X26" i="7"/>
  <c r="W26" i="4"/>
  <c r="W27" i="4"/>
  <c r="W28" i="4"/>
  <c r="Y24" i="1"/>
  <c r="Z18" i="1"/>
  <c r="X24" i="6"/>
  <c r="Y18" i="6"/>
  <c r="W26" i="1"/>
  <c r="W27" i="1"/>
  <c r="W28" i="1"/>
  <c r="Z20" i="7"/>
  <c r="X19" i="3"/>
  <c r="Y20" i="8"/>
  <c r="Y19" i="8"/>
  <c r="Z19" i="7"/>
  <c r="Y20" i="4"/>
  <c r="Y19" i="4"/>
  <c r="AB20" i="5"/>
  <c r="AB19" i="5"/>
  <c r="X20" i="3"/>
  <c r="Y19" i="1"/>
  <c r="Y20" i="1"/>
  <c r="X20" i="6"/>
  <c r="X19" i="6"/>
  <c r="Z26" i="5" l="1"/>
  <c r="X23" i="1"/>
  <c r="X25" i="1" s="1"/>
  <c r="X23" i="4"/>
  <c r="X25" i="4" s="1"/>
  <c r="X23" i="8"/>
  <c r="X25" i="8" s="1"/>
  <c r="Y23" i="7"/>
  <c r="Y25" i="7" s="1"/>
  <c r="X21" i="6"/>
  <c r="X23" i="6" s="1"/>
  <c r="X25" i="6" s="1"/>
  <c r="X22" i="6"/>
  <c r="Y22" i="1"/>
  <c r="Y21" i="1"/>
  <c r="X22" i="3"/>
  <c r="AB21" i="5"/>
  <c r="AB22" i="5"/>
  <c r="Y21" i="4"/>
  <c r="Y22" i="4"/>
  <c r="Z21" i="7"/>
  <c r="Y21" i="8"/>
  <c r="Y23" i="8" s="1"/>
  <c r="Y25" i="8" s="1"/>
  <c r="Y22" i="8"/>
  <c r="X21" i="3"/>
  <c r="X23" i="3" s="1"/>
  <c r="X25" i="3" s="1"/>
  <c r="Z22" i="7"/>
  <c r="W27" i="6"/>
  <c r="W26" i="6"/>
  <c r="W28" i="6"/>
  <c r="AA26" i="5"/>
  <c r="AA27" i="5"/>
  <c r="AA28" i="5"/>
  <c r="Y27" i="7"/>
  <c r="Y28" i="7"/>
  <c r="Y26" i="7"/>
  <c r="Z18" i="6"/>
  <c r="Y24" i="6"/>
  <c r="Z24" i="1"/>
  <c r="AA18" i="1"/>
  <c r="Y24" i="3"/>
  <c r="Z18" i="3"/>
  <c r="AD18" i="5"/>
  <c r="AC24" i="5"/>
  <c r="AA18" i="4"/>
  <c r="Z24" i="4"/>
  <c r="AB18" i="7"/>
  <c r="AA24" i="7"/>
  <c r="AA18" i="8"/>
  <c r="Z24" i="8"/>
  <c r="W28" i="3"/>
  <c r="W26" i="3"/>
  <c r="W27" i="3"/>
  <c r="X27" i="1"/>
  <c r="X28" i="1"/>
  <c r="X26" i="1"/>
  <c r="X26" i="4"/>
  <c r="X28" i="4"/>
  <c r="X27" i="4"/>
  <c r="X27" i="8"/>
  <c r="X28" i="8"/>
  <c r="X26" i="8"/>
  <c r="Y19" i="6"/>
  <c r="Y20" i="6"/>
  <c r="Z20" i="1"/>
  <c r="Y19" i="3"/>
  <c r="AC20" i="5"/>
  <c r="Z20" i="4"/>
  <c r="AA19" i="7"/>
  <c r="AA20" i="7"/>
  <c r="Z20" i="8"/>
  <c r="Z19" i="1"/>
  <c r="Y20" i="3"/>
  <c r="AC19" i="5"/>
  <c r="Z19" i="4"/>
  <c r="Z19" i="8"/>
  <c r="Z23" i="7" l="1"/>
  <c r="Z25" i="7" s="1"/>
  <c r="Y23" i="4"/>
  <c r="Y25" i="4" s="1"/>
  <c r="AB23" i="5"/>
  <c r="AB25" i="5" s="1"/>
  <c r="AB28" i="5" s="1"/>
  <c r="Y23" i="1"/>
  <c r="Y25" i="1" s="1"/>
  <c r="Z21" i="8"/>
  <c r="Z21" i="4"/>
  <c r="AC21" i="5"/>
  <c r="Y22" i="3"/>
  <c r="Z21" i="1"/>
  <c r="Z22" i="8"/>
  <c r="AA22" i="7"/>
  <c r="AA21" i="7"/>
  <c r="AA23" i="7" s="1"/>
  <c r="AA25" i="7" s="1"/>
  <c r="Z22" i="4"/>
  <c r="AC22" i="5"/>
  <c r="Y21" i="3"/>
  <c r="Y23" i="3" s="1"/>
  <c r="Y25" i="3" s="1"/>
  <c r="Z22" i="1"/>
  <c r="Y22" i="6"/>
  <c r="Y21" i="6"/>
  <c r="Y23" i="6" s="1"/>
  <c r="Y25" i="6" s="1"/>
  <c r="AB18" i="8"/>
  <c r="AA24" i="8"/>
  <c r="AC18" i="7"/>
  <c r="AB24" i="7"/>
  <c r="AA24" i="4"/>
  <c r="AB18" i="4"/>
  <c r="AD24" i="5"/>
  <c r="AE18" i="5"/>
  <c r="Z24" i="6"/>
  <c r="AA18" i="6"/>
  <c r="Z26" i="7"/>
  <c r="Z27" i="7"/>
  <c r="Z28" i="7"/>
  <c r="Y28" i="4"/>
  <c r="Y27" i="4"/>
  <c r="Y26" i="4"/>
  <c r="Y26" i="1"/>
  <c r="Y27" i="1"/>
  <c r="Y28" i="1"/>
  <c r="AA18" i="3"/>
  <c r="Z24" i="3"/>
  <c r="AA24" i="1"/>
  <c r="AB18" i="1"/>
  <c r="X26" i="3"/>
  <c r="X27" i="3"/>
  <c r="X28" i="3"/>
  <c r="Y26" i="8"/>
  <c r="Y28" i="8"/>
  <c r="Y27" i="8"/>
  <c r="X28" i="6"/>
  <c r="X27" i="6"/>
  <c r="X26" i="6"/>
  <c r="AA20" i="8"/>
  <c r="AB19" i="7"/>
  <c r="AD19" i="5"/>
  <c r="Z20" i="6"/>
  <c r="Z19" i="3"/>
  <c r="AA20" i="1"/>
  <c r="AA19" i="8"/>
  <c r="AB20" i="7"/>
  <c r="AA19" i="4"/>
  <c r="AA20" i="4"/>
  <c r="AD20" i="5"/>
  <c r="Z19" i="6"/>
  <c r="Z20" i="3"/>
  <c r="AA19" i="1"/>
  <c r="AB26" i="5" l="1"/>
  <c r="AB27" i="5"/>
  <c r="Z23" i="4"/>
  <c r="Z25" i="4" s="1"/>
  <c r="Z23" i="1"/>
  <c r="Z25" i="1" s="1"/>
  <c r="AC23" i="5"/>
  <c r="AC25" i="5" s="1"/>
  <c r="AC28" i="5" s="1"/>
  <c r="Z23" i="8"/>
  <c r="Z25" i="8" s="1"/>
  <c r="AA21" i="1"/>
  <c r="Z22" i="3"/>
  <c r="Z21" i="6"/>
  <c r="AD22" i="5"/>
  <c r="AA22" i="4"/>
  <c r="AA21" i="4"/>
  <c r="AB22" i="7"/>
  <c r="AA21" i="8"/>
  <c r="AA22" i="1"/>
  <c r="Z21" i="3"/>
  <c r="Z23" i="3" s="1"/>
  <c r="Z25" i="3" s="1"/>
  <c r="Z22" i="6"/>
  <c r="AD21" i="5"/>
  <c r="AD23" i="5" s="1"/>
  <c r="AD25" i="5" s="1"/>
  <c r="AB21" i="7"/>
  <c r="AB23" i="7" s="1"/>
  <c r="AB25" i="7" s="1"/>
  <c r="AA22" i="8"/>
  <c r="AB24" i="1"/>
  <c r="AC18" i="1"/>
  <c r="AB18" i="6"/>
  <c r="AA24" i="6"/>
  <c r="AE24" i="5"/>
  <c r="Y27" i="6"/>
  <c r="Y26" i="6"/>
  <c r="Y28" i="6"/>
  <c r="AA28" i="7"/>
  <c r="AA27" i="7"/>
  <c r="AA26" i="7"/>
  <c r="Z26" i="4"/>
  <c r="Z27" i="4"/>
  <c r="Z28" i="4"/>
  <c r="AA24" i="3"/>
  <c r="AB18" i="3"/>
  <c r="AC18" i="4"/>
  <c r="AB24" i="4"/>
  <c r="AC24" i="7"/>
  <c r="AD18" i="7"/>
  <c r="AC18" i="8"/>
  <c r="AB24" i="8"/>
  <c r="Y26" i="3"/>
  <c r="Y27" i="3"/>
  <c r="Y28" i="3"/>
  <c r="Z27" i="1"/>
  <c r="Z28" i="1"/>
  <c r="Z26" i="1"/>
  <c r="AC27" i="5"/>
  <c r="Z28" i="8"/>
  <c r="Z26" i="8"/>
  <c r="Z27" i="8"/>
  <c r="AB19" i="1"/>
  <c r="AA19" i="6"/>
  <c r="AE19" i="5"/>
  <c r="AE20" i="5"/>
  <c r="AA20" i="3"/>
  <c r="AB19" i="4"/>
  <c r="AB20" i="1"/>
  <c r="AA20" i="6"/>
  <c r="AA19" i="3"/>
  <c r="AB20" i="4"/>
  <c r="AC20" i="7"/>
  <c r="AC19" i="7"/>
  <c r="AB20" i="8"/>
  <c r="AB19" i="8"/>
  <c r="AC26" i="5" l="1"/>
  <c r="AA23" i="8"/>
  <c r="AA25" i="8" s="1"/>
  <c r="AA23" i="4"/>
  <c r="AA25" i="4" s="1"/>
  <c r="Z23" i="6"/>
  <c r="Z25" i="6" s="1"/>
  <c r="AA23" i="1"/>
  <c r="AA25" i="1" s="1"/>
  <c r="AB21" i="8"/>
  <c r="AB23" i="8" s="1"/>
  <c r="AB25" i="8" s="1"/>
  <c r="AB22" i="8"/>
  <c r="AC21" i="7"/>
  <c r="AC23" i="7" s="1"/>
  <c r="AC25" i="7" s="1"/>
  <c r="AC22" i="7"/>
  <c r="AB22" i="4"/>
  <c r="AA21" i="3"/>
  <c r="AA22" i="6"/>
  <c r="AB22" i="1"/>
  <c r="AB21" i="4"/>
  <c r="AB23" i="4" s="1"/>
  <c r="AB25" i="4" s="1"/>
  <c r="AA22" i="3"/>
  <c r="AE22" i="5"/>
  <c r="AE21" i="5"/>
  <c r="AA21" i="6"/>
  <c r="AA23" i="6" s="1"/>
  <c r="AA25" i="6" s="1"/>
  <c r="AB21" i="1"/>
  <c r="AB23" i="1" s="1"/>
  <c r="AB25" i="1" s="1"/>
  <c r="AC18" i="3"/>
  <c r="AB24" i="3"/>
  <c r="AC24" i="1"/>
  <c r="AD18" i="1"/>
  <c r="AD27" i="5"/>
  <c r="AD28" i="5"/>
  <c r="AD26" i="5"/>
  <c r="Z26" i="3"/>
  <c r="Z27" i="3"/>
  <c r="Z28" i="3"/>
  <c r="AA28" i="8"/>
  <c r="AA26" i="8"/>
  <c r="AA27" i="8"/>
  <c r="AA27" i="4"/>
  <c r="AA28" i="4"/>
  <c r="AA26" i="4"/>
  <c r="AD18" i="8"/>
  <c r="AC24" i="8"/>
  <c r="AD24" i="7"/>
  <c r="AE18" i="7"/>
  <c r="AC24" i="4"/>
  <c r="AD18" i="4"/>
  <c r="AB24" i="6"/>
  <c r="AC18" i="6"/>
  <c r="AB28" i="7"/>
  <c r="AB26" i="7"/>
  <c r="AB27" i="7"/>
  <c r="Z27" i="6"/>
  <c r="Z26" i="6"/>
  <c r="Z28" i="6"/>
  <c r="AA26" i="1"/>
  <c r="AA28" i="1"/>
  <c r="AA27" i="1"/>
  <c r="AB19" i="3"/>
  <c r="AC20" i="1"/>
  <c r="AD19" i="7"/>
  <c r="AC20" i="4"/>
  <c r="AB19" i="6"/>
  <c r="AB20" i="3"/>
  <c r="AC19" i="1"/>
  <c r="AC19" i="8"/>
  <c r="AC20" i="8"/>
  <c r="AD20" i="7"/>
  <c r="AC19" i="4"/>
  <c r="AB20" i="6"/>
  <c r="AE23" i="5" l="1"/>
  <c r="AE25" i="5" s="1"/>
  <c r="AE28" i="5" s="1"/>
  <c r="AA23" i="3"/>
  <c r="AA25" i="3" s="1"/>
  <c r="AB22" i="6"/>
  <c r="AC21" i="4"/>
  <c r="AD22" i="7"/>
  <c r="AC22" i="8"/>
  <c r="AC21" i="8"/>
  <c r="AC23" i="8" s="1"/>
  <c r="AC25" i="8" s="1"/>
  <c r="AC21" i="1"/>
  <c r="AB22" i="3"/>
  <c r="AB21" i="6"/>
  <c r="AB23" i="6" s="1"/>
  <c r="AB25" i="6" s="1"/>
  <c r="AC22" i="4"/>
  <c r="AD21" i="7"/>
  <c r="AD23" i="7" s="1"/>
  <c r="AD25" i="7" s="1"/>
  <c r="AC22" i="1"/>
  <c r="AB21" i="3"/>
  <c r="AB23" i="3" s="1"/>
  <c r="AB25" i="3" s="1"/>
  <c r="AD18" i="6"/>
  <c r="AC24" i="6"/>
  <c r="AD24" i="4"/>
  <c r="AE18" i="4"/>
  <c r="AE24" i="7"/>
  <c r="AD24" i="1"/>
  <c r="AE18" i="1"/>
  <c r="AB26" i="1"/>
  <c r="AB27" i="1"/>
  <c r="AB28" i="1"/>
  <c r="AA26" i="3"/>
  <c r="AA27" i="3"/>
  <c r="AA28" i="3"/>
  <c r="AE18" i="8"/>
  <c r="AD24" i="8"/>
  <c r="AC24" i="3"/>
  <c r="AD18" i="3"/>
  <c r="AA28" i="6"/>
  <c r="AA27" i="6"/>
  <c r="AA26" i="6"/>
  <c r="AB26" i="4"/>
  <c r="AB28" i="4"/>
  <c r="AB27" i="4"/>
  <c r="AC27" i="7"/>
  <c r="AC28" i="7"/>
  <c r="AC26" i="7"/>
  <c r="AB26" i="8"/>
  <c r="AB28" i="8"/>
  <c r="AB27" i="8"/>
  <c r="AC20" i="6"/>
  <c r="AD20" i="4"/>
  <c r="AE20" i="7"/>
  <c r="AD19" i="1"/>
  <c r="AD20" i="8"/>
  <c r="AC19" i="3"/>
  <c r="AC19" i="6"/>
  <c r="AD19" i="4"/>
  <c r="AE19" i="7"/>
  <c r="AD20" i="1"/>
  <c r="AD19" i="8"/>
  <c r="AC20" i="3"/>
  <c r="AE26" i="5" l="1"/>
  <c r="AE27" i="5"/>
  <c r="AC23" i="1"/>
  <c r="AC25" i="1" s="1"/>
  <c r="AC23" i="4"/>
  <c r="AC25" i="4" s="1"/>
  <c r="AC22" i="3"/>
  <c r="AD21" i="8"/>
  <c r="AD22" i="1"/>
  <c r="AE21" i="7"/>
  <c r="AD21" i="4"/>
  <c r="AC21" i="6"/>
  <c r="AC21" i="3"/>
  <c r="AC23" i="3" s="1"/>
  <c r="AC25" i="3" s="1"/>
  <c r="AD22" i="8"/>
  <c r="AD21" i="1"/>
  <c r="AD23" i="1" s="1"/>
  <c r="AD25" i="1" s="1"/>
  <c r="AE22" i="7"/>
  <c r="AD22" i="4"/>
  <c r="AC22" i="6"/>
  <c r="AD24" i="3"/>
  <c r="AE18" i="3"/>
  <c r="AE24" i="4"/>
  <c r="AB26" i="3"/>
  <c r="AB27" i="3"/>
  <c r="AB28" i="3"/>
  <c r="AD26" i="7"/>
  <c r="AD28" i="7"/>
  <c r="AD27" i="7"/>
  <c r="AB28" i="6"/>
  <c r="AB27" i="6"/>
  <c r="AB26" i="6"/>
  <c r="AC26" i="1"/>
  <c r="AC27" i="1"/>
  <c r="AC28" i="1"/>
  <c r="AC28" i="4"/>
  <c r="AC27" i="4"/>
  <c r="AC26" i="4"/>
  <c r="AE24" i="8"/>
  <c r="AE24" i="1"/>
  <c r="AD24" i="6"/>
  <c r="AE18" i="6"/>
  <c r="AC26" i="8"/>
  <c r="AC27" i="8"/>
  <c r="AC28" i="8"/>
  <c r="AD19" i="3"/>
  <c r="AE19" i="4"/>
  <c r="AE20" i="8"/>
  <c r="AE19" i="1"/>
  <c r="AD20" i="3"/>
  <c r="AE20" i="4"/>
  <c r="AE19" i="8"/>
  <c r="AE20" i="1"/>
  <c r="AD20" i="6"/>
  <c r="AD19" i="6"/>
  <c r="AC23" i="6" l="1"/>
  <c r="AC25" i="6" s="1"/>
  <c r="AE23" i="7"/>
  <c r="AE25" i="7" s="1"/>
  <c r="AD23" i="8"/>
  <c r="AD25" i="8" s="1"/>
  <c r="AD23" i="4"/>
  <c r="AD25" i="4" s="1"/>
  <c r="AD21" i="6"/>
  <c r="AD23" i="6" s="1"/>
  <c r="AD25" i="6" s="1"/>
  <c r="AD22" i="6"/>
  <c r="AE22" i="1"/>
  <c r="AE21" i="8"/>
  <c r="AE22" i="4"/>
  <c r="AD22" i="3"/>
  <c r="AE21" i="1"/>
  <c r="AE23" i="1" s="1"/>
  <c r="AE25" i="1" s="1"/>
  <c r="AE22" i="8"/>
  <c r="AE21" i="4"/>
  <c r="AE23" i="4" s="1"/>
  <c r="AE25" i="4" s="1"/>
  <c r="AD21" i="3"/>
  <c r="AD23" i="3" s="1"/>
  <c r="AD25" i="3" s="1"/>
  <c r="AE24" i="3"/>
  <c r="AC26" i="6"/>
  <c r="AC28" i="6"/>
  <c r="AC27" i="6"/>
  <c r="AE28" i="7"/>
  <c r="AE27" i="7"/>
  <c r="AE26" i="7"/>
  <c r="AD27" i="8"/>
  <c r="AD28" i="8"/>
  <c r="AD26" i="8"/>
  <c r="AE24" i="6"/>
  <c r="AD28" i="1"/>
  <c r="AD27" i="1"/>
  <c r="AD26" i="1"/>
  <c r="AC27" i="3"/>
  <c r="AC28" i="3"/>
  <c r="AC26" i="3"/>
  <c r="AD26" i="4"/>
  <c r="AD28" i="4"/>
  <c r="AD27" i="4"/>
  <c r="AE20" i="3"/>
  <c r="AE19" i="6"/>
  <c r="AE19" i="3"/>
  <c r="AE20" i="6"/>
  <c r="AE23" i="8" l="1"/>
  <c r="AE25" i="8" s="1"/>
  <c r="AE22" i="6"/>
  <c r="AE21" i="3"/>
  <c r="AE21" i="6"/>
  <c r="AE23" i="6" s="1"/>
  <c r="AE25" i="6" s="1"/>
  <c r="AE22" i="3"/>
  <c r="AD26" i="3"/>
  <c r="AD27" i="3"/>
  <c r="AD28" i="3"/>
  <c r="AE28" i="8"/>
  <c r="AE26" i="8"/>
  <c r="AE27" i="8"/>
  <c r="AE26" i="4"/>
  <c r="AE27" i="4"/>
  <c r="AE28" i="4"/>
  <c r="AE28" i="1"/>
  <c r="AE26" i="1"/>
  <c r="AE27" i="1"/>
  <c r="AD28" i="6"/>
  <c r="AD27" i="6"/>
  <c r="AD26" i="6"/>
  <c r="AE23" i="3" l="1"/>
  <c r="AE25" i="3" s="1"/>
  <c r="AE28" i="3" s="1"/>
  <c r="AE27" i="6"/>
  <c r="AE26" i="6"/>
  <c r="AE28" i="6"/>
  <c r="AE26" i="3" l="1"/>
  <c r="AE27" i="3"/>
</calcChain>
</file>

<file path=xl/sharedStrings.xml><?xml version="1.0" encoding="utf-8"?>
<sst xmlns="http://schemas.openxmlformats.org/spreadsheetml/2006/main" count="203" uniqueCount="32">
  <si>
    <t># #61 mix u'</t>
  </si>
  <si>
    <t># #61 mix u''</t>
  </si>
  <si>
    <t>CSTable</t>
  </si>
  <si>
    <t>Al (nH for 1t)</t>
  </si>
  <si>
    <t>f (MHz)</t>
  </si>
  <si>
    <t>µ'</t>
  </si>
  <si>
    <t>µ''</t>
  </si>
  <si>
    <t>N</t>
  </si>
  <si>
    <t>R</t>
  </si>
  <si>
    <t>X</t>
  </si>
  <si>
    <t>Cs (pF)</t>
  </si>
  <si>
    <t>2*pi*N^2*Al</t>
  </si>
  <si>
    <t>Rl</t>
  </si>
  <si>
    <t>Xl</t>
  </si>
  <si>
    <t>Yl</t>
  </si>
  <si>
    <t>Yc</t>
  </si>
  <si>
    <t>Z</t>
  </si>
  <si>
    <t>|Z|</t>
  </si>
  <si>
    <t>Inputs:</t>
  </si>
  <si>
    <t>Constants:</t>
  </si>
  <si>
    <t>Mix</t>
  </si>
  <si>
    <t>#61</t>
  </si>
  <si>
    <t>Calculated values:</t>
  </si>
  <si>
    <t>Module</t>
  </si>
  <si>
    <t>Version</t>
  </si>
  <si>
    <t>Date</t>
  </si>
  <si>
    <t>CubicSpline</t>
  </si>
  <si>
    <t>Copyright: Owen Duffy 2010. All rights reserved.</t>
  </si>
  <si>
    <t>Calculate impedance of ferrite cored inductor</t>
  </si>
  <si>
    <t>A method for estimating the impedance of a ferrite cored toroidal inductor at RF</t>
  </si>
  <si>
    <t>Reference:</t>
  </si>
  <si>
    <t>µi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</si>
</sst>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00"/>
  </numFmts>
  <fonts count="4" x14ac:knownFonts="1">
    <font>
      <sz val="10"/>
      <name val="Arial"/>
    </font>
    <font>
      <b/>
      <sz val="10"/>
      <name val="Arial"/>
      <family val="2"/>
    </font>
    <font>
      <b/>
      <sz val="16"/>
      <name val="Arial"/>
      <family val="2"/>
    </font>
    <font>
      <u/>
      <sz val="10"/>
      <color indexed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5">
    <xf numFmtId="0" fontId="0" fillId="0" borderId="0" xfId="0"/>
    <xf numFmtId="11" fontId="0" fillId="0" borderId="0" xfId="0" applyNumberFormat="1"/>
    <xf numFmtId="0" fontId="0" fillId="0" borderId="0" xfId="0" quotePrefix="1"/>
    <xf numFmtId="0" fontId="0" fillId="2" borderId="0" xfId="0" applyFill="1"/>
    <xf numFmtId="165" fontId="0" fillId="3" borderId="0" xfId="0" applyNumberFormat="1" applyFill="1"/>
    <xf numFmtId="1" fontId="0" fillId="3" borderId="0" xfId="0" applyNumberFormat="1" applyFill="1"/>
    <xf numFmtId="0" fontId="0" fillId="3" borderId="0" xfId="0" applyFill="1"/>
    <xf numFmtId="1" fontId="0" fillId="0" borderId="0" xfId="0" applyNumberFormat="1" applyFill="1"/>
    <xf numFmtId="0" fontId="1" fillId="0" borderId="0" xfId="0" applyFont="1"/>
    <xf numFmtId="0" fontId="2" fillId="0" borderId="0" xfId="0" applyFont="1"/>
    <xf numFmtId="164" fontId="0" fillId="2" borderId="0" xfId="0" applyNumberFormat="1" applyFill="1"/>
    <xf numFmtId="0" fontId="1" fillId="0" borderId="0" xfId="0" applyFont="1" applyAlignment="1">
      <alignment horizontal="right"/>
    </xf>
    <xf numFmtId="0" fontId="3" fillId="0" borderId="0" xfId="1" applyFont="1" applyAlignment="1" applyProtection="1"/>
    <xf numFmtId="14" fontId="0" fillId="0" borderId="0" xfId="0" applyNumberFormat="1"/>
    <xf numFmtId="0" fontId="0" fillId="0" borderId="1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76264694378964"/>
          <c:y val="0.14508944384922992"/>
          <c:w val="0.7491644913093215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'FT140-61 12t'!$A$26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'FT140-61 12t'!$B$26:$AE$26</c:f>
              <c:numCache>
                <c:formatCode>0</c:formatCode>
                <c:ptCount val="30"/>
                <c:pt idx="0">
                  <c:v>0.132537281382233</c:v>
                </c:pt>
                <c:pt idx="1">
                  <c:v>0.59687716417674896</c:v>
                </c:pt>
                <c:pt idx="2">
                  <c:v>1.4484658196832401</c:v>
                </c:pt>
                <c:pt idx="3">
                  <c:v>2.74571312822557</c:v>
                </c:pt>
                <c:pt idx="4">
                  <c:v>4.5221226453412502</c:v>
                </c:pt>
                <c:pt idx="5">
                  <c:v>6.8816205327739004</c:v>
                </c:pt>
                <c:pt idx="6">
                  <c:v>9.1615572769593907</c:v>
                </c:pt>
                <c:pt idx="7">
                  <c:v>13.317289415249601</c:v>
                </c:pt>
                <c:pt idx="8">
                  <c:v>18.037858741386302</c:v>
                </c:pt>
                <c:pt idx="9">
                  <c:v>25.6843898772999</c:v>
                </c:pt>
                <c:pt idx="10">
                  <c:v>38.153286006610102</c:v>
                </c:pt>
                <c:pt idx="11">
                  <c:v>57.3457776559381</c:v>
                </c:pt>
                <c:pt idx="12">
                  <c:v>85.333758517174502</c:v>
                </c:pt>
                <c:pt idx="13">
                  <c:v>136.95509493397799</c:v>
                </c:pt>
                <c:pt idx="14">
                  <c:v>209.33647840668201</c:v>
                </c:pt>
                <c:pt idx="15">
                  <c:v>349.165933920246</c:v>
                </c:pt>
                <c:pt idx="16">
                  <c:v>588.05018495701995</c:v>
                </c:pt>
                <c:pt idx="17">
                  <c:v>991.27078674006896</c:v>
                </c:pt>
                <c:pt idx="18">
                  <c:v>1661.2795913775101</c:v>
                </c:pt>
                <c:pt idx="19">
                  <c:v>2618.2992669856299</c:v>
                </c:pt>
                <c:pt idx="20">
                  <c:v>3993.5166096253101</c:v>
                </c:pt>
                <c:pt idx="21">
                  <c:v>5658.3667135564901</c:v>
                </c:pt>
                <c:pt idx="22">
                  <c:v>7167.69387788111</c:v>
                </c:pt>
                <c:pt idx="23">
                  <c:v>8194.4536403885995</c:v>
                </c:pt>
                <c:pt idx="24">
                  <c:v>8729.9351071523797</c:v>
                </c:pt>
                <c:pt idx="25">
                  <c:v>8720.8824162868805</c:v>
                </c:pt>
                <c:pt idx="26">
                  <c:v>8432.5205746096599</c:v>
                </c:pt>
                <c:pt idx="27">
                  <c:v>7891.8284224579102</c:v>
                </c:pt>
                <c:pt idx="28">
                  <c:v>7272.0830798836396</c:v>
                </c:pt>
                <c:pt idx="29">
                  <c:v>6703.5527688626898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'FT140-61 12t'!$A$27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'FT140-61 12t'!$B$27:$AE$27</c:f>
              <c:numCache>
                <c:formatCode>0</c:formatCode>
                <c:ptCount val="30"/>
                <c:pt idx="0">
                  <c:v>122.06646809698201</c:v>
                </c:pt>
                <c:pt idx="1">
                  <c:v>244.867718049876</c:v>
                </c:pt>
                <c:pt idx="2">
                  <c:v>369.123128556805</c:v>
                </c:pt>
                <c:pt idx="3">
                  <c:v>497.74599489989703</c:v>
                </c:pt>
                <c:pt idx="4">
                  <c:v>632.28549102808097</c:v>
                </c:pt>
                <c:pt idx="5">
                  <c:v>772.60531587309197</c:v>
                </c:pt>
                <c:pt idx="6">
                  <c:v>920.93776488218896</c:v>
                </c:pt>
                <c:pt idx="7">
                  <c:v>1080.8392845604301</c:v>
                </c:pt>
                <c:pt idx="8">
                  <c:v>1253.8245938421501</c:v>
                </c:pt>
                <c:pt idx="9">
                  <c:v>1441.0426669342401</c:v>
                </c:pt>
                <c:pt idx="10">
                  <c:v>1647.1751732795501</c:v>
                </c:pt>
                <c:pt idx="11">
                  <c:v>1880.4219738177401</c:v>
                </c:pt>
                <c:pt idx="12">
                  <c:v>2152.6178747988001</c:v>
                </c:pt>
                <c:pt idx="13">
                  <c:v>2476.8512729477302</c:v>
                </c:pt>
                <c:pt idx="14">
                  <c:v>2865.6519564731502</c:v>
                </c:pt>
                <c:pt idx="15">
                  <c:v>3332.3416166269499</c:v>
                </c:pt>
                <c:pt idx="16">
                  <c:v>3887.5846461793899</c:v>
                </c:pt>
                <c:pt idx="17">
                  <c:v>4516.8876599096502</c:v>
                </c:pt>
                <c:pt idx="18">
                  <c:v>5155.1813522924504</c:v>
                </c:pt>
                <c:pt idx="19">
                  <c:v>5739.2331744473504</c:v>
                </c:pt>
                <c:pt idx="20">
                  <c:v>6129.3569458531501</c:v>
                </c:pt>
                <c:pt idx="21">
                  <c:v>5951.1064635741996</c:v>
                </c:pt>
                <c:pt idx="22">
                  <c:v>5034.2469822973399</c:v>
                </c:pt>
                <c:pt idx="23">
                  <c:v>3835.77632035947</c:v>
                </c:pt>
                <c:pt idx="24">
                  <c:v>2179.0337836418598</c:v>
                </c:pt>
                <c:pt idx="25">
                  <c:v>629.12363366841601</c:v>
                </c:pt>
                <c:pt idx="26">
                  <c:v>-533.74369425029795</c:v>
                </c:pt>
                <c:pt idx="27">
                  <c:v>-1504.70712968675</c:v>
                </c:pt>
                <c:pt idx="28">
                  <c:v>-2212.2613286769501</c:v>
                </c:pt>
                <c:pt idx="29">
                  <c:v>-2685.2515554592701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'FT140-61 12t'!$A$28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'FT140-61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'FT140-61 12t'!$B$28:$AE$28</c:f>
              <c:numCache>
                <c:formatCode>0</c:formatCode>
                <c:ptCount val="30"/>
                <c:pt idx="0">
                  <c:v>122.06654005009925</c:v>
                </c:pt>
                <c:pt idx="1">
                  <c:v>244.86844550758821</c:v>
                </c:pt>
                <c:pt idx="2">
                  <c:v>369.12597048811722</c:v>
                </c:pt>
                <c:pt idx="3">
                  <c:v>497.75356792239148</c:v>
                </c:pt>
                <c:pt idx="4">
                  <c:v>632.30166199199653</c:v>
                </c:pt>
                <c:pt idx="5">
                  <c:v>772.63596267357195</c:v>
                </c:pt>
                <c:pt idx="6">
                  <c:v>920.98333368087663</c:v>
                </c:pt>
                <c:pt idx="7">
                  <c:v>1080.9213242629974</c:v>
                </c:pt>
                <c:pt idx="8">
                  <c:v>1253.9543358796629</c:v>
                </c:pt>
                <c:pt idx="9">
                  <c:v>1441.2715413163187</c:v>
                </c:pt>
                <c:pt idx="10">
                  <c:v>1647.6169836165254</c:v>
                </c:pt>
                <c:pt idx="11">
                  <c:v>1881.2961855676979</c:v>
                </c:pt>
                <c:pt idx="12">
                  <c:v>2154.3086049231597</c:v>
                </c:pt>
                <c:pt idx="13">
                  <c:v>2480.634782939876</c:v>
                </c:pt>
                <c:pt idx="14">
                  <c:v>2873.2878200469418</c:v>
                </c:pt>
                <c:pt idx="15">
                  <c:v>3350.5846503728735</c:v>
                </c:pt>
                <c:pt idx="16">
                  <c:v>3931.8084135977069</c:v>
                </c:pt>
                <c:pt idx="17">
                  <c:v>4624.3801643991546</c:v>
                </c:pt>
                <c:pt idx="18">
                  <c:v>5416.2482084697003</c:v>
                </c:pt>
                <c:pt idx="19">
                  <c:v>6308.2714337744292</c:v>
                </c:pt>
                <c:pt idx="20">
                  <c:v>7315.5445102214708</c:v>
                </c:pt>
                <c:pt idx="21">
                  <c:v>8211.7465868034851</c:v>
                </c:pt>
                <c:pt idx="22">
                  <c:v>8758.965589941783</c:v>
                </c:pt>
                <c:pt idx="23">
                  <c:v>9047.7759943705714</c:v>
                </c:pt>
                <c:pt idx="24">
                  <c:v>8997.7750141545657</c:v>
                </c:pt>
                <c:pt idx="25">
                  <c:v>8743.5454287801258</c:v>
                </c:pt>
                <c:pt idx="26">
                  <c:v>8449.3955743808783</c:v>
                </c:pt>
                <c:pt idx="27">
                  <c:v>8033.9964771989198</c:v>
                </c:pt>
                <c:pt idx="28">
                  <c:v>7601.1375798027384</c:v>
                </c:pt>
                <c:pt idx="29">
                  <c:v>7221.3707591442126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446296"/>
        <c:axId val="434447472"/>
      </c:scatterChart>
      <c:valAx>
        <c:axId val="43444629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307727420360081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447472"/>
        <c:crosses val="autoZero"/>
        <c:crossBetween val="midCat"/>
      </c:valAx>
      <c:valAx>
        <c:axId val="4344474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4462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769296719286232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'FT140-61 12t'!$A$19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'FT140-61 12t'!$B$19:$AE$19</c:f>
              <c:numCache>
                <c:formatCode>0</c:formatCode>
                <c:ptCount val="30"/>
                <c:pt idx="0">
                  <c:v>0.1305305218990753</c:v>
                </c:pt>
                <c:pt idx="1">
                  <c:v>0.29216417496419567</c:v>
                </c:pt>
                <c:pt idx="2">
                  <c:v>0.46795642566441231</c:v>
                </c:pt>
                <c:pt idx="3">
                  <c:v>0.65587769819791408</c:v>
                </c:pt>
                <c:pt idx="4">
                  <c:v>0.84813909731256343</c:v>
                </c:pt>
                <c:pt idx="5">
                  <c:v>1.0507459671455464</c:v>
                </c:pt>
                <c:pt idx="6">
                  <c:v>1.1655675876755502</c:v>
                </c:pt>
                <c:pt idx="7">
                  <c:v>1.4331390403662139</c:v>
                </c:pt>
                <c:pt idx="8">
                  <c:v>1.6580544204904037</c:v>
                </c:pt>
                <c:pt idx="9">
                  <c:v>2.0288590128736232</c:v>
                </c:pt>
                <c:pt idx="10">
                  <c:v>2.5971245875922397</c:v>
                </c:pt>
                <c:pt idx="11">
                  <c:v>3.3621404669626322</c:v>
                </c:pt>
                <c:pt idx="12">
                  <c:v>4.2912951630089635</c:v>
                </c:pt>
                <c:pt idx="13">
                  <c:v>5.8615275999244441</c:v>
                </c:pt>
                <c:pt idx="14">
                  <c:v>7.541506712481894</c:v>
                </c:pt>
                <c:pt idx="15">
                  <c:v>10.440076981485154</c:v>
                </c:pt>
                <c:pt idx="16">
                  <c:v>14.356331687547252</c:v>
                </c:pt>
                <c:pt idx="17">
                  <c:v>19.475152489651389</c:v>
                </c:pt>
                <c:pt idx="18">
                  <c:v>26.093784816973535</c:v>
                </c:pt>
                <c:pt idx="19">
                  <c:v>32.812983366032299</c:v>
                </c:pt>
                <c:pt idx="20">
                  <c:v>40.121145117251913</c:v>
                </c:pt>
                <c:pt idx="21">
                  <c:v>47.741408708970091</c:v>
                </c:pt>
                <c:pt idx="22">
                  <c:v>54.92355589129653</c:v>
                </c:pt>
                <c:pt idx="23">
                  <c:v>59.636390218978171</c:v>
                </c:pt>
                <c:pt idx="24">
                  <c:v>65.439350827392232</c:v>
                </c:pt>
                <c:pt idx="25">
                  <c:v>70.197937862249233</c:v>
                </c:pt>
                <c:pt idx="26">
                  <c:v>72.74127086191011</c:v>
                </c:pt>
                <c:pt idx="27">
                  <c:v>75.418789121876827</c:v>
                </c:pt>
                <c:pt idx="28">
                  <c:v>77.47967253407711</c:v>
                </c:pt>
                <c:pt idx="29">
                  <c:v>78.324281436852331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'FT140-61 12t'!$A$20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'FT140-61 12t'!$B$20:$AE$20</c:f>
              <c:numCache>
                <c:formatCode>0</c:formatCode>
                <c:ptCount val="30"/>
                <c:pt idx="0">
                  <c:v>120.33811266602297</c:v>
                </c:pt>
                <c:pt idx="1">
                  <c:v>120.33926483497109</c:v>
                </c:pt>
                <c:pt idx="2">
                  <c:v>120.33143081052972</c:v>
                </c:pt>
                <c:pt idx="3">
                  <c:v>120.83191224512163</c:v>
                </c:pt>
                <c:pt idx="4">
                  <c:v>121.64967363558205</c:v>
                </c:pt>
                <c:pt idx="5">
                  <c:v>122.43529012762203</c:v>
                </c:pt>
                <c:pt idx="6">
                  <c:v>123.3352582402844</c:v>
                </c:pt>
                <c:pt idx="7">
                  <c:v>124.53068774300374</c:v>
                </c:pt>
                <c:pt idx="8">
                  <c:v>125.8779040842777</c:v>
                </c:pt>
                <c:pt idx="9">
                  <c:v>127.23357190462848</c:v>
                </c:pt>
                <c:pt idx="10">
                  <c:v>128.72762986207428</c:v>
                </c:pt>
                <c:pt idx="11">
                  <c:v>130.58691735598651</c:v>
                </c:pt>
                <c:pt idx="12">
                  <c:v>133.03440666309157</c:v>
                </c:pt>
                <c:pt idx="13">
                  <c:v>136.12336259869176</c:v>
                </c:pt>
                <c:pt idx="14">
                  <c:v>139.67793935478795</c:v>
                </c:pt>
                <c:pt idx="15">
                  <c:v>143.50601061257916</c:v>
                </c:pt>
                <c:pt idx="16">
                  <c:v>147.31593290901336</c:v>
                </c:pt>
                <c:pt idx="17">
                  <c:v>150.5136760966235</c:v>
                </c:pt>
                <c:pt idx="18">
                  <c:v>152.48288732711956</c:v>
                </c:pt>
                <c:pt idx="19">
                  <c:v>153.39557417739775</c:v>
                </c:pt>
                <c:pt idx="20">
                  <c:v>153.80507483449514</c:v>
                </c:pt>
                <c:pt idx="21">
                  <c:v>152.45141077347637</c:v>
                </c:pt>
                <c:pt idx="22">
                  <c:v>149.01810626281133</c:v>
                </c:pt>
                <c:pt idx="23">
                  <c:v>144.70647869465122</c:v>
                </c:pt>
                <c:pt idx="24">
                  <c:v>140.25969798892274</c:v>
                </c:pt>
                <c:pt idx="25">
                  <c:v>135.75204916835645</c:v>
                </c:pt>
                <c:pt idx="26">
                  <c:v>131.21515882395235</c:v>
                </c:pt>
                <c:pt idx="27">
                  <c:v>126.69399171567839</c:v>
                </c:pt>
                <c:pt idx="28">
                  <c:v>122.24641410480092</c:v>
                </c:pt>
                <c:pt idx="29">
                  <c:v>117.93080634469251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447864"/>
        <c:axId val="434443160"/>
      </c:scatterChart>
      <c:valAx>
        <c:axId val="43444786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805581158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443160"/>
        <c:crosses val="autoZero"/>
        <c:crossBetween val="midCat"/>
      </c:valAx>
      <c:valAx>
        <c:axId val="4344431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4478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396694214876033"/>
          <c:y val="2.82485875706214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92561983471074"/>
          <c:y val="0.13182698443933991"/>
          <c:w val="0.73884297520661157"/>
          <c:h val="0.77777920819210544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'FT140-61 4t'!$A$26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'FT140-61 4t'!$B$18:$AE$18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4t'!$B$26:$AE$26</c:f>
              <c:numCache>
                <c:formatCode>0</c:formatCode>
                <c:ptCount val="30"/>
                <c:pt idx="0">
                  <c:v>556.03780652972296</c:v>
                </c:pt>
                <c:pt idx="1">
                  <c:v>591.46142724916103</c:v>
                </c:pt>
                <c:pt idx="2">
                  <c:v>629.44851299898698</c:v>
                </c:pt>
                <c:pt idx="3">
                  <c:v>666.65213845308097</c:v>
                </c:pt>
                <c:pt idx="4">
                  <c:v>702.54726703248298</c:v>
                </c:pt>
                <c:pt idx="5">
                  <c:v>733.91724548683806</c:v>
                </c:pt>
                <c:pt idx="6">
                  <c:v>759.60241129958899</c:v>
                </c:pt>
                <c:pt idx="7">
                  <c:v>780.82353950481797</c:v>
                </c:pt>
                <c:pt idx="8">
                  <c:v>798.68341783575704</c:v>
                </c:pt>
                <c:pt idx="9">
                  <c:v>813.164753087088</c:v>
                </c:pt>
                <c:pt idx="10">
                  <c:v>823.23384656572398</c:v>
                </c:pt>
                <c:pt idx="11">
                  <c:v>827.86869674329705</c:v>
                </c:pt>
                <c:pt idx="12">
                  <c:v>826.40006976904795</c:v>
                </c:pt>
                <c:pt idx="13">
                  <c:v>818.91177656638502</c:v>
                </c:pt>
                <c:pt idx="14">
                  <c:v>806.24552104013901</c:v>
                </c:pt>
                <c:pt idx="15">
                  <c:v>789.30274401142401</c:v>
                </c:pt>
                <c:pt idx="16">
                  <c:v>768.94033172895797</c:v>
                </c:pt>
                <c:pt idx="17">
                  <c:v>745.97776429374005</c:v>
                </c:pt>
                <c:pt idx="18">
                  <c:v>721.10552277575198</c:v>
                </c:pt>
                <c:pt idx="19">
                  <c:v>694.81324315088398</c:v>
                </c:pt>
                <c:pt idx="20">
                  <c:v>667.52017536422295</c:v>
                </c:pt>
                <c:pt idx="21">
                  <c:v>639.59551168393796</c:v>
                </c:pt>
                <c:pt idx="22">
                  <c:v>611.36243854533802</c:v>
                </c:pt>
                <c:pt idx="23">
                  <c:v>583.10197920300402</c:v>
                </c:pt>
                <c:pt idx="24">
                  <c:v>555.19950644980895</c:v>
                </c:pt>
                <c:pt idx="25">
                  <c:v>528.04728951139305</c:v>
                </c:pt>
                <c:pt idx="26">
                  <c:v>501.84721413693097</c:v>
                </c:pt>
                <c:pt idx="27">
                  <c:v>476.71873968486801</c:v>
                </c:pt>
                <c:pt idx="28">
                  <c:v>452.71825454482502</c:v>
                </c:pt>
                <c:pt idx="29">
                  <c:v>429.85549125205603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'FT140-61 4t'!$A$27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'FT140-61 4t'!$B$18:$AE$18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4t'!$B$27:$AE$27</c:f>
              <c:numCache>
                <c:formatCode>0</c:formatCode>
                <c:ptCount val="30"/>
                <c:pt idx="0">
                  <c:v>314.89819269211102</c:v>
                </c:pt>
                <c:pt idx="1">
                  <c:v>287.99354403408898</c:v>
                </c:pt>
                <c:pt idx="2">
                  <c:v>262.45659197730799</c:v>
                </c:pt>
                <c:pt idx="3">
                  <c:v>237.90351457336999</c:v>
                </c:pt>
                <c:pt idx="4">
                  <c:v>209.63305499013401</c:v>
                </c:pt>
                <c:pt idx="5">
                  <c:v>177.37064861118699</c:v>
                </c:pt>
                <c:pt idx="6">
                  <c:v>143.02334465244499</c:v>
                </c:pt>
                <c:pt idx="7">
                  <c:v>106.347124630359</c:v>
                </c:pt>
                <c:pt idx="8">
                  <c:v>66.356610713605605</c:v>
                </c:pt>
                <c:pt idx="9">
                  <c:v>22.4913565630062</c:v>
                </c:pt>
                <c:pt idx="10">
                  <c:v>-24.4148916317328</c:v>
                </c:pt>
                <c:pt idx="11">
                  <c:v>-72.860738353293797</c:v>
                </c:pt>
                <c:pt idx="12">
                  <c:v>-120.910018934467</c:v>
                </c:pt>
                <c:pt idx="13">
                  <c:v>-166.87277275995299</c:v>
                </c:pt>
                <c:pt idx="14">
                  <c:v>-210.08605684153099</c:v>
                </c:pt>
                <c:pt idx="15">
                  <c:v>-250.24142087821599</c:v>
                </c:pt>
                <c:pt idx="16">
                  <c:v>-287.10041368693402</c:v>
                </c:pt>
                <c:pt idx="17">
                  <c:v>-320.48809106406202</c:v>
                </c:pt>
                <c:pt idx="18">
                  <c:v>-350.36128229053202</c:v>
                </c:pt>
                <c:pt idx="19">
                  <c:v>-376.72628013232497</c:v>
                </c:pt>
                <c:pt idx="20">
                  <c:v>-399.633375137146</c:v>
                </c:pt>
                <c:pt idx="21">
                  <c:v>-419.16824561246699</c:v>
                </c:pt>
                <c:pt idx="22">
                  <c:v>-435.44257631466297</c:v>
                </c:pt>
                <c:pt idx="23">
                  <c:v>-448.58793222870298</c:v>
                </c:pt>
                <c:pt idx="24">
                  <c:v>-458.64520660334802</c:v>
                </c:pt>
                <c:pt idx="25">
                  <c:v>-465.87717591115899</c:v>
                </c:pt>
                <c:pt idx="26">
                  <c:v>-470.72307707606501</c:v>
                </c:pt>
                <c:pt idx="27">
                  <c:v>-473.58906440514897</c:v>
                </c:pt>
                <c:pt idx="28">
                  <c:v>-474.841653379484</c:v>
                </c:pt>
                <c:pt idx="29">
                  <c:v>-474.805289560902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'FT140-61 4t'!$A$28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'FT140-61 4t'!$B$18:$AE$18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4t'!$B$28:$AE$28</c:f>
              <c:numCache>
                <c:formatCode>0</c:formatCode>
                <c:ptCount val="30"/>
                <c:pt idx="0">
                  <c:v>639.01401710067648</c:v>
                </c:pt>
                <c:pt idx="1">
                  <c:v>657.85021192436295</c:v>
                </c:pt>
                <c:pt idx="2">
                  <c:v>681.97426138306639</c:v>
                </c:pt>
                <c:pt idx="3">
                  <c:v>707.82989195881487</c:v>
                </c:pt>
                <c:pt idx="4">
                  <c:v>733.15665458298031</c:v>
                </c:pt>
                <c:pt idx="5">
                  <c:v>755.04627024556646</c:v>
                </c:pt>
                <c:pt idx="6">
                  <c:v>772.94986924620287</c:v>
                </c:pt>
                <c:pt idx="7">
                  <c:v>788.03243001920748</c:v>
                </c:pt>
                <c:pt idx="8">
                  <c:v>801.43521367057701</c:v>
                </c:pt>
                <c:pt idx="9">
                  <c:v>813.47573828801376</c:v>
                </c:pt>
                <c:pt idx="10">
                  <c:v>823.59580685235835</c:v>
                </c:pt>
                <c:pt idx="11">
                  <c:v>831.06874940695025</c:v>
                </c:pt>
                <c:pt idx="12">
                  <c:v>835.19836445782164</c:v>
                </c:pt>
                <c:pt idx="13">
                  <c:v>835.74100060228443</c:v>
                </c:pt>
                <c:pt idx="14">
                  <c:v>833.1674450412163</c:v>
                </c:pt>
                <c:pt idx="15">
                  <c:v>828.02149152489517</c:v>
                </c:pt>
                <c:pt idx="16">
                  <c:v>820.78979117594326</c:v>
                </c:pt>
                <c:pt idx="17">
                  <c:v>811.90851783595258</c:v>
                </c:pt>
                <c:pt idx="18">
                  <c:v>801.71453966231434</c:v>
                </c:pt>
                <c:pt idx="19">
                  <c:v>790.37214842135495</c:v>
                </c:pt>
                <c:pt idx="20">
                  <c:v>778.00386826916849</c:v>
                </c:pt>
                <c:pt idx="21">
                  <c:v>764.7119959148489</c:v>
                </c:pt>
                <c:pt idx="22">
                  <c:v>750.58261939086572</c:v>
                </c:pt>
                <c:pt idx="23">
                  <c:v>735.6895072594715</c:v>
                </c:pt>
                <c:pt idx="24">
                  <c:v>720.14020683637671</c:v>
                </c:pt>
                <c:pt idx="25">
                  <c:v>704.18426778456637</c:v>
                </c:pt>
                <c:pt idx="26">
                  <c:v>688.06310875453687</c:v>
                </c:pt>
                <c:pt idx="27">
                  <c:v>671.97273656813888</c:v>
                </c:pt>
                <c:pt idx="28">
                  <c:v>656.0704335528884</c:v>
                </c:pt>
                <c:pt idx="29">
                  <c:v>640.48091802532133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778784"/>
        <c:axId val="440777216"/>
      </c:scatterChart>
      <c:valAx>
        <c:axId val="440778784"/>
        <c:scaling>
          <c:orientation val="minMax"/>
          <c:max val="20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652892561983473"/>
              <c:y val="0.930321930097720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0777216"/>
        <c:crosses val="autoZero"/>
        <c:crossBetween val="midCat"/>
      </c:valAx>
      <c:valAx>
        <c:axId val="440777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446280991735537E-2"/>
              <c:y val="0.4350290394491648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077878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578512396694211"/>
          <c:y val="0.46327762701978631"/>
          <c:w val="8.0991735537190079E-2"/>
          <c:h val="0.114877787169259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8448914182756855"/>
          <c:y val="2.819548872180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5687470489555E-2"/>
          <c:y val="0.13157906813457118"/>
          <c:w val="0.80363165808010084"/>
          <c:h val="0.7424818844736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'FT140-61 4t'!$A$19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'FT140-61 4t'!$B$18:$AE$18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4t'!$B$19:$AE$19</c:f>
              <c:numCache>
                <c:formatCode>0</c:formatCode>
                <c:ptCount val="30"/>
                <c:pt idx="0">
                  <c:v>74.523767919540148</c:v>
                </c:pt>
                <c:pt idx="1">
                  <c:v>70.952454855135997</c:v>
                </c:pt>
                <c:pt idx="2">
                  <c:v>68.061211872466714</c:v>
                </c:pt>
                <c:pt idx="3">
                  <c:v>65.350912567581403</c:v>
                </c:pt>
                <c:pt idx="4">
                  <c:v>62.974565369065758</c:v>
                </c:pt>
                <c:pt idx="5">
                  <c:v>60.722038589992017</c:v>
                </c:pt>
                <c:pt idx="6">
                  <c:v>58.479631642653558</c:v>
                </c:pt>
                <c:pt idx="7">
                  <c:v>56.382249016580005</c:v>
                </c:pt>
                <c:pt idx="8">
                  <c:v>54.556286168351399</c:v>
                </c:pt>
                <c:pt idx="9">
                  <c:v>53.037210367521254</c:v>
                </c:pt>
                <c:pt idx="10">
                  <c:v>51.756334507965917</c:v>
                </c:pt>
                <c:pt idx="11">
                  <c:v>50.630531456953051</c:v>
                </c:pt>
                <c:pt idx="12">
                  <c:v>49.577000696610547</c:v>
                </c:pt>
                <c:pt idx="13">
                  <c:v>48.545228104487677</c:v>
                </c:pt>
                <c:pt idx="14">
                  <c:v>47.544243813024551</c:v>
                </c:pt>
                <c:pt idx="15">
                  <c:v>46.588929650797787</c:v>
                </c:pt>
                <c:pt idx="16">
                  <c:v>45.684711256848303</c:v>
                </c:pt>
                <c:pt idx="17">
                  <c:v>44.829365020231123</c:v>
                </c:pt>
                <c:pt idx="18">
                  <c:v>44.020198196349682</c:v>
                </c:pt>
                <c:pt idx="19">
                  <c:v>43.25400373844419</c:v>
                </c:pt>
                <c:pt idx="20">
                  <c:v>42.527513047138406</c:v>
                </c:pt>
                <c:pt idx="21">
                  <c:v>41.837465564627131</c:v>
                </c:pt>
                <c:pt idx="22">
                  <c:v>41.180591348216879</c:v>
                </c:pt>
                <c:pt idx="23">
                  <c:v>40.553618730512937</c:v>
                </c:pt>
                <c:pt idx="24">
                  <c:v>39.94079901138447</c:v>
                </c:pt>
                <c:pt idx="25">
                  <c:v>39.333362823165814</c:v>
                </c:pt>
                <c:pt idx="26">
                  <c:v>38.736796596729313</c:v>
                </c:pt>
                <c:pt idx="27">
                  <c:v>38.156585554313274</c:v>
                </c:pt>
                <c:pt idx="28">
                  <c:v>37.598218544051115</c:v>
                </c:pt>
                <c:pt idx="29">
                  <c:v>37.067181090352904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'FT140-61 4t'!$A$20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'FT140-61 4t'!$B$18:$AE$18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4t'!$B$20:$AE$20</c:f>
              <c:numCache>
                <c:formatCode>0</c:formatCode>
                <c:ptCount val="30"/>
                <c:pt idx="0">
                  <c:v>64.556070822511316</c:v>
                </c:pt>
                <c:pt idx="1">
                  <c:v>57.870880767031025</c:v>
                </c:pt>
                <c:pt idx="2">
                  <c:v>53.025187452432803</c:v>
                </c:pt>
                <c:pt idx="3">
                  <c:v>49.397673131230057</c:v>
                </c:pt>
                <c:pt idx="4">
                  <c:v>46.339890455253283</c:v>
                </c:pt>
                <c:pt idx="5">
                  <c:v>43.570641342295666</c:v>
                </c:pt>
                <c:pt idx="6">
                  <c:v>41.067166897057021</c:v>
                </c:pt>
                <c:pt idx="7">
                  <c:v>38.812104919789888</c:v>
                </c:pt>
                <c:pt idx="8">
                  <c:v>36.785864387403514</c:v>
                </c:pt>
                <c:pt idx="9">
                  <c:v>34.958733170558737</c:v>
                </c:pt>
                <c:pt idx="10">
                  <c:v>33.298118171514318</c:v>
                </c:pt>
                <c:pt idx="11">
                  <c:v>31.771429560779392</c:v>
                </c:pt>
                <c:pt idx="12">
                  <c:v>30.346184192349313</c:v>
                </c:pt>
                <c:pt idx="13">
                  <c:v>29.000974604106421</c:v>
                </c:pt>
                <c:pt idx="14">
                  <c:v>27.734819868251559</c:v>
                </c:pt>
                <c:pt idx="15">
                  <c:v>26.548942839196471</c:v>
                </c:pt>
                <c:pt idx="16">
                  <c:v>25.444565918109504</c:v>
                </c:pt>
                <c:pt idx="17">
                  <c:v>24.422881277336863</c:v>
                </c:pt>
                <c:pt idx="18">
                  <c:v>23.4807918051693</c:v>
                </c:pt>
                <c:pt idx="19">
                  <c:v>22.606579189231262</c:v>
                </c:pt>
                <c:pt idx="20">
                  <c:v>21.787492422005482</c:v>
                </c:pt>
                <c:pt idx="21">
                  <c:v>21.010784887185707</c:v>
                </c:pt>
                <c:pt idx="22">
                  <c:v>20.263704839949476</c:v>
                </c:pt>
                <c:pt idx="23">
                  <c:v>19.533504258866763</c:v>
                </c:pt>
                <c:pt idx="24">
                  <c:v>18.810542760356615</c:v>
                </c:pt>
                <c:pt idx="25">
                  <c:v>18.096156099461048</c:v>
                </c:pt>
                <c:pt idx="26">
                  <c:v>17.394094622484001</c:v>
                </c:pt>
                <c:pt idx="27">
                  <c:v>16.708108680907021</c:v>
                </c:pt>
                <c:pt idx="28">
                  <c:v>16.041951830730035</c:v>
                </c:pt>
                <c:pt idx="29">
                  <c:v>15.399374568309012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773296"/>
        <c:axId val="440779568"/>
      </c:scatterChart>
      <c:valAx>
        <c:axId val="440773296"/>
        <c:scaling>
          <c:orientation val="minMax"/>
          <c:max val="20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8778947186057183"/>
              <c:y val="0.930451917194561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0779568"/>
        <c:crosses val="autoZero"/>
        <c:crossBetween val="midCat"/>
      </c:valAx>
      <c:valAx>
        <c:axId val="4407795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07732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24231005777734"/>
          <c:y val="0.46428610897322042"/>
          <c:w val="7.7557929021248584E-2"/>
          <c:h val="7.706766917293228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396694214876033"/>
          <c:y val="2.82485875706214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92561983471074"/>
          <c:y val="0.13182698443933991"/>
          <c:w val="0.73884297520661157"/>
          <c:h val="0.77777920819210544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'FT140-61 4t (3)'!$A$26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'FT140-61 4t (3)'!$B$18:$AE$18</c:f>
              <c:numCache>
                <c:formatCode>0.000</c:formatCode>
                <c:ptCount val="30"/>
                <c:pt idx="0">
                  <c:v>100</c:v>
                </c:pt>
                <c:pt idx="1">
                  <c:v>106</c:v>
                </c:pt>
                <c:pt idx="2">
                  <c:v>112.36</c:v>
                </c:pt>
                <c:pt idx="3">
                  <c:v>119.1016</c:v>
                </c:pt>
                <c:pt idx="4">
                  <c:v>126.247696</c:v>
                </c:pt>
                <c:pt idx="5">
                  <c:v>133.82255776000002</c:v>
                </c:pt>
                <c:pt idx="6">
                  <c:v>141.85191122560002</c:v>
                </c:pt>
                <c:pt idx="7">
                  <c:v>150.36302589913603</c:v>
                </c:pt>
                <c:pt idx="8">
                  <c:v>159.38480745308419</c:v>
                </c:pt>
                <c:pt idx="9">
                  <c:v>168.94789590026926</c:v>
                </c:pt>
                <c:pt idx="10">
                  <c:v>179.08476965428542</c:v>
                </c:pt>
                <c:pt idx="11">
                  <c:v>189.82985583354255</c:v>
                </c:pt>
                <c:pt idx="12">
                  <c:v>201.21964718355511</c:v>
                </c:pt>
                <c:pt idx="13">
                  <c:v>213.29282601456842</c:v>
                </c:pt>
                <c:pt idx="14">
                  <c:v>226.09039557544253</c:v>
                </c:pt>
                <c:pt idx="15">
                  <c:v>239.6558193099691</c:v>
                </c:pt>
                <c:pt idx="16">
                  <c:v>254.03516846856726</c:v>
                </c:pt>
                <c:pt idx="17">
                  <c:v>269.27727857668134</c:v>
                </c:pt>
                <c:pt idx="18">
                  <c:v>285.43391529128223</c:v>
                </c:pt>
                <c:pt idx="19">
                  <c:v>302.55995020875918</c:v>
                </c:pt>
                <c:pt idx="20">
                  <c:v>320.71354722128473</c:v>
                </c:pt>
                <c:pt idx="21">
                  <c:v>339.95636005456186</c:v>
                </c:pt>
                <c:pt idx="22">
                  <c:v>360.3537416578356</c:v>
                </c:pt>
                <c:pt idx="23">
                  <c:v>381.97496615730574</c:v>
                </c:pt>
                <c:pt idx="24">
                  <c:v>404.89346412674411</c:v>
                </c:pt>
                <c:pt idx="25">
                  <c:v>429.18707197434878</c:v>
                </c:pt>
                <c:pt idx="26">
                  <c:v>454.93829629280975</c:v>
                </c:pt>
                <c:pt idx="27">
                  <c:v>482.23459407037836</c:v>
                </c:pt>
                <c:pt idx="28">
                  <c:v>511.16866971460109</c:v>
                </c:pt>
                <c:pt idx="29">
                  <c:v>541.83878989747723</c:v>
                </c:pt>
              </c:numCache>
            </c:numRef>
          </c:xVal>
          <c:yVal>
            <c:numRef>
              <c:f>'FT140-61 4t (3)'!$B$26:$AE$26</c:f>
              <c:numCache>
                <c:formatCode>0</c:formatCode>
                <c:ptCount val="30"/>
                <c:pt idx="0">
                  <c:v>168.054854994859</c:v>
                </c:pt>
                <c:pt idx="1">
                  <c:v>174.730998746556</c:v>
                </c:pt>
                <c:pt idx="2">
                  <c:v>181.51653478717699</c:v>
                </c:pt>
                <c:pt idx="3">
                  <c:v>188.18110642169901</c:v>
                </c:pt>
                <c:pt idx="4">
                  <c:v>194.82143101525801</c:v>
                </c:pt>
                <c:pt idx="5">
                  <c:v>201.52638788947499</c:v>
                </c:pt>
                <c:pt idx="6">
                  <c:v>208.324228625475</c:v>
                </c:pt>
                <c:pt idx="7">
                  <c:v>215.153218096308</c:v>
                </c:pt>
                <c:pt idx="8">
                  <c:v>221.83891001746201</c:v>
                </c:pt>
                <c:pt idx="9">
                  <c:v>228.0068413342</c:v>
                </c:pt>
                <c:pt idx="10">
                  <c:v>233.02246415980801</c:v>
                </c:pt>
                <c:pt idx="11">
                  <c:v>236.849452384919</c:v>
                </c:pt>
                <c:pt idx="12">
                  <c:v>239.751426918476</c:v>
                </c:pt>
                <c:pt idx="13">
                  <c:v>241.77840920334199</c:v>
                </c:pt>
                <c:pt idx="14">
                  <c:v>242.13893346072501</c:v>
                </c:pt>
                <c:pt idx="15">
                  <c:v>240.57333503688699</c:v>
                </c:pt>
                <c:pt idx="16">
                  <c:v>238.043094021759</c:v>
                </c:pt>
                <c:pt idx="17">
                  <c:v>234.65928969785099</c:v>
                </c:pt>
                <c:pt idx="18">
                  <c:v>230.218157551194</c:v>
                </c:pt>
                <c:pt idx="19">
                  <c:v>224.41120683816001</c:v>
                </c:pt>
                <c:pt idx="20">
                  <c:v>216.96411468521401</c:v>
                </c:pt>
                <c:pt idx="21">
                  <c:v>208.00687435201101</c:v>
                </c:pt>
                <c:pt idx="22">
                  <c:v>197.995823133204</c:v>
                </c:pt>
                <c:pt idx="23">
                  <c:v>187.27887190397499</c:v>
                </c:pt>
                <c:pt idx="24">
                  <c:v>176.271051569028</c:v>
                </c:pt>
                <c:pt idx="25">
                  <c:v>165.10963270857999</c:v>
                </c:pt>
                <c:pt idx="26">
                  <c:v>153.716796308619</c:v>
                </c:pt>
                <c:pt idx="27">
                  <c:v>142.1805367737</c:v>
                </c:pt>
                <c:pt idx="28">
                  <c:v>130.75898526058799</c:v>
                </c:pt>
                <c:pt idx="29">
                  <c:v>119.676122001202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'FT140-61 4t (3)'!$A$27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'FT140-61 4t (3)'!$B$18:$AE$18</c:f>
              <c:numCache>
                <c:formatCode>0.000</c:formatCode>
                <c:ptCount val="30"/>
                <c:pt idx="0">
                  <c:v>100</c:v>
                </c:pt>
                <c:pt idx="1">
                  <c:v>106</c:v>
                </c:pt>
                <c:pt idx="2">
                  <c:v>112.36</c:v>
                </c:pt>
                <c:pt idx="3">
                  <c:v>119.1016</c:v>
                </c:pt>
                <c:pt idx="4">
                  <c:v>126.247696</c:v>
                </c:pt>
                <c:pt idx="5">
                  <c:v>133.82255776000002</c:v>
                </c:pt>
                <c:pt idx="6">
                  <c:v>141.85191122560002</c:v>
                </c:pt>
                <c:pt idx="7">
                  <c:v>150.36302589913603</c:v>
                </c:pt>
                <c:pt idx="8">
                  <c:v>159.38480745308419</c:v>
                </c:pt>
                <c:pt idx="9">
                  <c:v>168.94789590026926</c:v>
                </c:pt>
                <c:pt idx="10">
                  <c:v>179.08476965428542</c:v>
                </c:pt>
                <c:pt idx="11">
                  <c:v>189.82985583354255</c:v>
                </c:pt>
                <c:pt idx="12">
                  <c:v>201.21964718355511</c:v>
                </c:pt>
                <c:pt idx="13">
                  <c:v>213.29282601456842</c:v>
                </c:pt>
                <c:pt idx="14">
                  <c:v>226.09039557544253</c:v>
                </c:pt>
                <c:pt idx="15">
                  <c:v>239.6558193099691</c:v>
                </c:pt>
                <c:pt idx="16">
                  <c:v>254.03516846856726</c:v>
                </c:pt>
                <c:pt idx="17">
                  <c:v>269.27727857668134</c:v>
                </c:pt>
                <c:pt idx="18">
                  <c:v>285.43391529128223</c:v>
                </c:pt>
                <c:pt idx="19">
                  <c:v>302.55995020875918</c:v>
                </c:pt>
                <c:pt idx="20">
                  <c:v>320.71354722128473</c:v>
                </c:pt>
                <c:pt idx="21">
                  <c:v>339.95636005456186</c:v>
                </c:pt>
                <c:pt idx="22">
                  <c:v>360.3537416578356</c:v>
                </c:pt>
                <c:pt idx="23">
                  <c:v>381.97496615730574</c:v>
                </c:pt>
                <c:pt idx="24">
                  <c:v>404.89346412674411</c:v>
                </c:pt>
                <c:pt idx="25">
                  <c:v>429.18707197434878</c:v>
                </c:pt>
                <c:pt idx="26">
                  <c:v>454.93829629280975</c:v>
                </c:pt>
                <c:pt idx="27">
                  <c:v>482.23459407037836</c:v>
                </c:pt>
                <c:pt idx="28">
                  <c:v>511.16866971460109</c:v>
                </c:pt>
                <c:pt idx="29">
                  <c:v>541.83878989747723</c:v>
                </c:pt>
              </c:numCache>
            </c:numRef>
          </c:xVal>
          <c:yVal>
            <c:numRef>
              <c:f>'FT140-61 4t (3)'!$B$27:$AE$27</c:f>
              <c:numCache>
                <c:formatCode>0</c:formatCode>
                <c:ptCount val="30"/>
                <c:pt idx="0">
                  <c:v>79.844211866758599</c:v>
                </c:pt>
                <c:pt idx="1">
                  <c:v>77.468519310441707</c:v>
                </c:pt>
                <c:pt idx="2">
                  <c:v>74.498680296167507</c:v>
                </c:pt>
                <c:pt idx="3">
                  <c:v>70.901266201962699</c:v>
                </c:pt>
                <c:pt idx="4">
                  <c:v>66.6591682462265</c:v>
                </c:pt>
                <c:pt idx="5">
                  <c:v>61.787250257692598</c:v>
                </c:pt>
                <c:pt idx="6">
                  <c:v>56.318604872176103</c:v>
                </c:pt>
                <c:pt idx="7">
                  <c:v>50.127288093105598</c:v>
                </c:pt>
                <c:pt idx="8">
                  <c:v>42.966589031368301</c:v>
                </c:pt>
                <c:pt idx="9">
                  <c:v>34.5140880516932</c:v>
                </c:pt>
                <c:pt idx="10">
                  <c:v>24.780832701631802</c:v>
                </c:pt>
                <c:pt idx="11">
                  <c:v>13.8658176254387</c:v>
                </c:pt>
                <c:pt idx="12">
                  <c:v>1.7986782288080401</c:v>
                </c:pt>
                <c:pt idx="13">
                  <c:v>-11.2024906195975</c:v>
                </c:pt>
                <c:pt idx="14">
                  <c:v>-24.131748746051901</c:v>
                </c:pt>
                <c:pt idx="15">
                  <c:v>-36.194463782837097</c:v>
                </c:pt>
                <c:pt idx="16">
                  <c:v>-48.189956840430199</c:v>
                </c:pt>
                <c:pt idx="17">
                  <c:v>-60.290591041971702</c:v>
                </c:pt>
                <c:pt idx="18">
                  <c:v>-72.410905290981603</c:v>
                </c:pt>
                <c:pt idx="19">
                  <c:v>-84.154063527023695</c:v>
                </c:pt>
                <c:pt idx="20">
                  <c:v>-94.490566756851607</c:v>
                </c:pt>
                <c:pt idx="21">
                  <c:v>-103.14015271333299</c:v>
                </c:pt>
                <c:pt idx="22">
                  <c:v>-111.08122835362499</c:v>
                </c:pt>
                <c:pt idx="23">
                  <c:v>-118.05668856879301</c:v>
                </c:pt>
                <c:pt idx="24">
                  <c:v>-123.783871083355</c:v>
                </c:pt>
                <c:pt idx="25">
                  <c:v>-128.67477209919599</c:v>
                </c:pt>
                <c:pt idx="26">
                  <c:v>-132.68839539452301</c:v>
                </c:pt>
                <c:pt idx="27">
                  <c:v>-135.39977856759799</c:v>
                </c:pt>
                <c:pt idx="28">
                  <c:v>-136.94422364230201</c:v>
                </c:pt>
                <c:pt idx="29">
                  <c:v>-137.431182128665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'FT140-61 4t (3)'!$A$28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'FT140-61 4t (3)'!$B$18:$AE$18</c:f>
              <c:numCache>
                <c:formatCode>0.000</c:formatCode>
                <c:ptCount val="30"/>
                <c:pt idx="0">
                  <c:v>100</c:v>
                </c:pt>
                <c:pt idx="1">
                  <c:v>106</c:v>
                </c:pt>
                <c:pt idx="2">
                  <c:v>112.36</c:v>
                </c:pt>
                <c:pt idx="3">
                  <c:v>119.1016</c:v>
                </c:pt>
                <c:pt idx="4">
                  <c:v>126.247696</c:v>
                </c:pt>
                <c:pt idx="5">
                  <c:v>133.82255776000002</c:v>
                </c:pt>
                <c:pt idx="6">
                  <c:v>141.85191122560002</c:v>
                </c:pt>
                <c:pt idx="7">
                  <c:v>150.36302589913603</c:v>
                </c:pt>
                <c:pt idx="8">
                  <c:v>159.38480745308419</c:v>
                </c:pt>
                <c:pt idx="9">
                  <c:v>168.94789590026926</c:v>
                </c:pt>
                <c:pt idx="10">
                  <c:v>179.08476965428542</c:v>
                </c:pt>
                <c:pt idx="11">
                  <c:v>189.82985583354255</c:v>
                </c:pt>
                <c:pt idx="12">
                  <c:v>201.21964718355511</c:v>
                </c:pt>
                <c:pt idx="13">
                  <c:v>213.29282601456842</c:v>
                </c:pt>
                <c:pt idx="14">
                  <c:v>226.09039557544253</c:v>
                </c:pt>
                <c:pt idx="15">
                  <c:v>239.6558193099691</c:v>
                </c:pt>
                <c:pt idx="16">
                  <c:v>254.03516846856726</c:v>
                </c:pt>
                <c:pt idx="17">
                  <c:v>269.27727857668134</c:v>
                </c:pt>
                <c:pt idx="18">
                  <c:v>285.43391529128223</c:v>
                </c:pt>
                <c:pt idx="19">
                  <c:v>302.55995020875918</c:v>
                </c:pt>
                <c:pt idx="20">
                  <c:v>320.71354722128473</c:v>
                </c:pt>
                <c:pt idx="21">
                  <c:v>339.95636005456186</c:v>
                </c:pt>
                <c:pt idx="22">
                  <c:v>360.3537416578356</c:v>
                </c:pt>
                <c:pt idx="23">
                  <c:v>381.97496615730574</c:v>
                </c:pt>
                <c:pt idx="24">
                  <c:v>404.89346412674411</c:v>
                </c:pt>
                <c:pt idx="25">
                  <c:v>429.18707197434878</c:v>
                </c:pt>
                <c:pt idx="26">
                  <c:v>454.93829629280975</c:v>
                </c:pt>
                <c:pt idx="27">
                  <c:v>482.23459407037836</c:v>
                </c:pt>
                <c:pt idx="28">
                  <c:v>511.16866971460109</c:v>
                </c:pt>
                <c:pt idx="29">
                  <c:v>541.83878989747723</c:v>
                </c:pt>
              </c:numCache>
            </c:numRef>
          </c:xVal>
          <c:yVal>
            <c:numRef>
              <c:f>'FT140-61 4t (3)'!$B$28:$AE$28</c:f>
              <c:numCache>
                <c:formatCode>0</c:formatCode>
                <c:ptCount val="30"/>
                <c:pt idx="0">
                  <c:v>186.05787394240247</c:v>
                </c:pt>
                <c:pt idx="1">
                  <c:v>191.13422876900214</c:v>
                </c:pt>
                <c:pt idx="2">
                  <c:v>196.20985135057572</c:v>
                </c:pt>
                <c:pt idx="3">
                  <c:v>201.09479944328839</c:v>
                </c:pt>
                <c:pt idx="4">
                  <c:v>205.9097731874611</c:v>
                </c:pt>
                <c:pt idx="5">
                  <c:v>210.78555289721797</c:v>
                </c:pt>
                <c:pt idx="6">
                  <c:v>215.80261696084102</c:v>
                </c:pt>
                <c:pt idx="7">
                  <c:v>220.91548671101958</c:v>
                </c:pt>
                <c:pt idx="8">
                  <c:v>225.96156702131029</c:v>
                </c:pt>
                <c:pt idx="9">
                  <c:v>230.60429737808244</c:v>
                </c:pt>
                <c:pt idx="10">
                  <c:v>234.33642156629273</c:v>
                </c:pt>
                <c:pt idx="11">
                  <c:v>237.25497675171735</c:v>
                </c:pt>
                <c:pt idx="12">
                  <c:v>239.75817390198841</c:v>
                </c:pt>
                <c:pt idx="13">
                  <c:v>242.03779653802184</c:v>
                </c:pt>
                <c:pt idx="14">
                  <c:v>243.33845646555741</c:v>
                </c:pt>
                <c:pt idx="15">
                  <c:v>243.28084334632143</c:v>
                </c:pt>
                <c:pt idx="16">
                  <c:v>242.8719550539636</c:v>
                </c:pt>
                <c:pt idx="17">
                  <c:v>242.28070003549652</c:v>
                </c:pt>
                <c:pt idx="18">
                  <c:v>241.33739716696599</c:v>
                </c:pt>
                <c:pt idx="19">
                  <c:v>239.67122514534319</c:v>
                </c:pt>
                <c:pt idx="20">
                  <c:v>236.64719366003422</c:v>
                </c:pt>
                <c:pt idx="21">
                  <c:v>232.17396684258759</c:v>
                </c:pt>
                <c:pt idx="22">
                  <c:v>227.02727869299139</c:v>
                </c:pt>
                <c:pt idx="23">
                  <c:v>221.3837337688893</c:v>
                </c:pt>
                <c:pt idx="24">
                  <c:v>215.39250303023914</c:v>
                </c:pt>
                <c:pt idx="25">
                  <c:v>209.32842087958869</c:v>
                </c:pt>
                <c:pt idx="26">
                  <c:v>203.0641862558702</c:v>
                </c:pt>
                <c:pt idx="27">
                  <c:v>196.33747750598212</c:v>
                </c:pt>
                <c:pt idx="28">
                  <c:v>189.34527354906831</c:v>
                </c:pt>
                <c:pt idx="29">
                  <c:v>182.2352984427794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772904"/>
        <c:axId val="440778392"/>
      </c:scatterChart>
      <c:valAx>
        <c:axId val="440772904"/>
        <c:scaling>
          <c:orientation val="minMax"/>
          <c:max val="500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652892561983473"/>
              <c:y val="0.930321930097720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0778392"/>
        <c:crosses val="autoZero"/>
        <c:crossBetween val="midCat"/>
      </c:valAx>
      <c:valAx>
        <c:axId val="4407783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446280991735537E-2"/>
              <c:y val="0.4350290394491648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07729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578512396694211"/>
          <c:y val="0.46327762701978631"/>
          <c:w val="8.0991735537190079E-2"/>
          <c:h val="0.114877787169259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8448914182756855"/>
          <c:y val="2.819548872180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5687470489555E-2"/>
          <c:y val="0.13157906813457118"/>
          <c:w val="0.80363165808010084"/>
          <c:h val="0.7424818844736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'FT140-61 4t (3)'!$A$19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'FT140-61 4t (3)'!$B$18:$AE$18</c:f>
              <c:numCache>
                <c:formatCode>0.000</c:formatCode>
                <c:ptCount val="30"/>
                <c:pt idx="0">
                  <c:v>100</c:v>
                </c:pt>
                <c:pt idx="1">
                  <c:v>106</c:v>
                </c:pt>
                <c:pt idx="2">
                  <c:v>112.36</c:v>
                </c:pt>
                <c:pt idx="3">
                  <c:v>119.1016</c:v>
                </c:pt>
                <c:pt idx="4">
                  <c:v>126.247696</c:v>
                </c:pt>
                <c:pt idx="5">
                  <c:v>133.82255776000002</c:v>
                </c:pt>
                <c:pt idx="6">
                  <c:v>141.85191122560002</c:v>
                </c:pt>
                <c:pt idx="7">
                  <c:v>150.36302589913603</c:v>
                </c:pt>
                <c:pt idx="8">
                  <c:v>159.38480745308419</c:v>
                </c:pt>
                <c:pt idx="9">
                  <c:v>168.94789590026926</c:v>
                </c:pt>
                <c:pt idx="10">
                  <c:v>179.08476965428542</c:v>
                </c:pt>
                <c:pt idx="11">
                  <c:v>189.82985583354255</c:v>
                </c:pt>
                <c:pt idx="12">
                  <c:v>201.21964718355511</c:v>
                </c:pt>
                <c:pt idx="13">
                  <c:v>213.29282601456842</c:v>
                </c:pt>
                <c:pt idx="14">
                  <c:v>226.09039557544253</c:v>
                </c:pt>
                <c:pt idx="15">
                  <c:v>239.6558193099691</c:v>
                </c:pt>
                <c:pt idx="16">
                  <c:v>254.03516846856726</c:v>
                </c:pt>
                <c:pt idx="17">
                  <c:v>269.27727857668134</c:v>
                </c:pt>
                <c:pt idx="18">
                  <c:v>285.43391529128223</c:v>
                </c:pt>
                <c:pt idx="19">
                  <c:v>302.55995020875918</c:v>
                </c:pt>
                <c:pt idx="20">
                  <c:v>320.71354722128473</c:v>
                </c:pt>
                <c:pt idx="21">
                  <c:v>339.95636005456186</c:v>
                </c:pt>
                <c:pt idx="22">
                  <c:v>360.3537416578356</c:v>
                </c:pt>
                <c:pt idx="23">
                  <c:v>381.97496615730574</c:v>
                </c:pt>
                <c:pt idx="24">
                  <c:v>404.89346412674411</c:v>
                </c:pt>
                <c:pt idx="25">
                  <c:v>429.18707197434878</c:v>
                </c:pt>
                <c:pt idx="26">
                  <c:v>454.93829629280975</c:v>
                </c:pt>
                <c:pt idx="27">
                  <c:v>482.23459407037836</c:v>
                </c:pt>
                <c:pt idx="28">
                  <c:v>511.16866971460109</c:v>
                </c:pt>
                <c:pt idx="29">
                  <c:v>541.83878989747723</c:v>
                </c:pt>
              </c:numCache>
            </c:numRef>
          </c:xVal>
          <c:yVal>
            <c:numRef>
              <c:f>'FT140-61 4t (3)'!$B$19:$AE$19</c:f>
              <c:numCache>
                <c:formatCode>0</c:formatCode>
                <c:ptCount val="30"/>
                <c:pt idx="0">
                  <c:v>51.756334507965917</c:v>
                </c:pt>
                <c:pt idx="1">
                  <c:v>50.41666519607697</c:v>
                </c:pt>
                <c:pt idx="2">
                  <c:v>49.087147917311974</c:v>
                </c:pt>
                <c:pt idx="3">
                  <c:v>47.721139778529185</c:v>
                </c:pt>
                <c:pt idx="4">
                  <c:v>46.358580369405686</c:v>
                </c:pt>
                <c:pt idx="5">
                  <c:v>45.026520235212843</c:v>
                </c:pt>
                <c:pt idx="6">
                  <c:v>43.731576681999513</c:v>
                </c:pt>
                <c:pt idx="7">
                  <c:v>42.47622532808343</c:v>
                </c:pt>
                <c:pt idx="8">
                  <c:v>41.259732656289536</c:v>
                </c:pt>
                <c:pt idx="9">
                  <c:v>40.069484877771131</c:v>
                </c:pt>
                <c:pt idx="10">
                  <c:v>38.844933135501229</c:v>
                </c:pt>
                <c:pt idx="11">
                  <c:v>37.616800698976547</c:v>
                </c:pt>
                <c:pt idx="12">
                  <c:v>36.452406518412062</c:v>
                </c:pt>
                <c:pt idx="13">
                  <c:v>35.362559133115582</c:v>
                </c:pt>
                <c:pt idx="14">
                  <c:v>34.190216104986035</c:v>
                </c:pt>
                <c:pt idx="15">
                  <c:v>32.865075517263186</c:v>
                </c:pt>
                <c:pt idx="16">
                  <c:v>31.584139389168644</c:v>
                </c:pt>
                <c:pt idx="17">
                  <c:v>30.388444547781916</c:v>
                </c:pt>
                <c:pt idx="18">
                  <c:v>29.2695164556396</c:v>
                </c:pt>
                <c:pt idx="19">
                  <c:v>28.184938289248741</c:v>
                </c:pt>
                <c:pt idx="20">
                  <c:v>27.02642363592911</c:v>
                </c:pt>
                <c:pt idx="21">
                  <c:v>25.789982590494454</c:v>
                </c:pt>
                <c:pt idx="22">
                  <c:v>24.626492193413789</c:v>
                </c:pt>
                <c:pt idx="23">
                  <c:v>23.524414795530411</c:v>
                </c:pt>
                <c:pt idx="24">
                  <c:v>22.45759770192263</c:v>
                </c:pt>
                <c:pt idx="25">
                  <c:v>21.477494447171107</c:v>
                </c:pt>
                <c:pt idx="26">
                  <c:v>20.580136943802252</c:v>
                </c:pt>
                <c:pt idx="27">
                  <c:v>19.709766984004332</c:v>
                </c:pt>
                <c:pt idx="28">
                  <c:v>18.875894756843309</c:v>
                </c:pt>
                <c:pt idx="29">
                  <c:v>18.078959853299445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'FT140-61 4t (3)'!$A$20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'FT140-61 4t (3)'!$B$18:$AE$18</c:f>
              <c:numCache>
                <c:formatCode>0.000</c:formatCode>
                <c:ptCount val="30"/>
                <c:pt idx="0">
                  <c:v>100</c:v>
                </c:pt>
                <c:pt idx="1">
                  <c:v>106</c:v>
                </c:pt>
                <c:pt idx="2">
                  <c:v>112.36</c:v>
                </c:pt>
                <c:pt idx="3">
                  <c:v>119.1016</c:v>
                </c:pt>
                <c:pt idx="4">
                  <c:v>126.247696</c:v>
                </c:pt>
                <c:pt idx="5">
                  <c:v>133.82255776000002</c:v>
                </c:pt>
                <c:pt idx="6">
                  <c:v>141.85191122560002</c:v>
                </c:pt>
                <c:pt idx="7">
                  <c:v>150.36302589913603</c:v>
                </c:pt>
                <c:pt idx="8">
                  <c:v>159.38480745308419</c:v>
                </c:pt>
                <c:pt idx="9">
                  <c:v>168.94789590026926</c:v>
                </c:pt>
                <c:pt idx="10">
                  <c:v>179.08476965428542</c:v>
                </c:pt>
                <c:pt idx="11">
                  <c:v>189.82985583354255</c:v>
                </c:pt>
                <c:pt idx="12">
                  <c:v>201.21964718355511</c:v>
                </c:pt>
                <c:pt idx="13">
                  <c:v>213.29282601456842</c:v>
                </c:pt>
                <c:pt idx="14">
                  <c:v>226.09039557544253</c:v>
                </c:pt>
                <c:pt idx="15">
                  <c:v>239.6558193099691</c:v>
                </c:pt>
                <c:pt idx="16">
                  <c:v>254.03516846856726</c:v>
                </c:pt>
                <c:pt idx="17">
                  <c:v>269.27727857668134</c:v>
                </c:pt>
                <c:pt idx="18">
                  <c:v>285.43391529128223</c:v>
                </c:pt>
                <c:pt idx="19">
                  <c:v>302.55995020875918</c:v>
                </c:pt>
                <c:pt idx="20">
                  <c:v>320.71354722128473</c:v>
                </c:pt>
                <c:pt idx="21">
                  <c:v>339.95636005456186</c:v>
                </c:pt>
                <c:pt idx="22">
                  <c:v>360.3537416578356</c:v>
                </c:pt>
                <c:pt idx="23">
                  <c:v>381.97496615730574</c:v>
                </c:pt>
                <c:pt idx="24">
                  <c:v>404.89346412674411</c:v>
                </c:pt>
                <c:pt idx="25">
                  <c:v>429.18707197434878</c:v>
                </c:pt>
                <c:pt idx="26">
                  <c:v>454.93829629280975</c:v>
                </c:pt>
                <c:pt idx="27">
                  <c:v>482.23459407037836</c:v>
                </c:pt>
                <c:pt idx="28">
                  <c:v>511.16866971460109</c:v>
                </c:pt>
                <c:pt idx="29">
                  <c:v>541.83878989747723</c:v>
                </c:pt>
              </c:numCache>
            </c:numRef>
          </c:xVal>
          <c:yVal>
            <c:numRef>
              <c:f>'FT140-61 4t (3)'!$B$20:$AE$20</c:f>
              <c:numCache>
                <c:formatCode>0</c:formatCode>
                <c:ptCount val="30"/>
                <c:pt idx="0">
                  <c:v>33.298118171514318</c:v>
                </c:pt>
                <c:pt idx="1">
                  <c:v>31.479294709119102</c:v>
                </c:pt>
                <c:pt idx="2">
                  <c:v>29.70147149140147</c:v>
                </c:pt>
                <c:pt idx="3">
                  <c:v>27.956441322006384</c:v>
                </c:pt>
                <c:pt idx="4">
                  <c:v>26.265678011831586</c:v>
                </c:pt>
                <c:pt idx="5">
                  <c:v>24.655988949368343</c:v>
                </c:pt>
                <c:pt idx="6">
                  <c:v>23.149763581208596</c:v>
                </c:pt>
                <c:pt idx="7">
                  <c:v>21.729826624831421</c:v>
                </c:pt>
                <c:pt idx="8">
                  <c:v>20.354456370087917</c:v>
                </c:pt>
                <c:pt idx="9">
                  <c:v>18.962082728200112</c:v>
                </c:pt>
                <c:pt idx="10">
                  <c:v>17.521512893481351</c:v>
                </c:pt>
                <c:pt idx="11">
                  <c:v>16.064253974282174</c:v>
                </c:pt>
                <c:pt idx="12">
                  <c:v>14.638469653411835</c:v>
                </c:pt>
                <c:pt idx="13">
                  <c:v>13.289191292655902</c:v>
                </c:pt>
                <c:pt idx="14">
                  <c:v>12.033173025801657</c:v>
                </c:pt>
                <c:pt idx="15">
                  <c:v>10.882988677011427</c:v>
                </c:pt>
                <c:pt idx="16">
                  <c:v>9.8460103044612826</c:v>
                </c:pt>
                <c:pt idx="17">
                  <c:v>8.9121594858755238</c:v>
                </c:pt>
                <c:pt idx="18">
                  <c:v>8.0583101583264689</c:v>
                </c:pt>
                <c:pt idx="19">
                  <c:v>7.2601588392930623</c:v>
                </c:pt>
                <c:pt idx="20">
                  <c:v>6.5040899778165002</c:v>
                </c:pt>
                <c:pt idx="21">
                  <c:v>5.7707117589471633</c:v>
                </c:pt>
                <c:pt idx="22">
                  <c:v>5.0531049472230105</c:v>
                </c:pt>
                <c:pt idx="23">
                  <c:v>4.3785868594313433</c:v>
                </c:pt>
                <c:pt idx="24">
                  <c:v>3.7776980201941841</c:v>
                </c:pt>
                <c:pt idx="25">
                  <c:v>3.2438904099349322</c:v>
                </c:pt>
                <c:pt idx="26">
                  <c:v>2.7501143662231997</c:v>
                </c:pt>
                <c:pt idx="27">
                  <c:v>2.27911187133083</c:v>
                </c:pt>
                <c:pt idx="28">
                  <c:v>1.8401132093099994</c:v>
                </c:pt>
                <c:pt idx="29">
                  <c:v>1.4425029067830493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153152"/>
        <c:axId val="435898480"/>
      </c:scatterChart>
      <c:valAx>
        <c:axId val="433153152"/>
        <c:scaling>
          <c:orientation val="minMax"/>
          <c:max val="20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8778947186057183"/>
              <c:y val="0.930451917194561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5898480"/>
        <c:crosses val="autoZero"/>
        <c:crossBetween val="midCat"/>
      </c:valAx>
      <c:valAx>
        <c:axId val="4358984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31531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24231005777734"/>
          <c:y val="0.46428610897322042"/>
          <c:w val="7.7557929021248584E-2"/>
          <c:h val="7.706766917293228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396694214876033"/>
          <c:y val="2.82485875706214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53719008264462"/>
          <c:y val="0.13182698443933991"/>
          <c:w val="0.73223140495867767"/>
          <c:h val="0.77777920819210544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'FT140-61 4t (2)'!$A$26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'FT140-61 4t (2)'!$B$18:$AE$18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 (2)'!$B$26:$AE$26</c:f>
              <c:numCache>
                <c:formatCode>0</c:formatCode>
                <c:ptCount val="30"/>
                <c:pt idx="0">
                  <c:v>1095.6833882087201</c:v>
                </c:pt>
                <c:pt idx="1">
                  <c:v>1130.9224968164699</c:v>
                </c:pt>
                <c:pt idx="2">
                  <c:v>1154.4830821189501</c:v>
                </c:pt>
                <c:pt idx="3">
                  <c:v>1160.91229603899</c:v>
                </c:pt>
                <c:pt idx="4">
                  <c:v>1144.7078581355399</c:v>
                </c:pt>
                <c:pt idx="5">
                  <c:v>1106.0721470231799</c:v>
                </c:pt>
                <c:pt idx="6">
                  <c:v>1052.3302818079301</c:v>
                </c:pt>
                <c:pt idx="7">
                  <c:v>989.168722611524</c:v>
                </c:pt>
                <c:pt idx="8">
                  <c:v>920.07110760348405</c:v>
                </c:pt>
                <c:pt idx="9">
                  <c:v>847.74793557955297</c:v>
                </c:pt>
                <c:pt idx="10">
                  <c:v>775.34506956771099</c:v>
                </c:pt>
                <c:pt idx="11">
                  <c:v>705.65424102675604</c:v>
                </c:pt>
                <c:pt idx="12">
                  <c:v>640.79624495002599</c:v>
                </c:pt>
                <c:pt idx="13">
                  <c:v>581.88282523559201</c:v>
                </c:pt>
                <c:pt idx="14">
                  <c:v>528.88047581586</c:v>
                </c:pt>
                <c:pt idx="15">
                  <c:v>481.36911442104298</c:v>
                </c:pt>
                <c:pt idx="16">
                  <c:v>438.870227152366</c:v>
                </c:pt>
                <c:pt idx="17">
                  <c:v>400.91222126223101</c:v>
                </c:pt>
                <c:pt idx="18">
                  <c:v>367.00804835890199</c:v>
                </c:pt>
                <c:pt idx="19">
                  <c:v>336.69476181978803</c:v>
                </c:pt>
                <c:pt idx="20">
                  <c:v>309.55730333972701</c:v>
                </c:pt>
                <c:pt idx="21">
                  <c:v>285.22974428728702</c:v>
                </c:pt>
                <c:pt idx="22">
                  <c:v>263.39208516865898</c:v>
                </c:pt>
                <c:pt idx="23">
                  <c:v>243.76532940256001</c:v>
                </c:pt>
                <c:pt idx="24">
                  <c:v>226.175315705451</c:v>
                </c:pt>
                <c:pt idx="25">
                  <c:v>210.419340419598</c:v>
                </c:pt>
                <c:pt idx="26">
                  <c:v>196.24201615411599</c:v>
                </c:pt>
                <c:pt idx="27">
                  <c:v>183.422730144524</c:v>
                </c:pt>
                <c:pt idx="28">
                  <c:v>171.77137900270799</c:v>
                </c:pt>
                <c:pt idx="29">
                  <c:v>161.12444714107599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'FT140-61 4t (2)'!$A$27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'FT140-61 4t (2)'!$B$18:$AE$18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 (2)'!$B$27:$AE$27</c:f>
              <c:numCache>
                <c:formatCode>0</c:formatCode>
                <c:ptCount val="30"/>
                <c:pt idx="0">
                  <c:v>238.175657255516</c:v>
                </c:pt>
                <c:pt idx="1">
                  <c:v>118.15491594053201</c:v>
                </c:pt>
                <c:pt idx="2">
                  <c:v>-5.0193598840335101</c:v>
                </c:pt>
                <c:pt idx="3">
                  <c:v>-124.66089732020799</c:v>
                </c:pt>
                <c:pt idx="4">
                  <c:v>-241.051439436762</c:v>
                </c:pt>
                <c:pt idx="5">
                  <c:v>-345.066816369967</c:v>
                </c:pt>
                <c:pt idx="6">
                  <c:v>-431.12484394404498</c:v>
                </c:pt>
                <c:pt idx="7">
                  <c:v>-500.75353885622599</c:v>
                </c:pt>
                <c:pt idx="8">
                  <c:v>-556.40898889753703</c:v>
                </c:pt>
                <c:pt idx="9">
                  <c:v>-599.39176958533699</c:v>
                </c:pt>
                <c:pt idx="10">
                  <c:v>-630.11572654755503</c:v>
                </c:pt>
                <c:pt idx="11">
                  <c:v>-649.55199211881802</c:v>
                </c:pt>
                <c:pt idx="12">
                  <c:v>-659.18181356920002</c:v>
                </c:pt>
                <c:pt idx="13">
                  <c:v>-660.96654894543599</c:v>
                </c:pt>
                <c:pt idx="14">
                  <c:v>-657.10373650703696</c:v>
                </c:pt>
                <c:pt idx="15">
                  <c:v>-649.324015687567</c:v>
                </c:pt>
                <c:pt idx="16">
                  <c:v>-638.89704012799598</c:v>
                </c:pt>
                <c:pt idx="17">
                  <c:v>-626.7538463523</c:v>
                </c:pt>
                <c:pt idx="18">
                  <c:v>-613.54780331929999</c:v>
                </c:pt>
                <c:pt idx="19">
                  <c:v>-599.68841624239303</c:v>
                </c:pt>
                <c:pt idx="20">
                  <c:v>-585.46200730015801</c:v>
                </c:pt>
                <c:pt idx="21">
                  <c:v>-571.071797589982</c:v>
                </c:pt>
                <c:pt idx="22">
                  <c:v>-556.660221884782</c:v>
                </c:pt>
                <c:pt idx="23">
                  <c:v>-542.32540667526803</c:v>
                </c:pt>
                <c:pt idx="24">
                  <c:v>-528.15560189248197</c:v>
                </c:pt>
                <c:pt idx="25">
                  <c:v>-514.26905271672103</c:v>
                </c:pt>
                <c:pt idx="26">
                  <c:v>-500.754276976146</c:v>
                </c:pt>
                <c:pt idx="27">
                  <c:v>-487.669317269609</c:v>
                </c:pt>
                <c:pt idx="28">
                  <c:v>-475.05042035653997</c:v>
                </c:pt>
                <c:pt idx="29">
                  <c:v>-462.91827334656699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'FT140-61 4t (2)'!$A$28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'FT140-61 4t (2)'!$B$18:$AE$18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 (2)'!$B$28:$AE$28</c:f>
              <c:numCache>
                <c:formatCode>0</c:formatCode>
                <c:ptCount val="30"/>
                <c:pt idx="0">
                  <c:v>1121.2714795738086</c:v>
                </c:pt>
                <c:pt idx="1">
                  <c:v>1137.0779559759799</c:v>
                </c:pt>
                <c:pt idx="2">
                  <c:v>1154.493993432844</c:v>
                </c:pt>
                <c:pt idx="3">
                  <c:v>1167.5862702238319</c:v>
                </c:pt>
                <c:pt idx="4">
                  <c:v>1169.8127529360374</c:v>
                </c:pt>
                <c:pt idx="5">
                  <c:v>1158.6486534666888</c:v>
                </c:pt>
                <c:pt idx="6">
                  <c:v>1137.2192634121773</c:v>
                </c:pt>
                <c:pt idx="7">
                  <c:v>1108.6969236314981</c:v>
                </c:pt>
                <c:pt idx="8">
                  <c:v>1075.2310477161091</c:v>
                </c:pt>
                <c:pt idx="9">
                  <c:v>1038.2422914358842</c:v>
                </c:pt>
                <c:pt idx="10">
                  <c:v>999.10250011973847</c:v>
                </c:pt>
                <c:pt idx="11">
                  <c:v>959.09629252988566</c:v>
                </c:pt>
                <c:pt idx="12">
                  <c:v>919.31522933237284</c:v>
                </c:pt>
                <c:pt idx="13">
                  <c:v>880.60456569847167</c:v>
                </c:pt>
                <c:pt idx="14">
                  <c:v>843.50452176068382</c:v>
                </c:pt>
                <c:pt idx="15">
                  <c:v>808.29320278419198</c:v>
                </c:pt>
                <c:pt idx="16">
                  <c:v>775.1106399508933</c:v>
                </c:pt>
                <c:pt idx="17">
                  <c:v>744.01007592291285</c:v>
                </c:pt>
                <c:pt idx="18">
                  <c:v>714.93762980986571</c:v>
                </c:pt>
                <c:pt idx="19">
                  <c:v>687.74236397955985</c:v>
                </c:pt>
                <c:pt idx="20">
                  <c:v>662.26239968980133</c:v>
                </c:pt>
                <c:pt idx="21">
                  <c:v>638.34082199781369</c:v>
                </c:pt>
                <c:pt idx="22">
                  <c:v>615.82951630975663</c:v>
                </c:pt>
                <c:pt idx="23">
                  <c:v>594.59093715279027</c:v>
                </c:pt>
                <c:pt idx="24">
                  <c:v>574.54644132991587</c:v>
                </c:pt>
                <c:pt idx="25">
                  <c:v>555.65183109999043</c:v>
                </c:pt>
                <c:pt idx="26">
                  <c:v>537.8343377045901</c:v>
                </c:pt>
                <c:pt idx="27">
                  <c:v>521.02328253147903</c:v>
                </c:pt>
                <c:pt idx="28">
                  <c:v>505.1517678138099</c:v>
                </c:pt>
                <c:pt idx="29">
                  <c:v>490.15754127084932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441832"/>
        <c:axId val="377443008"/>
      </c:scatterChart>
      <c:valAx>
        <c:axId val="377441832"/>
        <c:scaling>
          <c:orientation val="minMax"/>
          <c:max val="20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983471074380163"/>
              <c:y val="0.930321930097720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443008"/>
        <c:crosses val="autoZero"/>
        <c:crossBetween val="midCat"/>
      </c:valAx>
      <c:valAx>
        <c:axId val="3774430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446280991735537E-2"/>
              <c:y val="0.4350290394491648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4418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578512396694211"/>
          <c:y val="0.46327762701978631"/>
          <c:w val="8.0991735537190079E-2"/>
          <c:h val="0.114877787169259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8448914182756855"/>
          <c:y val="2.819548872180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5687470489555E-2"/>
          <c:y val="0.13157906813457118"/>
          <c:w val="0.80363165808010084"/>
          <c:h val="0.7424818844736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'FT140-61 4t (2)'!$A$19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'FT140-61 4t (2)'!$B$18:$AE$18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 (2)'!$B$19:$AE$19</c:f>
              <c:numCache>
                <c:formatCode>0</c:formatCode>
                <c:ptCount val="30"/>
                <c:pt idx="0">
                  <c:v>74.523767919540148</c:v>
                </c:pt>
                <c:pt idx="1">
                  <c:v>70.952454855135997</c:v>
                </c:pt>
                <c:pt idx="2">
                  <c:v>68.061211872466714</c:v>
                </c:pt>
                <c:pt idx="3">
                  <c:v>65.350912567581403</c:v>
                </c:pt>
                <c:pt idx="4">
                  <c:v>62.974565369065758</c:v>
                </c:pt>
                <c:pt idx="5">
                  <c:v>60.722038589992017</c:v>
                </c:pt>
                <c:pt idx="6">
                  <c:v>58.479631642653558</c:v>
                </c:pt>
                <c:pt idx="7">
                  <c:v>56.382249016580005</c:v>
                </c:pt>
                <c:pt idx="8">
                  <c:v>54.556286168351399</c:v>
                </c:pt>
                <c:pt idx="9">
                  <c:v>53.037210367521254</c:v>
                </c:pt>
                <c:pt idx="10">
                  <c:v>51.756334507965917</c:v>
                </c:pt>
                <c:pt idx="11">
                  <c:v>50.630531456953051</c:v>
                </c:pt>
                <c:pt idx="12">
                  <c:v>49.577000696610547</c:v>
                </c:pt>
                <c:pt idx="13">
                  <c:v>48.545228104487677</c:v>
                </c:pt>
                <c:pt idx="14">
                  <c:v>47.544243813024551</c:v>
                </c:pt>
                <c:pt idx="15">
                  <c:v>46.588929650797787</c:v>
                </c:pt>
                <c:pt idx="16">
                  <c:v>45.684711256848303</c:v>
                </c:pt>
                <c:pt idx="17">
                  <c:v>44.829365020231123</c:v>
                </c:pt>
                <c:pt idx="18">
                  <c:v>44.020198196349682</c:v>
                </c:pt>
                <c:pt idx="19">
                  <c:v>43.25400373844419</c:v>
                </c:pt>
                <c:pt idx="20">
                  <c:v>42.527513047138406</c:v>
                </c:pt>
                <c:pt idx="21">
                  <c:v>41.837465564627131</c:v>
                </c:pt>
                <c:pt idx="22">
                  <c:v>41.180591348216879</c:v>
                </c:pt>
                <c:pt idx="23">
                  <c:v>40.553618730512937</c:v>
                </c:pt>
                <c:pt idx="24">
                  <c:v>39.94079901138447</c:v>
                </c:pt>
                <c:pt idx="25">
                  <c:v>39.333362823165814</c:v>
                </c:pt>
                <c:pt idx="26">
                  <c:v>38.736796596729313</c:v>
                </c:pt>
                <c:pt idx="27">
                  <c:v>38.156585554313274</c:v>
                </c:pt>
                <c:pt idx="28">
                  <c:v>37.598218544051115</c:v>
                </c:pt>
                <c:pt idx="29">
                  <c:v>37.067181090352904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'FT140-61 4t (2)'!$A$20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'FT140-61 4t (2)'!$B$18:$AE$18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 (2)'!$B$20:$AE$20</c:f>
              <c:numCache>
                <c:formatCode>0</c:formatCode>
                <c:ptCount val="30"/>
                <c:pt idx="0">
                  <c:v>64.556070822511316</c:v>
                </c:pt>
                <c:pt idx="1">
                  <c:v>57.870880767031025</c:v>
                </c:pt>
                <c:pt idx="2">
                  <c:v>53.025187452432803</c:v>
                </c:pt>
                <c:pt idx="3">
                  <c:v>49.397673131230057</c:v>
                </c:pt>
                <c:pt idx="4">
                  <c:v>46.339890455253283</c:v>
                </c:pt>
                <c:pt idx="5">
                  <c:v>43.570641342295666</c:v>
                </c:pt>
                <c:pt idx="6">
                  <c:v>41.067166897057021</c:v>
                </c:pt>
                <c:pt idx="7">
                  <c:v>38.812104919789888</c:v>
                </c:pt>
                <c:pt idx="8">
                  <c:v>36.785864387403514</c:v>
                </c:pt>
                <c:pt idx="9">
                  <c:v>34.958733170558737</c:v>
                </c:pt>
                <c:pt idx="10">
                  <c:v>33.298118171514318</c:v>
                </c:pt>
                <c:pt idx="11">
                  <c:v>31.771429560779392</c:v>
                </c:pt>
                <c:pt idx="12">
                  <c:v>30.346184192349313</c:v>
                </c:pt>
                <c:pt idx="13">
                  <c:v>29.000974604106421</c:v>
                </c:pt>
                <c:pt idx="14">
                  <c:v>27.734819868251559</c:v>
                </c:pt>
                <c:pt idx="15">
                  <c:v>26.548942839196471</c:v>
                </c:pt>
                <c:pt idx="16">
                  <c:v>25.444565918109504</c:v>
                </c:pt>
                <c:pt idx="17">
                  <c:v>24.422881277336863</c:v>
                </c:pt>
                <c:pt idx="18">
                  <c:v>23.4807918051693</c:v>
                </c:pt>
                <c:pt idx="19">
                  <c:v>22.606579189231262</c:v>
                </c:pt>
                <c:pt idx="20">
                  <c:v>21.787492422005482</c:v>
                </c:pt>
                <c:pt idx="21">
                  <c:v>21.010784887185707</c:v>
                </c:pt>
                <c:pt idx="22">
                  <c:v>20.263704839949476</c:v>
                </c:pt>
                <c:pt idx="23">
                  <c:v>19.533504258866763</c:v>
                </c:pt>
                <c:pt idx="24">
                  <c:v>18.810542760356615</c:v>
                </c:pt>
                <c:pt idx="25">
                  <c:v>18.096156099461048</c:v>
                </c:pt>
                <c:pt idx="26">
                  <c:v>17.394094622484001</c:v>
                </c:pt>
                <c:pt idx="27">
                  <c:v>16.708108680907021</c:v>
                </c:pt>
                <c:pt idx="28">
                  <c:v>16.041951830730035</c:v>
                </c:pt>
                <c:pt idx="29">
                  <c:v>15.399374568309012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059080"/>
        <c:axId val="603059472"/>
      </c:scatterChart>
      <c:valAx>
        <c:axId val="603059080"/>
        <c:scaling>
          <c:orientation val="minMax"/>
          <c:max val="20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8778947186057183"/>
              <c:y val="0.930451917194561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3059472"/>
        <c:crosses val="autoZero"/>
        <c:crossBetween val="midCat"/>
      </c:valAx>
      <c:valAx>
        <c:axId val="6030594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305908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24231005777734"/>
          <c:y val="0.46428610897322042"/>
          <c:w val="7.7557929021248584E-2"/>
          <c:h val="7.706766917293228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545161561619429"/>
          <c:y val="0.14508944384922992"/>
          <c:w val="0.74247552263691685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'FT240-61 12t'!$A$26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'FT240-61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 12t'!$B$26:$AE$26</c:f>
              <c:numCache>
                <c:formatCode>0</c:formatCode>
                <c:ptCount val="30"/>
                <c:pt idx="0">
                  <c:v>0.25390946699234201</c:v>
                </c:pt>
                <c:pt idx="1">
                  <c:v>1.17760664101376</c:v>
                </c:pt>
                <c:pt idx="2">
                  <c:v>3.00548805255454</c:v>
                </c:pt>
                <c:pt idx="3">
                  <c:v>6.1372292854232997</c:v>
                </c:pt>
                <c:pt idx="4">
                  <c:v>11.204604748237699</c:v>
                </c:pt>
                <c:pt idx="5">
                  <c:v>19.569628995869699</c:v>
                </c:pt>
                <c:pt idx="6">
                  <c:v>31.2966623065027</c:v>
                </c:pt>
                <c:pt idx="7">
                  <c:v>58.3012836751601</c:v>
                </c:pt>
                <c:pt idx="8">
                  <c:v>111.462407838657</c:v>
                </c:pt>
                <c:pt idx="9">
                  <c:v>262.74117588571397</c:v>
                </c:pt>
                <c:pt idx="10">
                  <c:v>894.45999097462902</c:v>
                </c:pt>
                <c:pt idx="11">
                  <c:v>8726.0350018714507</c:v>
                </c:pt>
                <c:pt idx="12">
                  <c:v>12337.1723522102</c:v>
                </c:pt>
                <c:pt idx="13">
                  <c:v>1819.0546568372899</c:v>
                </c:pt>
                <c:pt idx="14">
                  <c:v>788.89015537641001</c:v>
                </c:pt>
                <c:pt idx="15">
                  <c:v>519.98444296186403</c:v>
                </c:pt>
                <c:pt idx="16">
                  <c:v>405.21871065493002</c:v>
                </c:pt>
                <c:pt idx="17">
                  <c:v>348.67983494113997</c:v>
                </c:pt>
                <c:pt idx="18">
                  <c:v>321.756435645647</c:v>
                </c:pt>
                <c:pt idx="19">
                  <c:v>295.96667464428998</c:v>
                </c:pt>
                <c:pt idx="20">
                  <c:v>273.71615613807899</c:v>
                </c:pt>
                <c:pt idx="21">
                  <c:v>257.95665385305199</c:v>
                </c:pt>
                <c:pt idx="22">
                  <c:v>246.25596299062599</c:v>
                </c:pt>
                <c:pt idx="23">
                  <c:v>230.82383771483799</c:v>
                </c:pt>
                <c:pt idx="24">
                  <c:v>218.77506189211701</c:v>
                </c:pt>
                <c:pt idx="25">
                  <c:v>205.776370135397</c:v>
                </c:pt>
                <c:pt idx="26">
                  <c:v>191.81164313602</c:v>
                </c:pt>
                <c:pt idx="27">
                  <c:v>179.642631910608</c:v>
                </c:pt>
                <c:pt idx="28">
                  <c:v>168.36791707533101</c:v>
                </c:pt>
                <c:pt idx="29">
                  <c:v>157.69057840929401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'FT240-61 12t'!$A$27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'FT240-61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 12t'!$B$27:$AE$27</c:f>
              <c:numCache>
                <c:formatCode>0</c:formatCode>
                <c:ptCount val="30"/>
                <c:pt idx="0">
                  <c:v>232.721897893435</c:v>
                </c:pt>
                <c:pt idx="1">
                  <c:v>473.76129779104298</c:v>
                </c:pt>
                <c:pt idx="2">
                  <c:v>732.39400075353399</c:v>
                </c:pt>
                <c:pt idx="3">
                  <c:v>1025.02780803736</c:v>
                </c:pt>
                <c:pt idx="4">
                  <c:v>1370.90505030545</c:v>
                </c:pt>
                <c:pt idx="5">
                  <c:v>1794.5910182606799</c:v>
                </c:pt>
                <c:pt idx="6">
                  <c:v>2344.4873666736898</c:v>
                </c:pt>
                <c:pt idx="7">
                  <c:v>3114.7243151318198</c:v>
                </c:pt>
                <c:pt idx="8">
                  <c:v>4292.1758573410198</c:v>
                </c:pt>
                <c:pt idx="9">
                  <c:v>6344.1520466186303</c:v>
                </c:pt>
                <c:pt idx="10">
                  <c:v>10952.105936174001</c:v>
                </c:pt>
                <c:pt idx="11">
                  <c:v>30751.711582188</c:v>
                </c:pt>
                <c:pt idx="12">
                  <c:v>-33479.275442492602</c:v>
                </c:pt>
                <c:pt idx="13">
                  <c:v>-12319.224943716499</c:v>
                </c:pt>
                <c:pt idx="14">
                  <c:v>-7642.4722764134904</c:v>
                </c:pt>
                <c:pt idx="15">
                  <c:v>-5608.0439718747702</c:v>
                </c:pt>
                <c:pt idx="16">
                  <c:v>-4477.4321152898201</c:v>
                </c:pt>
                <c:pt idx="17">
                  <c:v>-3761.6944876022999</c:v>
                </c:pt>
                <c:pt idx="18">
                  <c:v>-3267.5015875220101</c:v>
                </c:pt>
                <c:pt idx="19">
                  <c:v>-2906.3797564420702</c:v>
                </c:pt>
                <c:pt idx="20">
                  <c:v>-2623.8516494662899</c:v>
                </c:pt>
                <c:pt idx="21">
                  <c:v>-2401.2770403383101</c:v>
                </c:pt>
                <c:pt idx="22">
                  <c:v>-2222.6838514084202</c:v>
                </c:pt>
                <c:pt idx="23">
                  <c:v>-2078.8921987183799</c:v>
                </c:pt>
                <c:pt idx="24">
                  <c:v>-1949.7643857559599</c:v>
                </c:pt>
                <c:pt idx="25">
                  <c:v>-1838.5365137168101</c:v>
                </c:pt>
                <c:pt idx="26">
                  <c:v>-1744.80267823184</c:v>
                </c:pt>
                <c:pt idx="27">
                  <c:v>-1659.92887074756</c:v>
                </c:pt>
                <c:pt idx="28">
                  <c:v>-1584.2010862151101</c:v>
                </c:pt>
                <c:pt idx="29">
                  <c:v>-1517.42763858533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'FT240-61 12t'!$A$28</c:f>
              <c:strCache>
                <c:ptCount val="1"/>
                <c:pt idx="0">
                  <c:v>|Z|</c:v>
                </c:pt>
              </c:strCache>
            </c:strRef>
          </c:tx>
          <c:marker>
            <c:symbol val="none"/>
          </c:marker>
          <c:xVal>
            <c:numRef>
              <c:f>'FT240-61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 12t'!$B$28:$AE$28</c:f>
              <c:numCache>
                <c:formatCode>0</c:formatCode>
                <c:ptCount val="30"/>
                <c:pt idx="0">
                  <c:v>232.72203640639577</c:v>
                </c:pt>
                <c:pt idx="1">
                  <c:v>473.76276135008152</c:v>
                </c:pt>
                <c:pt idx="2">
                  <c:v>732.40016746188815</c:v>
                </c:pt>
                <c:pt idx="3">
                  <c:v>1025.0461808295161</c:v>
                </c:pt>
                <c:pt idx="4">
                  <c:v>1370.9508379663193</c:v>
                </c:pt>
                <c:pt idx="5">
                  <c:v>1794.697716385949</c:v>
                </c:pt>
                <c:pt idx="6">
                  <c:v>2344.69624761163</c:v>
                </c:pt>
                <c:pt idx="7">
                  <c:v>3115.2699078814267</c:v>
                </c:pt>
                <c:pt idx="8">
                  <c:v>4293.6228826833767</c:v>
                </c:pt>
                <c:pt idx="9">
                  <c:v>6349.590389633111</c:v>
                </c:pt>
                <c:pt idx="10">
                  <c:v>10988.570567304561</c:v>
                </c:pt>
                <c:pt idx="11">
                  <c:v>31965.785647907378</c:v>
                </c:pt>
                <c:pt idx="12">
                  <c:v>35680.074352535026</c:v>
                </c:pt>
                <c:pt idx="13">
                  <c:v>12452.801414077405</c:v>
                </c:pt>
                <c:pt idx="14">
                  <c:v>7683.0807735568296</c:v>
                </c:pt>
                <c:pt idx="15">
                  <c:v>5632.0991656222914</c:v>
                </c:pt>
                <c:pt idx="16">
                  <c:v>4495.7313699211963</c:v>
                </c:pt>
                <c:pt idx="17">
                  <c:v>3777.8198799508837</c:v>
                </c:pt>
                <c:pt idx="18">
                  <c:v>3283.3053206088293</c:v>
                </c:pt>
                <c:pt idx="19">
                  <c:v>2921.4105430692666</c:v>
                </c:pt>
                <c:pt idx="20">
                  <c:v>2638.0898416350369</c:v>
                </c:pt>
                <c:pt idx="21">
                  <c:v>2415.0927642065799</c:v>
                </c:pt>
                <c:pt idx="22">
                  <c:v>2236.2838600276591</c:v>
                </c:pt>
                <c:pt idx="23">
                  <c:v>2091.6673774645778</c:v>
                </c:pt>
                <c:pt idx="24">
                  <c:v>1961.9999204047424</c:v>
                </c:pt>
                <c:pt idx="25">
                  <c:v>1850.0163314890119</c:v>
                </c:pt>
                <c:pt idx="26">
                  <c:v>1755.3142432076206</c:v>
                </c:pt>
                <c:pt idx="27">
                  <c:v>1669.6213136939286</c:v>
                </c:pt>
                <c:pt idx="28">
                  <c:v>1593.1229824045035</c:v>
                </c:pt>
                <c:pt idx="29">
                  <c:v>1525.59921239548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449040"/>
        <c:axId val="603059864"/>
      </c:scatterChart>
      <c:valAx>
        <c:axId val="43444904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642175580895197"/>
              <c:y val="0.9196437945256842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03059864"/>
        <c:crosses val="autoZero"/>
        <c:crossBetween val="midCat"/>
      </c:valAx>
      <c:valAx>
        <c:axId val="603059864"/>
        <c:scaling>
          <c:orientation val="minMax"/>
          <c:max val="5000"/>
          <c:min val="-5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3444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9186246368033428"/>
          <c:y val="0.45758975440569927"/>
          <c:w val="9.4760312151616496E-2"/>
          <c:h val="0.12946452005999254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769296719286232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'FT240-61 12t'!$A$19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 12t'!$B$19:$AE$19</c:f>
              <c:numCache>
                <c:formatCode>0</c:formatCode>
                <c:ptCount val="30"/>
                <c:pt idx="0">
                  <c:v>0.1305305218990753</c:v>
                </c:pt>
                <c:pt idx="1">
                  <c:v>0.29216417496419567</c:v>
                </c:pt>
                <c:pt idx="2">
                  <c:v>0.46795642566441231</c:v>
                </c:pt>
                <c:pt idx="3">
                  <c:v>0.65587769819791408</c:v>
                </c:pt>
                <c:pt idx="4">
                  <c:v>0.84813909731256343</c:v>
                </c:pt>
                <c:pt idx="5">
                  <c:v>1.0507459671455464</c:v>
                </c:pt>
                <c:pt idx="6">
                  <c:v>1.1655675876755502</c:v>
                </c:pt>
                <c:pt idx="7">
                  <c:v>1.4331390403662139</c:v>
                </c:pt>
                <c:pt idx="8">
                  <c:v>1.6580544204904037</c:v>
                </c:pt>
                <c:pt idx="9">
                  <c:v>2.0288590128736232</c:v>
                </c:pt>
                <c:pt idx="10">
                  <c:v>2.5971245875922397</c:v>
                </c:pt>
                <c:pt idx="11">
                  <c:v>3.3621404669626322</c:v>
                </c:pt>
                <c:pt idx="12">
                  <c:v>4.2912951630089635</c:v>
                </c:pt>
                <c:pt idx="13">
                  <c:v>5.8615275999244441</c:v>
                </c:pt>
                <c:pt idx="14">
                  <c:v>7.541506712481894</c:v>
                </c:pt>
                <c:pt idx="15">
                  <c:v>10.440076981485154</c:v>
                </c:pt>
                <c:pt idx="16">
                  <c:v>14.356331687547252</c:v>
                </c:pt>
                <c:pt idx="17">
                  <c:v>19.475152489651389</c:v>
                </c:pt>
                <c:pt idx="18">
                  <c:v>26.093784816973535</c:v>
                </c:pt>
                <c:pt idx="19">
                  <c:v>32.812983366032299</c:v>
                </c:pt>
                <c:pt idx="20">
                  <c:v>40.121145117251913</c:v>
                </c:pt>
                <c:pt idx="21">
                  <c:v>47.741408708970091</c:v>
                </c:pt>
                <c:pt idx="22">
                  <c:v>54.92355589129653</c:v>
                </c:pt>
                <c:pt idx="23">
                  <c:v>59.636390218978171</c:v>
                </c:pt>
                <c:pt idx="24">
                  <c:v>65.439350827392232</c:v>
                </c:pt>
                <c:pt idx="25">
                  <c:v>70.197937862249233</c:v>
                </c:pt>
                <c:pt idx="26">
                  <c:v>72.74127086191011</c:v>
                </c:pt>
                <c:pt idx="27">
                  <c:v>75.418789121876827</c:v>
                </c:pt>
                <c:pt idx="28">
                  <c:v>77.47967253407711</c:v>
                </c:pt>
                <c:pt idx="29">
                  <c:v>78.324281436852331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'FT240-61 12t'!$A$20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 12t'!$B$20:$AE$20</c:f>
              <c:numCache>
                <c:formatCode>0</c:formatCode>
                <c:ptCount val="30"/>
                <c:pt idx="0">
                  <c:v>120.33811266602297</c:v>
                </c:pt>
                <c:pt idx="1">
                  <c:v>120.33926483497109</c:v>
                </c:pt>
                <c:pt idx="2">
                  <c:v>120.33143081052972</c:v>
                </c:pt>
                <c:pt idx="3">
                  <c:v>120.83191224512163</c:v>
                </c:pt>
                <c:pt idx="4">
                  <c:v>121.64967363558205</c:v>
                </c:pt>
                <c:pt idx="5">
                  <c:v>122.43529012762203</c:v>
                </c:pt>
                <c:pt idx="6">
                  <c:v>123.3352582402844</c:v>
                </c:pt>
                <c:pt idx="7">
                  <c:v>124.53068774300374</c:v>
                </c:pt>
                <c:pt idx="8">
                  <c:v>125.8779040842777</c:v>
                </c:pt>
                <c:pt idx="9">
                  <c:v>127.23357190462848</c:v>
                </c:pt>
                <c:pt idx="10">
                  <c:v>128.72762986207428</c:v>
                </c:pt>
                <c:pt idx="11">
                  <c:v>130.58691735598651</c:v>
                </c:pt>
                <c:pt idx="12">
                  <c:v>133.03440666309157</c:v>
                </c:pt>
                <c:pt idx="13">
                  <c:v>136.12336259869176</c:v>
                </c:pt>
                <c:pt idx="14">
                  <c:v>139.67793935478795</c:v>
                </c:pt>
                <c:pt idx="15">
                  <c:v>143.50601061257916</c:v>
                </c:pt>
                <c:pt idx="16">
                  <c:v>147.31593290901336</c:v>
                </c:pt>
                <c:pt idx="17">
                  <c:v>150.5136760966235</c:v>
                </c:pt>
                <c:pt idx="18">
                  <c:v>152.48288732711956</c:v>
                </c:pt>
                <c:pt idx="19">
                  <c:v>153.39557417739775</c:v>
                </c:pt>
                <c:pt idx="20">
                  <c:v>153.80507483449514</c:v>
                </c:pt>
                <c:pt idx="21">
                  <c:v>152.45141077347637</c:v>
                </c:pt>
                <c:pt idx="22">
                  <c:v>149.01810626281133</c:v>
                </c:pt>
                <c:pt idx="23">
                  <c:v>144.70647869465122</c:v>
                </c:pt>
                <c:pt idx="24">
                  <c:v>140.25969798892274</c:v>
                </c:pt>
                <c:pt idx="25">
                  <c:v>135.75204916835645</c:v>
                </c:pt>
                <c:pt idx="26">
                  <c:v>131.21515882395235</c:v>
                </c:pt>
                <c:pt idx="27">
                  <c:v>126.69399171567839</c:v>
                </c:pt>
                <c:pt idx="28">
                  <c:v>122.24641410480092</c:v>
                </c:pt>
                <c:pt idx="29">
                  <c:v>117.93080634469251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061040"/>
        <c:axId val="603061432"/>
      </c:scatterChart>
      <c:valAx>
        <c:axId val="60306104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805581158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3061432"/>
        <c:crosses val="autoZero"/>
        <c:crossBetween val="midCat"/>
      </c:valAx>
      <c:valAx>
        <c:axId val="6030614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306104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879609995239661"/>
          <c:y val="0.14508944384922992"/>
          <c:w val="0.73913103830071458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'FT240-61x2 12t'!$A$26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'FT240-61x2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'FT240-61x2 12t'!$B$26:$AE$26</c:f>
              <c:numCache>
                <c:formatCode>0</c:formatCode>
                <c:ptCount val="30"/>
                <c:pt idx="0">
                  <c:v>0.225404236420366</c:v>
                </c:pt>
                <c:pt idx="1">
                  <c:v>1.04124394268413</c:v>
                </c:pt>
                <c:pt idx="2">
                  <c:v>2.63906066768125</c:v>
                </c:pt>
                <c:pt idx="3">
                  <c:v>5.3325049807514704</c:v>
                </c:pt>
                <c:pt idx="4">
                  <c:v>9.5890389234377</c:v>
                </c:pt>
                <c:pt idx="5">
                  <c:v>16.3944811647264</c:v>
                </c:pt>
                <c:pt idx="6">
                  <c:v>25.434531211256001</c:v>
                </c:pt>
                <c:pt idx="7">
                  <c:v>45.299715329744103</c:v>
                </c:pt>
                <c:pt idx="8">
                  <c:v>80.722065675329702</c:v>
                </c:pt>
                <c:pt idx="9">
                  <c:v>168.533472407169</c:v>
                </c:pt>
                <c:pt idx="10">
                  <c:v>444.975379457521</c:v>
                </c:pt>
                <c:pt idx="11">
                  <c:v>1843.0787569874999</c:v>
                </c:pt>
                <c:pt idx="12">
                  <c:v>44400.844932097003</c:v>
                </c:pt>
                <c:pt idx="13">
                  <c:v>5906.17854650754</c:v>
                </c:pt>
                <c:pt idx="14">
                  <c:v>1513.5048643411201</c:v>
                </c:pt>
                <c:pt idx="15">
                  <c:v>822.16365505652504</c:v>
                </c:pt>
                <c:pt idx="16">
                  <c:v>580.54986979270905</c:v>
                </c:pt>
                <c:pt idx="17">
                  <c:v>471.10649199751703</c:v>
                </c:pt>
                <c:pt idx="18">
                  <c:v>418.37351718933797</c:v>
                </c:pt>
                <c:pt idx="19">
                  <c:v>374.772652664676</c:v>
                </c:pt>
                <c:pt idx="20">
                  <c:v>339.71769754309099</c:v>
                </c:pt>
                <c:pt idx="21">
                  <c:v>315.41307622997499</c:v>
                </c:pt>
                <c:pt idx="22">
                  <c:v>297.76958862548702</c:v>
                </c:pt>
                <c:pt idx="23">
                  <c:v>276.89377851978202</c:v>
                </c:pt>
                <c:pt idx="24">
                  <c:v>260.49653515793699</c:v>
                </c:pt>
                <c:pt idx="25">
                  <c:v>243.536998305341</c:v>
                </c:pt>
                <c:pt idx="26">
                  <c:v>226.004665252622</c:v>
                </c:pt>
                <c:pt idx="27">
                  <c:v>210.81266143139001</c:v>
                </c:pt>
                <c:pt idx="28">
                  <c:v>196.90661201979</c:v>
                </c:pt>
                <c:pt idx="29">
                  <c:v>183.92822247464699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'FT240-61x2 12t'!$A$27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'FT240-61x2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'FT240-61x2 12t'!$B$27:$AE$27</c:f>
              <c:numCache>
                <c:formatCode>0</c:formatCode>
                <c:ptCount val="30"/>
                <c:pt idx="0">
                  <c:v>206.729559550375</c:v>
                </c:pt>
                <c:pt idx="1">
                  <c:v>420.00982190888499</c:v>
                </c:pt>
                <c:pt idx="2">
                  <c:v>647.04687719054505</c:v>
                </c:pt>
                <c:pt idx="3">
                  <c:v>900.82207893487703</c:v>
                </c:pt>
                <c:pt idx="4">
                  <c:v>1195.6964094610601</c:v>
                </c:pt>
                <c:pt idx="5">
                  <c:v>1548.63209810495</c:v>
                </c:pt>
                <c:pt idx="6">
                  <c:v>1992.6811357645099</c:v>
                </c:pt>
                <c:pt idx="7">
                  <c:v>2588.5800917187098</c:v>
                </c:pt>
                <c:pt idx="8">
                  <c:v>3443.9774380045501</c:v>
                </c:pt>
                <c:pt idx="9">
                  <c:v>4791.5937758838299</c:v>
                </c:pt>
                <c:pt idx="10">
                  <c:v>7293.6638272235796</c:v>
                </c:pt>
                <c:pt idx="11">
                  <c:v>13727.5533183226</c:v>
                </c:pt>
                <c:pt idx="12">
                  <c:v>45838.754987914297</c:v>
                </c:pt>
                <c:pt idx="13">
                  <c:v>-20314.230125754799</c:v>
                </c:pt>
                <c:pt idx="14">
                  <c:v>-9918.4645996649797</c:v>
                </c:pt>
                <c:pt idx="15">
                  <c:v>-6626.1362376041998</c:v>
                </c:pt>
                <c:pt idx="16">
                  <c:v>-5040.0744429924798</c:v>
                </c:pt>
                <c:pt idx="17">
                  <c:v>-4113.2115299481202</c:v>
                </c:pt>
                <c:pt idx="18">
                  <c:v>-3504.9458935851299</c:v>
                </c:pt>
                <c:pt idx="19">
                  <c:v>-3076.66715323889</c:v>
                </c:pt>
                <c:pt idx="20">
                  <c:v>-2750.00472482448</c:v>
                </c:pt>
                <c:pt idx="21">
                  <c:v>-2497.9818552699899</c:v>
                </c:pt>
                <c:pt idx="22">
                  <c:v>-2299.24703015766</c:v>
                </c:pt>
                <c:pt idx="23">
                  <c:v>-2142.0728496850102</c:v>
                </c:pt>
                <c:pt idx="24">
                  <c:v>-2001.6017269174599</c:v>
                </c:pt>
                <c:pt idx="25">
                  <c:v>-1881.8164416197301</c:v>
                </c:pt>
                <c:pt idx="26">
                  <c:v>-1782.1131064217</c:v>
                </c:pt>
                <c:pt idx="27">
                  <c:v>-1692.15822250159</c:v>
                </c:pt>
                <c:pt idx="28">
                  <c:v>-1612.3481945777601</c:v>
                </c:pt>
                <c:pt idx="29">
                  <c:v>-1542.4806322296499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'FT240-61x2 12t'!$A$28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'FT240-61x2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'FT240-61x2 12t'!$B$28:$AE$28</c:f>
              <c:numCache>
                <c:formatCode>0</c:formatCode>
                <c:ptCount val="30"/>
                <c:pt idx="0">
                  <c:v>206.72968243327281</c:v>
                </c:pt>
                <c:pt idx="1">
                  <c:v>420.01111257784771</c:v>
                </c:pt>
                <c:pt idx="2">
                  <c:v>647.05225903573194</c:v>
                </c:pt>
                <c:pt idx="3">
                  <c:v>900.83786194071763</c:v>
                </c:pt>
                <c:pt idx="4">
                  <c:v>1195.7348590994352</c:v>
                </c:pt>
                <c:pt idx="5">
                  <c:v>1548.7188751654057</c:v>
                </c:pt>
                <c:pt idx="6">
                  <c:v>1992.8434520076264</c:v>
                </c:pt>
                <c:pt idx="7">
                  <c:v>2588.9764300687252</c:v>
                </c:pt>
                <c:pt idx="8">
                  <c:v>3444.9233148752787</c:v>
                </c:pt>
                <c:pt idx="9">
                  <c:v>4794.5567516101291</c:v>
                </c:pt>
                <c:pt idx="10">
                  <c:v>7307.2248571446798</c:v>
                </c:pt>
                <c:pt idx="11">
                  <c:v>13850.727757480776</c:v>
                </c:pt>
                <c:pt idx="12">
                  <c:v>63817.133197333162</c:v>
                </c:pt>
                <c:pt idx="13">
                  <c:v>21155.398616555296</c:v>
                </c:pt>
                <c:pt idx="14">
                  <c:v>10033.276483242731</c:v>
                </c:pt>
                <c:pt idx="15">
                  <c:v>6676.9479940304645</c:v>
                </c:pt>
                <c:pt idx="16">
                  <c:v>5073.400096801186</c:v>
                </c:pt>
                <c:pt idx="17">
                  <c:v>4140.1027060811384</c:v>
                </c:pt>
                <c:pt idx="18">
                  <c:v>3529.8274910885716</c:v>
                </c:pt>
                <c:pt idx="19">
                  <c:v>3099.4088650909571</c:v>
                </c:pt>
                <c:pt idx="20">
                  <c:v>2770.9085334202109</c:v>
                </c:pt>
                <c:pt idx="21">
                  <c:v>2517.8162677040109</c:v>
                </c:pt>
                <c:pt idx="22">
                  <c:v>2318.448540209381</c:v>
                </c:pt>
                <c:pt idx="23">
                  <c:v>2159.8949645620783</c:v>
                </c:pt>
                <c:pt idx="24">
                  <c:v>2018.4815872403315</c:v>
                </c:pt>
                <c:pt idx="25">
                  <c:v>1897.5097864026729</c:v>
                </c:pt>
                <c:pt idx="26">
                  <c:v>1796.3867158259523</c:v>
                </c:pt>
                <c:pt idx="27">
                  <c:v>1705.2394049515528</c:v>
                </c:pt>
                <c:pt idx="28">
                  <c:v>1624.3272190095427</c:v>
                </c:pt>
                <c:pt idx="29">
                  <c:v>1553.40789615164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062216"/>
        <c:axId val="603062608"/>
      </c:scatterChart>
      <c:valAx>
        <c:axId val="60306221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809399661162756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3062608"/>
        <c:crosses val="autoZero"/>
        <c:crossBetween val="midCat"/>
      </c:valAx>
      <c:valAx>
        <c:axId val="603062608"/>
        <c:scaling>
          <c:orientation val="minMax"/>
          <c:max val="5000"/>
          <c:min val="-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30622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769296719286232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'FT240-61x2 12t'!$A$19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'FT240-61x2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'FT240-61x2 12t'!$B$19:$AE$19</c:f>
              <c:numCache>
                <c:formatCode>0</c:formatCode>
                <c:ptCount val="30"/>
                <c:pt idx="0">
                  <c:v>0.1305305218990753</c:v>
                </c:pt>
                <c:pt idx="1">
                  <c:v>0.29216417496419567</c:v>
                </c:pt>
                <c:pt idx="2">
                  <c:v>0.46795642566441231</c:v>
                </c:pt>
                <c:pt idx="3">
                  <c:v>0.65587769819791408</c:v>
                </c:pt>
                <c:pt idx="4">
                  <c:v>0.84813909731256343</c:v>
                </c:pt>
                <c:pt idx="5">
                  <c:v>1.0507459671455464</c:v>
                </c:pt>
                <c:pt idx="6">
                  <c:v>1.1655675876755502</c:v>
                </c:pt>
                <c:pt idx="7">
                  <c:v>1.4331390403662139</c:v>
                </c:pt>
                <c:pt idx="8">
                  <c:v>1.6580544204904037</c:v>
                </c:pt>
                <c:pt idx="9">
                  <c:v>2.0288590128736232</c:v>
                </c:pt>
                <c:pt idx="10">
                  <c:v>2.5971245875922397</c:v>
                </c:pt>
                <c:pt idx="11">
                  <c:v>3.3621404669626322</c:v>
                </c:pt>
                <c:pt idx="12">
                  <c:v>4.2912951630089635</c:v>
                </c:pt>
                <c:pt idx="13">
                  <c:v>5.8615275999244441</c:v>
                </c:pt>
                <c:pt idx="14">
                  <c:v>7.541506712481894</c:v>
                </c:pt>
                <c:pt idx="15">
                  <c:v>10.440076981485154</c:v>
                </c:pt>
                <c:pt idx="16">
                  <c:v>14.356331687547252</c:v>
                </c:pt>
                <c:pt idx="17">
                  <c:v>19.475152489651389</c:v>
                </c:pt>
                <c:pt idx="18">
                  <c:v>26.093784816973535</c:v>
                </c:pt>
                <c:pt idx="19">
                  <c:v>32.812983366032299</c:v>
                </c:pt>
                <c:pt idx="20">
                  <c:v>40.121145117251913</c:v>
                </c:pt>
                <c:pt idx="21">
                  <c:v>47.741408708970091</c:v>
                </c:pt>
                <c:pt idx="22">
                  <c:v>54.92355589129653</c:v>
                </c:pt>
                <c:pt idx="23">
                  <c:v>59.636390218978171</c:v>
                </c:pt>
                <c:pt idx="24">
                  <c:v>65.439350827392232</c:v>
                </c:pt>
                <c:pt idx="25">
                  <c:v>70.197937862249233</c:v>
                </c:pt>
                <c:pt idx="26">
                  <c:v>72.74127086191011</c:v>
                </c:pt>
                <c:pt idx="27">
                  <c:v>75.418789121876827</c:v>
                </c:pt>
                <c:pt idx="28">
                  <c:v>77.47967253407711</c:v>
                </c:pt>
                <c:pt idx="29">
                  <c:v>78.324281436852331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'FT240-61x2 12t'!$A$20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'FT240-61x2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'FT240-61x2 12t'!$B$20:$AE$20</c:f>
              <c:numCache>
                <c:formatCode>0</c:formatCode>
                <c:ptCount val="30"/>
                <c:pt idx="0">
                  <c:v>120.33811266602297</c:v>
                </c:pt>
                <c:pt idx="1">
                  <c:v>120.33926483497109</c:v>
                </c:pt>
                <c:pt idx="2">
                  <c:v>120.33143081052972</c:v>
                </c:pt>
                <c:pt idx="3">
                  <c:v>120.83191224512163</c:v>
                </c:pt>
                <c:pt idx="4">
                  <c:v>121.64967363558205</c:v>
                </c:pt>
                <c:pt idx="5">
                  <c:v>122.43529012762203</c:v>
                </c:pt>
                <c:pt idx="6">
                  <c:v>123.3352582402844</c:v>
                </c:pt>
                <c:pt idx="7">
                  <c:v>124.53068774300374</c:v>
                </c:pt>
                <c:pt idx="8">
                  <c:v>125.8779040842777</c:v>
                </c:pt>
                <c:pt idx="9">
                  <c:v>127.23357190462848</c:v>
                </c:pt>
                <c:pt idx="10">
                  <c:v>128.72762986207428</c:v>
                </c:pt>
                <c:pt idx="11">
                  <c:v>130.58691735598651</c:v>
                </c:pt>
                <c:pt idx="12">
                  <c:v>133.03440666309157</c:v>
                </c:pt>
                <c:pt idx="13">
                  <c:v>136.12336259869176</c:v>
                </c:pt>
                <c:pt idx="14">
                  <c:v>139.67793935478795</c:v>
                </c:pt>
                <c:pt idx="15">
                  <c:v>143.50601061257916</c:v>
                </c:pt>
                <c:pt idx="16">
                  <c:v>147.31593290901336</c:v>
                </c:pt>
                <c:pt idx="17">
                  <c:v>150.5136760966235</c:v>
                </c:pt>
                <c:pt idx="18">
                  <c:v>152.48288732711956</c:v>
                </c:pt>
                <c:pt idx="19">
                  <c:v>153.39557417739775</c:v>
                </c:pt>
                <c:pt idx="20">
                  <c:v>153.80507483449514</c:v>
                </c:pt>
                <c:pt idx="21">
                  <c:v>152.45141077347637</c:v>
                </c:pt>
                <c:pt idx="22">
                  <c:v>149.01810626281133</c:v>
                </c:pt>
                <c:pt idx="23">
                  <c:v>144.70647869465122</c:v>
                </c:pt>
                <c:pt idx="24">
                  <c:v>140.25969798892274</c:v>
                </c:pt>
                <c:pt idx="25">
                  <c:v>135.75204916835645</c:v>
                </c:pt>
                <c:pt idx="26">
                  <c:v>131.21515882395235</c:v>
                </c:pt>
                <c:pt idx="27">
                  <c:v>126.69399171567839</c:v>
                </c:pt>
                <c:pt idx="28">
                  <c:v>122.24641410480092</c:v>
                </c:pt>
                <c:pt idx="29">
                  <c:v>117.93080634469251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063784"/>
        <c:axId val="603064176"/>
      </c:scatterChart>
      <c:valAx>
        <c:axId val="60306378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805581158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3064176"/>
        <c:crosses val="autoZero"/>
        <c:crossBetween val="midCat"/>
      </c:valAx>
      <c:valAx>
        <c:axId val="6030641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306378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879609995239661"/>
          <c:y val="0.14508944384922992"/>
          <c:w val="0.73913103830071458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'FT240-61x3 13t'!$A$26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'FT240-61x3 13t'!$B$18:$AE$18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'FT240-61x3 13t'!$B$26:$AE$26</c:f>
              <c:numCache>
                <c:formatCode>0</c:formatCode>
                <c:ptCount val="30"/>
                <c:pt idx="0">
                  <c:v>0.55685541115854797</c:v>
                </c:pt>
                <c:pt idx="1">
                  <c:v>4.1508038084023502</c:v>
                </c:pt>
                <c:pt idx="2">
                  <c:v>37.443096040882899</c:v>
                </c:pt>
                <c:pt idx="3">
                  <c:v>659.29123055486696</c:v>
                </c:pt>
                <c:pt idx="4">
                  <c:v>26.848414863446301</c:v>
                </c:pt>
                <c:pt idx="5">
                  <c:v>9.6126334619918108</c:v>
                </c:pt>
                <c:pt idx="6">
                  <c:v>4.8014999184181102</c:v>
                </c:pt>
                <c:pt idx="7">
                  <c:v>3.2264200551474098</c:v>
                </c:pt>
                <c:pt idx="8">
                  <c:v>2.2822531045268999</c:v>
                </c:pt>
                <c:pt idx="9">
                  <c:v>1.84065007043656</c:v>
                </c:pt>
                <c:pt idx="10">
                  <c:v>1.63390565541496</c:v>
                </c:pt>
                <c:pt idx="11">
                  <c:v>1.5171634295228</c:v>
                </c:pt>
                <c:pt idx="12">
                  <c:v>1.41963892791933</c:v>
                </c:pt>
                <c:pt idx="13">
                  <c:v>1.44357829224968</c:v>
                </c:pt>
                <c:pt idx="14">
                  <c:v>1.40311115488296</c:v>
                </c:pt>
                <c:pt idx="15">
                  <c:v>1.48730493554451</c:v>
                </c:pt>
                <c:pt idx="16">
                  <c:v>1.58933051264401</c:v>
                </c:pt>
                <c:pt idx="17">
                  <c:v>1.70843102058223</c:v>
                </c:pt>
                <c:pt idx="18">
                  <c:v>1.85649028084848</c:v>
                </c:pt>
                <c:pt idx="19">
                  <c:v>1.9324382543601399</c:v>
                </c:pt>
                <c:pt idx="20">
                  <c:v>1.9753836487135801</c:v>
                </c:pt>
                <c:pt idx="21">
                  <c:v>2.0135389370799999</c:v>
                </c:pt>
                <c:pt idx="22">
                  <c:v>2.0427067731246802</c:v>
                </c:pt>
                <c:pt idx="23">
                  <c:v>2.0035848052587601</c:v>
                </c:pt>
                <c:pt idx="24">
                  <c:v>1.9829000819110301</c:v>
                </c:pt>
                <c:pt idx="25">
                  <c:v>1.9342203743978901</c:v>
                </c:pt>
                <c:pt idx="26">
                  <c:v>1.8532428657922599</c:v>
                </c:pt>
                <c:pt idx="27">
                  <c:v>1.78031687171553</c:v>
                </c:pt>
                <c:pt idx="28">
                  <c:v>1.7055143422768899</c:v>
                </c:pt>
                <c:pt idx="29">
                  <c:v>1.62541898137323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'FT240-61x3 13t'!$A$27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'FT240-61x3 13t'!$B$18:$AE$18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'FT240-61x3 13t'!$B$27:$AE$27</c:f>
              <c:numCache>
                <c:formatCode>0</c:formatCode>
                <c:ptCount val="30"/>
                <c:pt idx="0">
                  <c:v>477.55082843053202</c:v>
                </c:pt>
                <c:pt idx="1">
                  <c:v>1232.4662997830401</c:v>
                </c:pt>
                <c:pt idx="2">
                  <c:v>3581.8194791113501</c:v>
                </c:pt>
                <c:pt idx="3">
                  <c:v>-14706.541616783599</c:v>
                </c:pt>
                <c:pt idx="4">
                  <c:v>-2940.46116152684</c:v>
                </c:pt>
                <c:pt idx="5">
                  <c:v>-1742.8708820781701</c:v>
                </c:pt>
                <c:pt idx="6">
                  <c:v>-1272.5462114265699</c:v>
                </c:pt>
                <c:pt idx="7">
                  <c:v>-1015.46625977315</c:v>
                </c:pt>
                <c:pt idx="8">
                  <c:v>-851.31570156802195</c:v>
                </c:pt>
                <c:pt idx="9">
                  <c:v>-736.40463607253696</c:v>
                </c:pt>
                <c:pt idx="10">
                  <c:v>-650.76393309362197</c:v>
                </c:pt>
                <c:pt idx="11">
                  <c:v>-584.03952546662003</c:v>
                </c:pt>
                <c:pt idx="12">
                  <c:v>-530.34190338706503</c:v>
                </c:pt>
                <c:pt idx="13">
                  <c:v>-486.08593937557799</c:v>
                </c:pt>
                <c:pt idx="14">
                  <c:v>-448.97448713266903</c:v>
                </c:pt>
                <c:pt idx="15">
                  <c:v>-417.37168643093599</c:v>
                </c:pt>
                <c:pt idx="16">
                  <c:v>-390.13034273440701</c:v>
                </c:pt>
                <c:pt idx="17">
                  <c:v>-366.41432975910402</c:v>
                </c:pt>
                <c:pt idx="18">
                  <c:v>-345.57183306251801</c:v>
                </c:pt>
                <c:pt idx="19">
                  <c:v>-327.08982465184602</c:v>
                </c:pt>
                <c:pt idx="20">
                  <c:v>-310.53240021111299</c:v>
                </c:pt>
                <c:pt idx="21">
                  <c:v>-295.65212726392002</c:v>
                </c:pt>
                <c:pt idx="22">
                  <c:v>-282.21221280682897</c:v>
                </c:pt>
                <c:pt idx="23">
                  <c:v>-270.01930672230702</c:v>
                </c:pt>
                <c:pt idx="24">
                  <c:v>-258.81435564699598</c:v>
                </c:pt>
                <c:pt idx="25">
                  <c:v>-248.52395118621101</c:v>
                </c:pt>
                <c:pt idx="26">
                  <c:v>-239.06782379876799</c:v>
                </c:pt>
                <c:pt idx="27">
                  <c:v>-230.30298542700501</c:v>
                </c:pt>
                <c:pt idx="28">
                  <c:v>-222.169858946744</c:v>
                </c:pt>
                <c:pt idx="29">
                  <c:v>-214.61417603628499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'FT240-61x3 13t'!$A$28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'FT240-61x3 13t'!$B$18:$AE$18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'FT240-61x3 13t'!$B$28:$AE$28</c:f>
              <c:numCache>
                <c:formatCode>0</c:formatCode>
                <c:ptCount val="30"/>
                <c:pt idx="0">
                  <c:v>477.55115309528503</c:v>
                </c:pt>
                <c:pt idx="1">
                  <c:v>1232.4732894765525</c:v>
                </c:pt>
                <c:pt idx="2">
                  <c:v>3582.0151823216252</c:v>
                </c:pt>
                <c:pt idx="3">
                  <c:v>14721.31214440053</c:v>
                </c:pt>
                <c:pt idx="4">
                  <c:v>2940.5837311371447</c:v>
                </c:pt>
                <c:pt idx="5">
                  <c:v>1742.8973906452477</c:v>
                </c:pt>
                <c:pt idx="6">
                  <c:v>1272.555269769287</c:v>
                </c:pt>
                <c:pt idx="7">
                  <c:v>1015.4713853792447</c:v>
                </c:pt>
                <c:pt idx="8">
                  <c:v>851.31876075620846</c:v>
                </c:pt>
                <c:pt idx="9">
                  <c:v>736.40693642972121</c:v>
                </c:pt>
                <c:pt idx="10">
                  <c:v>650.76598425484019</c:v>
                </c:pt>
                <c:pt idx="11">
                  <c:v>584.04149603615201</c:v>
                </c:pt>
                <c:pt idx="12">
                  <c:v>530.34380345479735</c:v>
                </c:pt>
                <c:pt idx="13">
                  <c:v>486.0880829406579</c:v>
                </c:pt>
                <c:pt idx="14">
                  <c:v>448.97667959144178</c:v>
                </c:pt>
                <c:pt idx="15">
                  <c:v>417.37433642975083</c:v>
                </c:pt>
                <c:pt idx="16">
                  <c:v>390.13358006398823</c:v>
                </c:pt>
                <c:pt idx="17">
                  <c:v>366.41831257371064</c:v>
                </c:pt>
                <c:pt idx="18">
                  <c:v>345.57681977000675</c:v>
                </c:pt>
                <c:pt idx="19">
                  <c:v>327.09553299973737</c:v>
                </c:pt>
                <c:pt idx="20">
                  <c:v>310.53868313212513</c:v>
                </c:pt>
                <c:pt idx="21">
                  <c:v>295.65898378830349</c:v>
                </c:pt>
                <c:pt idx="22">
                  <c:v>282.21960546405683</c:v>
                </c:pt>
                <c:pt idx="23">
                  <c:v>270.02674007376964</c:v>
                </c:pt>
                <c:pt idx="24">
                  <c:v>258.82195150663813</c:v>
                </c:pt>
                <c:pt idx="25">
                  <c:v>248.53147792918088</c:v>
                </c:pt>
                <c:pt idx="26">
                  <c:v>239.0750068179407</c:v>
                </c:pt>
                <c:pt idx="27">
                  <c:v>230.30986653800787</c:v>
                </c:pt>
                <c:pt idx="28">
                  <c:v>222.17640514597369</c:v>
                </c:pt>
                <c:pt idx="29">
                  <c:v>214.62033114921459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064960"/>
        <c:axId val="603065352"/>
      </c:scatterChart>
      <c:valAx>
        <c:axId val="60306496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809399661162756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3065352"/>
        <c:crosses val="autoZero"/>
        <c:crossBetween val="midCat"/>
      </c:valAx>
      <c:valAx>
        <c:axId val="603065352"/>
        <c:scaling>
          <c:orientation val="minMax"/>
          <c:max val="5000"/>
          <c:min val="-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306496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769296719286232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'FT240-61x3 13t'!$A$19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'FT240-61x3 13t'!$B$18:$AE$18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'FT240-61x3 13t'!$B$19:$AE$19</c:f>
              <c:numCache>
                <c:formatCode>0</c:formatCode>
                <c:ptCount val="30"/>
                <c:pt idx="0">
                  <c:v>0.1305305218990753</c:v>
                </c:pt>
                <c:pt idx="1">
                  <c:v>0.29216417496419567</c:v>
                </c:pt>
                <c:pt idx="2">
                  <c:v>0.46795642566441231</c:v>
                </c:pt>
                <c:pt idx="3">
                  <c:v>0.65587769819791408</c:v>
                </c:pt>
                <c:pt idx="4">
                  <c:v>0.84813909731256343</c:v>
                </c:pt>
                <c:pt idx="5">
                  <c:v>1.0507459671455464</c:v>
                </c:pt>
                <c:pt idx="6">
                  <c:v>1.1655675876755502</c:v>
                </c:pt>
                <c:pt idx="7">
                  <c:v>1.4331390403662139</c:v>
                </c:pt>
                <c:pt idx="8">
                  <c:v>1.6580544204904037</c:v>
                </c:pt>
                <c:pt idx="9">
                  <c:v>2.0288590128736232</c:v>
                </c:pt>
                <c:pt idx="10">
                  <c:v>2.5971245875922397</c:v>
                </c:pt>
                <c:pt idx="11">
                  <c:v>3.3621404669626322</c:v>
                </c:pt>
                <c:pt idx="12">
                  <c:v>4.2912951630089635</c:v>
                </c:pt>
                <c:pt idx="13">
                  <c:v>5.8615275999244441</c:v>
                </c:pt>
                <c:pt idx="14">
                  <c:v>7.541506712481894</c:v>
                </c:pt>
                <c:pt idx="15">
                  <c:v>10.440076981485154</c:v>
                </c:pt>
                <c:pt idx="16">
                  <c:v>14.356331687547252</c:v>
                </c:pt>
                <c:pt idx="17">
                  <c:v>19.475152489651389</c:v>
                </c:pt>
                <c:pt idx="18">
                  <c:v>26.093784816973535</c:v>
                </c:pt>
                <c:pt idx="19">
                  <c:v>32.812983366032299</c:v>
                </c:pt>
                <c:pt idx="20">
                  <c:v>40.121145117251913</c:v>
                </c:pt>
                <c:pt idx="21">
                  <c:v>47.741408708970091</c:v>
                </c:pt>
                <c:pt idx="22">
                  <c:v>54.92355589129653</c:v>
                </c:pt>
                <c:pt idx="23">
                  <c:v>59.636390218978171</c:v>
                </c:pt>
                <c:pt idx="24">
                  <c:v>65.439350827392232</c:v>
                </c:pt>
                <c:pt idx="25">
                  <c:v>70.197937862249233</c:v>
                </c:pt>
                <c:pt idx="26">
                  <c:v>72.74127086191011</c:v>
                </c:pt>
                <c:pt idx="27">
                  <c:v>75.418789121876827</c:v>
                </c:pt>
                <c:pt idx="28">
                  <c:v>77.47967253407711</c:v>
                </c:pt>
                <c:pt idx="29">
                  <c:v>78.324281436852331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'FT240-61x3 13t'!$A$20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'FT240-61x3 13t'!$B$18:$AE$18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'FT240-61x3 13t'!$B$20:$AE$20</c:f>
              <c:numCache>
                <c:formatCode>0</c:formatCode>
                <c:ptCount val="30"/>
                <c:pt idx="0">
                  <c:v>120.33811266602297</c:v>
                </c:pt>
                <c:pt idx="1">
                  <c:v>120.33926483497109</c:v>
                </c:pt>
                <c:pt idx="2">
                  <c:v>120.33143081052972</c:v>
                </c:pt>
                <c:pt idx="3">
                  <c:v>120.83191224512163</c:v>
                </c:pt>
                <c:pt idx="4">
                  <c:v>121.64967363558205</c:v>
                </c:pt>
                <c:pt idx="5">
                  <c:v>122.43529012762203</c:v>
                </c:pt>
                <c:pt idx="6">
                  <c:v>123.3352582402844</c:v>
                </c:pt>
                <c:pt idx="7">
                  <c:v>124.53068774300374</c:v>
                </c:pt>
                <c:pt idx="8">
                  <c:v>125.8779040842777</c:v>
                </c:pt>
                <c:pt idx="9">
                  <c:v>127.23357190462848</c:v>
                </c:pt>
                <c:pt idx="10">
                  <c:v>128.72762986207428</c:v>
                </c:pt>
                <c:pt idx="11">
                  <c:v>130.58691735598651</c:v>
                </c:pt>
                <c:pt idx="12">
                  <c:v>133.03440666309157</c:v>
                </c:pt>
                <c:pt idx="13">
                  <c:v>136.12336259869176</c:v>
                </c:pt>
                <c:pt idx="14">
                  <c:v>139.67793935478795</c:v>
                </c:pt>
                <c:pt idx="15">
                  <c:v>143.50601061257916</c:v>
                </c:pt>
                <c:pt idx="16">
                  <c:v>147.31593290901336</c:v>
                </c:pt>
                <c:pt idx="17">
                  <c:v>150.5136760966235</c:v>
                </c:pt>
                <c:pt idx="18">
                  <c:v>152.48288732711956</c:v>
                </c:pt>
                <c:pt idx="19">
                  <c:v>153.39557417739775</c:v>
                </c:pt>
                <c:pt idx="20">
                  <c:v>153.80507483449514</c:v>
                </c:pt>
                <c:pt idx="21">
                  <c:v>152.45141077347637</c:v>
                </c:pt>
                <c:pt idx="22">
                  <c:v>149.01810626281133</c:v>
                </c:pt>
                <c:pt idx="23">
                  <c:v>144.70647869465122</c:v>
                </c:pt>
                <c:pt idx="24">
                  <c:v>140.25969798892274</c:v>
                </c:pt>
                <c:pt idx="25">
                  <c:v>135.75204916835645</c:v>
                </c:pt>
                <c:pt idx="26">
                  <c:v>131.21515882395235</c:v>
                </c:pt>
                <c:pt idx="27">
                  <c:v>126.69399171567839</c:v>
                </c:pt>
                <c:pt idx="28">
                  <c:v>122.24641410480092</c:v>
                </c:pt>
                <c:pt idx="29">
                  <c:v>117.93080634469251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066528"/>
        <c:axId val="609710112"/>
      </c:scatterChart>
      <c:valAx>
        <c:axId val="60306652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805581158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9710112"/>
        <c:crosses val="autoZero"/>
        <c:crossBetween val="midCat"/>
      </c:valAx>
      <c:valAx>
        <c:axId val="6097101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306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0</xdr:row>
      <xdr:rowOff>209550</xdr:rowOff>
    </xdr:from>
    <xdr:to>
      <xdr:col>15</xdr:col>
      <xdr:colOff>361950</xdr:colOff>
      <xdr:row>27</xdr:row>
      <xdr:rowOff>9525</xdr:rowOff>
    </xdr:to>
    <xdr:graphicFrame macro="">
      <xdr:nvGraphicFramePr>
        <xdr:cNvPr id="103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103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5</xdr:row>
      <xdr:rowOff>28575</xdr:rowOff>
    </xdr:from>
    <xdr:to>
      <xdr:col>17</xdr:col>
      <xdr:colOff>361950</xdr:colOff>
      <xdr:row>36</xdr:row>
      <xdr:rowOff>66675</xdr:rowOff>
    </xdr:to>
    <xdr:graphicFrame macro="">
      <xdr:nvGraphicFramePr>
        <xdr:cNvPr id="205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342900</xdr:colOff>
      <xdr:row>36</xdr:row>
      <xdr:rowOff>19050</xdr:rowOff>
    </xdr:from>
    <xdr:to>
      <xdr:col>7</xdr:col>
      <xdr:colOff>504825</xdr:colOff>
      <xdr:row>67</xdr:row>
      <xdr:rowOff>66675</xdr:rowOff>
    </xdr:to>
    <xdr:graphicFrame macro="">
      <xdr:nvGraphicFramePr>
        <xdr:cNvPr id="206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5</xdr:row>
      <xdr:rowOff>28575</xdr:rowOff>
    </xdr:from>
    <xdr:to>
      <xdr:col>17</xdr:col>
      <xdr:colOff>361950</xdr:colOff>
      <xdr:row>36</xdr:row>
      <xdr:rowOff>66675</xdr:rowOff>
    </xdr:to>
    <xdr:graphicFrame macro="">
      <xdr:nvGraphicFramePr>
        <xdr:cNvPr id="4198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342900</xdr:colOff>
      <xdr:row>36</xdr:row>
      <xdr:rowOff>19050</xdr:rowOff>
    </xdr:from>
    <xdr:to>
      <xdr:col>7</xdr:col>
      <xdr:colOff>504825</xdr:colOff>
      <xdr:row>67</xdr:row>
      <xdr:rowOff>66675</xdr:rowOff>
    </xdr:to>
    <xdr:graphicFrame macro="">
      <xdr:nvGraphicFramePr>
        <xdr:cNvPr id="4199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5</xdr:row>
      <xdr:rowOff>28575</xdr:rowOff>
    </xdr:from>
    <xdr:to>
      <xdr:col>17</xdr:col>
      <xdr:colOff>361950</xdr:colOff>
      <xdr:row>36</xdr:row>
      <xdr:rowOff>66675</xdr:rowOff>
    </xdr:to>
    <xdr:graphicFrame macro="">
      <xdr:nvGraphicFramePr>
        <xdr:cNvPr id="308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342900</xdr:colOff>
      <xdr:row>36</xdr:row>
      <xdr:rowOff>19050</xdr:rowOff>
    </xdr:from>
    <xdr:to>
      <xdr:col>7</xdr:col>
      <xdr:colOff>504825</xdr:colOff>
      <xdr:row>67</xdr:row>
      <xdr:rowOff>66675</xdr:rowOff>
    </xdr:to>
    <xdr:graphicFrame macro="">
      <xdr:nvGraphicFramePr>
        <xdr:cNvPr id="308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0</xdr:row>
      <xdr:rowOff>209550</xdr:rowOff>
    </xdr:from>
    <xdr:to>
      <xdr:col>15</xdr:col>
      <xdr:colOff>361950</xdr:colOff>
      <xdr:row>27</xdr:row>
      <xdr:rowOff>9525</xdr:rowOff>
    </xdr:to>
    <xdr:graphicFrame macro="">
      <xdr:nvGraphicFramePr>
        <xdr:cNvPr id="410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410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0</xdr:row>
      <xdr:rowOff>209550</xdr:rowOff>
    </xdr:from>
    <xdr:to>
      <xdr:col>15</xdr:col>
      <xdr:colOff>361950</xdr:colOff>
      <xdr:row>27</xdr:row>
      <xdr:rowOff>9525</xdr:rowOff>
    </xdr:to>
    <xdr:graphicFrame macro="">
      <xdr:nvGraphicFramePr>
        <xdr:cNvPr id="513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513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0</xdr:row>
      <xdr:rowOff>209550</xdr:rowOff>
    </xdr:from>
    <xdr:to>
      <xdr:col>15</xdr:col>
      <xdr:colOff>361950</xdr:colOff>
      <xdr:row>27</xdr:row>
      <xdr:rowOff>9525</xdr:rowOff>
    </xdr:to>
    <xdr:graphicFrame macro="">
      <xdr:nvGraphicFramePr>
        <xdr:cNvPr id="163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1639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vk1od.net/blog/?p=806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vk1od.net/blog/?p=806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://vk1od.net/blog/?p=806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://vk1od.net/blog/?p=806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://vk1od.net/blog/?p=806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://vk1od.net/blog/?p=806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://vk1od.net/blog/?p=80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35"/>
  <sheetViews>
    <sheetView workbookViewId="0">
      <selection activeCell="C33" sqref="C3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28</v>
      </c>
    </row>
    <row r="3" spans="1:2" x14ac:dyDescent="0.2">
      <c r="A3" s="8" t="s">
        <v>30</v>
      </c>
    </row>
    <row r="4" spans="1:2" x14ac:dyDescent="0.2">
      <c r="A4" s="12" t="s">
        <v>29</v>
      </c>
    </row>
    <row r="6" spans="1:2" x14ac:dyDescent="0.2">
      <c r="A6" s="8" t="s">
        <v>18</v>
      </c>
    </row>
    <row r="7" spans="1:2" x14ac:dyDescent="0.2">
      <c r="A7" t="s">
        <v>3</v>
      </c>
      <c r="B7" s="3">
        <v>140</v>
      </c>
    </row>
    <row r="8" spans="1:2" x14ac:dyDescent="0.2">
      <c r="A8" t="s">
        <v>7</v>
      </c>
      <c r="B8" s="3">
        <v>12</v>
      </c>
    </row>
    <row r="9" spans="1:2" x14ac:dyDescent="0.2">
      <c r="A9" t="s">
        <v>10</v>
      </c>
      <c r="B9" s="3">
        <v>1.3</v>
      </c>
    </row>
    <row r="11" spans="1:2" x14ac:dyDescent="0.2">
      <c r="A11" s="8" t="s">
        <v>19</v>
      </c>
    </row>
    <row r="12" spans="1:2" x14ac:dyDescent="0.2">
      <c r="A12" t="s">
        <v>20</v>
      </c>
      <c r="B12" t="str">
        <f>Mix!B1</f>
        <v>#61</v>
      </c>
    </row>
    <row r="13" spans="1:2" x14ac:dyDescent="0.2">
      <c r="A13" t="s">
        <v>31</v>
      </c>
      <c r="B13">
        <f>Mix!B2</f>
        <v>125</v>
      </c>
    </row>
    <row r="15" spans="1:2" x14ac:dyDescent="0.2">
      <c r="A15" s="8" t="s">
        <v>22</v>
      </c>
    </row>
    <row r="16" spans="1:2" x14ac:dyDescent="0.2">
      <c r="A16" s="2" t="s">
        <v>11</v>
      </c>
      <c r="B16" s="4">
        <f>2*PI()*$B$8^2*$B$7*0.000000001</f>
        <v>1.2666901579274048E-4</v>
      </c>
    </row>
    <row r="18" spans="1:31" x14ac:dyDescent="0.2">
      <c r="A18" t="s">
        <v>4</v>
      </c>
      <c r="B18" s="10">
        <v>1</v>
      </c>
      <c r="C18" s="10">
        <f>B18+1</f>
        <v>2</v>
      </c>
      <c r="D18" s="10">
        <f t="shared" ref="D18:AE18" si="0">C18+1</f>
        <v>3</v>
      </c>
      <c r="E18" s="10">
        <f t="shared" si="0"/>
        <v>4</v>
      </c>
      <c r="F18" s="10">
        <f t="shared" si="0"/>
        <v>5</v>
      </c>
      <c r="G18" s="10">
        <f t="shared" si="0"/>
        <v>6</v>
      </c>
      <c r="H18" s="10">
        <f t="shared" si="0"/>
        <v>7</v>
      </c>
      <c r="I18" s="10">
        <f t="shared" si="0"/>
        <v>8</v>
      </c>
      <c r="J18" s="10">
        <f t="shared" si="0"/>
        <v>9</v>
      </c>
      <c r="K18" s="10">
        <f t="shared" si="0"/>
        <v>10</v>
      </c>
      <c r="L18" s="10">
        <f t="shared" si="0"/>
        <v>11</v>
      </c>
      <c r="M18" s="10">
        <f t="shared" si="0"/>
        <v>12</v>
      </c>
      <c r="N18" s="10">
        <f t="shared" si="0"/>
        <v>13</v>
      </c>
      <c r="O18" s="10">
        <f t="shared" si="0"/>
        <v>14</v>
      </c>
      <c r="P18" s="10">
        <f t="shared" si="0"/>
        <v>15</v>
      </c>
      <c r="Q18" s="10">
        <f t="shared" si="0"/>
        <v>16</v>
      </c>
      <c r="R18" s="10">
        <f t="shared" si="0"/>
        <v>17</v>
      </c>
      <c r="S18" s="10">
        <f t="shared" si="0"/>
        <v>18</v>
      </c>
      <c r="T18" s="10">
        <f t="shared" si="0"/>
        <v>19</v>
      </c>
      <c r="U18" s="10">
        <f t="shared" si="0"/>
        <v>20</v>
      </c>
      <c r="V18" s="10">
        <f t="shared" si="0"/>
        <v>21</v>
      </c>
      <c r="W18" s="10">
        <f t="shared" si="0"/>
        <v>22</v>
      </c>
      <c r="X18" s="10">
        <f t="shared" si="0"/>
        <v>23</v>
      </c>
      <c r="Y18" s="10">
        <f t="shared" si="0"/>
        <v>24</v>
      </c>
      <c r="Z18" s="10">
        <f t="shared" si="0"/>
        <v>25</v>
      </c>
      <c r="AA18" s="10">
        <f t="shared" si="0"/>
        <v>26</v>
      </c>
      <c r="AB18" s="10">
        <f t="shared" si="0"/>
        <v>27</v>
      </c>
      <c r="AC18" s="10">
        <f t="shared" si="0"/>
        <v>28</v>
      </c>
      <c r="AD18" s="10">
        <f t="shared" si="0"/>
        <v>29</v>
      </c>
      <c r="AE18" s="10">
        <f t="shared" si="0"/>
        <v>30</v>
      </c>
    </row>
    <row r="19" spans="1:31" x14ac:dyDescent="0.2">
      <c r="A19" t="s">
        <v>6</v>
      </c>
      <c r="B19" s="7">
        <f>csinterpolate(CSTableU2,'FT140-61 12t'!B18*1000000)</f>
        <v>0.1305305218990753</v>
      </c>
      <c r="C19" s="7">
        <f>csinterpolate(CSTableU2,'FT140-61 12t'!C18*1000000)</f>
        <v>0.29216417496419567</v>
      </c>
      <c r="D19" s="7">
        <f>csinterpolate(CSTableU2,'FT140-61 12t'!D18*1000000)</f>
        <v>0.46795642566441231</v>
      </c>
      <c r="E19" s="7">
        <f>csinterpolate(CSTableU2,'FT140-61 12t'!E18*1000000)</f>
        <v>0.65587769819791408</v>
      </c>
      <c r="F19" s="7">
        <f>csinterpolate(CSTableU2,'FT140-61 12t'!F18*1000000)</f>
        <v>0.84813909731256343</v>
      </c>
      <c r="G19" s="7">
        <f>csinterpolate(CSTableU2,'FT140-61 12t'!G18*1000000)</f>
        <v>1.0507459671455464</v>
      </c>
      <c r="H19" s="7">
        <f>csinterpolate(CSTableU2,'FT140-61 12t'!H18*1000000)</f>
        <v>1.1655675876755502</v>
      </c>
      <c r="I19" s="7">
        <f>csinterpolate(CSTableU2,'FT140-61 12t'!I18*1000000)</f>
        <v>1.4331390403662139</v>
      </c>
      <c r="J19" s="7">
        <f>csinterpolate(CSTableU2,'FT140-61 12t'!J18*1000000)</f>
        <v>1.6580544204904037</v>
      </c>
      <c r="K19" s="7">
        <f>csinterpolate(CSTableU2,'FT140-61 12t'!K18*1000000)</f>
        <v>2.0288590128736232</v>
      </c>
      <c r="L19" s="7">
        <f>csinterpolate(CSTableU2,'FT140-61 12t'!L18*1000000)</f>
        <v>2.5971245875922397</v>
      </c>
      <c r="M19" s="7">
        <f>csinterpolate(CSTableU2,'FT140-61 12t'!M18*1000000)</f>
        <v>3.3621404669626322</v>
      </c>
      <c r="N19" s="7">
        <f>csinterpolate(CSTableU2,'FT140-61 12t'!N18*1000000)</f>
        <v>4.2912951630089635</v>
      </c>
      <c r="O19" s="7">
        <f>csinterpolate(CSTableU2,'FT140-61 12t'!O18*1000000)</f>
        <v>5.8615275999244441</v>
      </c>
      <c r="P19" s="7">
        <f>csinterpolate(CSTableU2,'FT140-61 12t'!P18*1000000)</f>
        <v>7.541506712481894</v>
      </c>
      <c r="Q19" s="7">
        <f>csinterpolate(CSTableU2,'FT140-61 12t'!Q18*1000000)</f>
        <v>10.440076981485154</v>
      </c>
      <c r="R19" s="7">
        <f>csinterpolate(CSTableU2,'FT140-61 12t'!R18*1000000)</f>
        <v>14.356331687547252</v>
      </c>
      <c r="S19" s="7">
        <f>csinterpolate(CSTableU2,'FT140-61 12t'!S18*1000000)</f>
        <v>19.475152489651389</v>
      </c>
      <c r="T19" s="7">
        <f>csinterpolate(CSTableU2,'FT140-61 12t'!T18*1000000)</f>
        <v>26.093784816973535</v>
      </c>
      <c r="U19" s="7">
        <f>csinterpolate(CSTableU2,'FT140-61 12t'!U18*1000000)</f>
        <v>32.812983366032299</v>
      </c>
      <c r="V19" s="7">
        <f>csinterpolate(CSTableU2,'FT140-61 12t'!V18*1000000)</f>
        <v>40.121145117251913</v>
      </c>
      <c r="W19" s="7">
        <f>csinterpolate(CSTableU2,'FT140-61 12t'!W18*1000000)</f>
        <v>47.741408708970091</v>
      </c>
      <c r="X19" s="7">
        <f>csinterpolate(CSTableU2,'FT140-61 12t'!X18*1000000)</f>
        <v>54.92355589129653</v>
      </c>
      <c r="Y19" s="7">
        <f>csinterpolate(CSTableU2,'FT140-61 12t'!Y18*1000000)</f>
        <v>59.636390218978171</v>
      </c>
      <c r="Z19" s="7">
        <f>csinterpolate(CSTableU2,'FT140-61 12t'!Z18*1000000)</f>
        <v>65.439350827392232</v>
      </c>
      <c r="AA19" s="7">
        <f>csinterpolate(CSTableU2,'FT140-61 12t'!AA18*1000000)</f>
        <v>70.197937862249233</v>
      </c>
      <c r="AB19" s="7">
        <f>csinterpolate(CSTableU2,'FT140-61 12t'!AB18*1000000)</f>
        <v>72.74127086191011</v>
      </c>
      <c r="AC19" s="7">
        <f>csinterpolate(CSTableU2,'FT140-61 12t'!AC18*1000000)</f>
        <v>75.418789121876827</v>
      </c>
      <c r="AD19" s="7">
        <f>csinterpolate(CSTableU2,'FT140-61 12t'!AD18*1000000)</f>
        <v>77.47967253407711</v>
      </c>
      <c r="AE19" s="7">
        <f>csinterpolate(CSTableU2,'FT140-61 12t'!AE18*1000000)</f>
        <v>78.324281436852331</v>
      </c>
    </row>
    <row r="20" spans="1:31" x14ac:dyDescent="0.2">
      <c r="A20" t="s">
        <v>5</v>
      </c>
      <c r="B20" s="7">
        <f>csinterpolate(CSTableU1,'FT140-61 12t'!B18*1000000)</f>
        <v>120.33811266602297</v>
      </c>
      <c r="C20" s="7">
        <f>csinterpolate(CSTableU1,'FT140-61 12t'!C18*1000000)</f>
        <v>120.33926483497109</v>
      </c>
      <c r="D20" s="7">
        <f>csinterpolate(CSTableU1,'FT140-61 12t'!D18*1000000)</f>
        <v>120.33143081052972</v>
      </c>
      <c r="E20" s="7">
        <f>csinterpolate(CSTableU1,'FT140-61 12t'!E18*1000000)</f>
        <v>120.83191224512163</v>
      </c>
      <c r="F20" s="7">
        <f>csinterpolate(CSTableU1,'FT140-61 12t'!F18*1000000)</f>
        <v>121.64967363558205</v>
      </c>
      <c r="G20" s="7">
        <f>csinterpolate(CSTableU1,'FT140-61 12t'!G18*1000000)</f>
        <v>122.43529012762203</v>
      </c>
      <c r="H20" s="7">
        <f>csinterpolate(CSTableU1,'FT140-61 12t'!H18*1000000)</f>
        <v>123.3352582402844</v>
      </c>
      <c r="I20" s="7">
        <f>csinterpolate(CSTableU1,'FT140-61 12t'!I18*1000000)</f>
        <v>124.53068774300374</v>
      </c>
      <c r="J20" s="7">
        <f>csinterpolate(CSTableU1,'FT140-61 12t'!J18*1000000)</f>
        <v>125.8779040842777</v>
      </c>
      <c r="K20" s="7">
        <f>csinterpolate(CSTableU1,'FT140-61 12t'!K18*1000000)</f>
        <v>127.23357190462848</v>
      </c>
      <c r="L20" s="7">
        <f>csinterpolate(CSTableU1,'FT140-61 12t'!L18*1000000)</f>
        <v>128.72762986207428</v>
      </c>
      <c r="M20" s="7">
        <f>csinterpolate(CSTableU1,'FT140-61 12t'!M18*1000000)</f>
        <v>130.58691735598651</v>
      </c>
      <c r="N20" s="7">
        <f>csinterpolate(CSTableU1,'FT140-61 12t'!N18*1000000)</f>
        <v>133.03440666309157</v>
      </c>
      <c r="O20" s="7">
        <f>csinterpolate(CSTableU1,'FT140-61 12t'!O18*1000000)</f>
        <v>136.12336259869176</v>
      </c>
      <c r="P20" s="7">
        <f>csinterpolate(CSTableU1,'FT140-61 12t'!P18*1000000)</f>
        <v>139.67793935478795</v>
      </c>
      <c r="Q20" s="7">
        <f>csinterpolate(CSTableU1,'FT140-61 12t'!Q18*1000000)</f>
        <v>143.50601061257916</v>
      </c>
      <c r="R20" s="7">
        <f>csinterpolate(CSTableU1,'FT140-61 12t'!R18*1000000)</f>
        <v>147.31593290901336</v>
      </c>
      <c r="S20" s="7">
        <f>csinterpolate(CSTableU1,'FT140-61 12t'!S18*1000000)</f>
        <v>150.5136760966235</v>
      </c>
      <c r="T20" s="7">
        <f>csinterpolate(CSTableU1,'FT140-61 12t'!T18*1000000)</f>
        <v>152.48288732711956</v>
      </c>
      <c r="U20" s="7">
        <f>csinterpolate(CSTableU1,'FT140-61 12t'!U18*1000000)</f>
        <v>153.39557417739775</v>
      </c>
      <c r="V20" s="7">
        <f>csinterpolate(CSTableU1,'FT140-61 12t'!V18*1000000)</f>
        <v>153.80507483449514</v>
      </c>
      <c r="W20" s="7">
        <f>csinterpolate(CSTableU1,'FT140-61 12t'!W18*1000000)</f>
        <v>152.45141077347637</v>
      </c>
      <c r="X20" s="7">
        <f>csinterpolate(CSTableU1,'FT140-61 12t'!X18*1000000)</f>
        <v>149.01810626281133</v>
      </c>
      <c r="Y20" s="7">
        <f>csinterpolate(CSTableU1,'FT140-61 12t'!Y18*1000000)</f>
        <v>144.70647869465122</v>
      </c>
      <c r="Z20" s="7">
        <f>csinterpolate(CSTableU1,'FT140-61 12t'!Z18*1000000)</f>
        <v>140.25969798892274</v>
      </c>
      <c r="AA20" s="7">
        <f>csinterpolate(CSTableU1,'FT140-61 12t'!AA18*1000000)</f>
        <v>135.75204916835645</v>
      </c>
      <c r="AB20" s="7">
        <f>csinterpolate(CSTableU1,'FT140-61 12t'!AB18*1000000)</f>
        <v>131.21515882395235</v>
      </c>
      <c r="AC20" s="7">
        <f>csinterpolate(CSTableU1,'FT140-61 12t'!AC18*1000000)</f>
        <v>126.69399171567839</v>
      </c>
      <c r="AD20" s="7">
        <f>csinterpolate(CSTableU1,'FT140-61 12t'!AD18*1000000)</f>
        <v>122.24641410480092</v>
      </c>
      <c r="AE20" s="7">
        <f>csinterpolate(CSTableU1,'FT140-61 12t'!AE18*1000000)</f>
        <v>117.93080634469251</v>
      </c>
    </row>
    <row r="21" spans="1:31" x14ac:dyDescent="0.2">
      <c r="A21" t="s">
        <v>12</v>
      </c>
      <c r="B21" s="5">
        <f t="shared" ref="B21:AE21" si="1">B19/$B$13*$B$16*B18*1000000</f>
        <v>0.132273381918949</v>
      </c>
      <c r="C21" s="5">
        <f t="shared" si="1"/>
        <v>0.59213037588180306</v>
      </c>
      <c r="D21" s="5">
        <f t="shared" si="1"/>
        <v>1.4226139169471956</v>
      </c>
      <c r="E21" s="5">
        <f t="shared" si="1"/>
        <v>2.6585402403564116</v>
      </c>
      <c r="F21" s="5">
        <f t="shared" si="1"/>
        <v>4.2973177884770308</v>
      </c>
      <c r="G21" s="5">
        <f t="shared" si="1"/>
        <v>6.3886539603128449</v>
      </c>
      <c r="H21" s="5">
        <f t="shared" si="1"/>
        <v>8.2679127535637189</v>
      </c>
      <c r="I21" s="5">
        <f t="shared" si="1"/>
        <v>11.618195951189815</v>
      </c>
      <c r="J21" s="5">
        <f t="shared" si="1"/>
        <v>15.121736753351191</v>
      </c>
      <c r="K21" s="5">
        <f t="shared" si="1"/>
        <v>20.559485947434627</v>
      </c>
      <c r="L21" s="5">
        <f t="shared" si="1"/>
        <v>28.949818955326368</v>
      </c>
      <c r="M21" s="5">
        <f t="shared" si="1"/>
        <v>40.884386295081747</v>
      </c>
      <c r="N21" s="5">
        <f t="shared" si="1"/>
        <v>56.531710016547294</v>
      </c>
      <c r="O21" s="5">
        <f t="shared" si="1"/>
        <v>83.157080397934322</v>
      </c>
      <c r="P21" s="5">
        <f t="shared" si="1"/>
        <v>114.63302794373128</v>
      </c>
      <c r="Q21" s="5">
        <f t="shared" si="1"/>
        <v>169.27158733378164</v>
      </c>
      <c r="R21" s="5">
        <f t="shared" si="1"/>
        <v>247.3163271147811</v>
      </c>
      <c r="S21" s="5">
        <f t="shared" si="1"/>
        <v>355.23336935198603</v>
      </c>
      <c r="T21" s="5">
        <f t="shared" si="1"/>
        <v>502.4016542431861</v>
      </c>
      <c r="U21" s="5">
        <f t="shared" si="1"/>
        <v>665.02212931182009</v>
      </c>
      <c r="V21" s="5">
        <f t="shared" si="1"/>
        <v>853.79380203264259</v>
      </c>
      <c r="W21" s="5">
        <f t="shared" si="1"/>
        <v>1064.3348766554609</v>
      </c>
      <c r="X21" s="5">
        <f t="shared" si="1"/>
        <v>1280.1087494202111</v>
      </c>
      <c r="Y21" s="5">
        <f t="shared" si="1"/>
        <v>1450.3839080581977</v>
      </c>
      <c r="Z21" s="5">
        <f t="shared" si="1"/>
        <v>1657.8276326843263</v>
      </c>
      <c r="AA21" s="5">
        <f t="shared" si="1"/>
        <v>1849.5159695357411</v>
      </c>
      <c r="AB21" s="5">
        <f t="shared" si="1"/>
        <v>1990.2380805197215</v>
      </c>
      <c r="AC21" s="5">
        <f t="shared" si="1"/>
        <v>2139.9221290380369</v>
      </c>
      <c r="AD21" s="5">
        <f t="shared" si="1"/>
        <v>2276.911536409807</v>
      </c>
      <c r="AE21" s="5">
        <f t="shared" si="1"/>
        <v>2381.1023141471269</v>
      </c>
    </row>
    <row r="22" spans="1:31" x14ac:dyDescent="0.2">
      <c r="A22" t="s">
        <v>13</v>
      </c>
      <c r="B22" s="5">
        <f t="shared" ref="B22:AE22" si="2">B20/$B$13*$B$16*B18*1000000</f>
        <v>121.94488235008838</v>
      </c>
      <c r="C22" s="5">
        <f t="shared" si="2"/>
        <v>243.89209980588373</v>
      </c>
      <c r="D22" s="5">
        <f t="shared" si="2"/>
        <v>365.81433383284917</v>
      </c>
      <c r="E22" s="5">
        <f t="shared" si="2"/>
        <v>489.78110081421897</v>
      </c>
      <c r="F22" s="5">
        <f t="shared" si="2"/>
        <v>616.36977723709072</v>
      </c>
      <c r="G22" s="5">
        <f t="shared" si="2"/>
        <v>744.42036954069681</v>
      </c>
      <c r="H22" s="5">
        <f t="shared" si="2"/>
        <v>874.8743233350574</v>
      </c>
      <c r="I22" s="5">
        <f t="shared" si="2"/>
        <v>1009.5474977535599</v>
      </c>
      <c r="J22" s="5">
        <f t="shared" si="2"/>
        <v>1148.0277758694081</v>
      </c>
      <c r="K22" s="5">
        <f t="shared" si="2"/>
        <v>1289.3241063163332</v>
      </c>
      <c r="L22" s="5">
        <f t="shared" si="2"/>
        <v>1434.9105918365804</v>
      </c>
      <c r="M22" s="5">
        <f t="shared" si="2"/>
        <v>1587.9663645015121</v>
      </c>
      <c r="N22" s="5">
        <f t="shared" si="2"/>
        <v>1752.5390852928406</v>
      </c>
      <c r="O22" s="5">
        <f t="shared" si="2"/>
        <v>1931.1725850787579</v>
      </c>
      <c r="P22" s="5">
        <f t="shared" si="2"/>
        <v>2123.1440527234895</v>
      </c>
      <c r="Q22" s="5">
        <f t="shared" si="2"/>
        <v>2326.7539359536604</v>
      </c>
      <c r="R22" s="5">
        <f t="shared" si="2"/>
        <v>2537.8095355756786</v>
      </c>
      <c r="S22" s="5">
        <f t="shared" si="2"/>
        <v>2745.420366888954</v>
      </c>
      <c r="T22" s="5">
        <f t="shared" si="2"/>
        <v>2935.8583039701593</v>
      </c>
      <c r="U22" s="5">
        <f t="shared" si="2"/>
        <v>3108.8746252821256</v>
      </c>
      <c r="V22" s="5">
        <f t="shared" si="2"/>
        <v>3273.0326921400019</v>
      </c>
      <c r="W22" s="5">
        <f t="shared" si="2"/>
        <v>3398.7131479648237</v>
      </c>
      <c r="X22" s="5">
        <f t="shared" si="2"/>
        <v>3473.1797414319321</v>
      </c>
      <c r="Y22" s="5">
        <f t="shared" si="2"/>
        <v>3519.3268291362506</v>
      </c>
      <c r="Z22" s="5">
        <f t="shared" si="2"/>
        <v>3553.311579928773</v>
      </c>
      <c r="AA22" s="5">
        <f t="shared" si="2"/>
        <v>3576.6803196807127</v>
      </c>
      <c r="AB22" s="5">
        <f t="shared" si="2"/>
        <v>3590.1133254687247</v>
      </c>
      <c r="AC22" s="5">
        <f t="shared" si="2"/>
        <v>3594.7975251952057</v>
      </c>
      <c r="AD22" s="5">
        <f t="shared" si="2"/>
        <v>3592.4812464524853</v>
      </c>
      <c r="AE22" s="5">
        <f t="shared" si="2"/>
        <v>3585.1630011183538</v>
      </c>
    </row>
    <row r="23" spans="1:31" x14ac:dyDescent="0.2">
      <c r="A23" t="s">
        <v>14</v>
      </c>
      <c r="B23" s="5" t="str">
        <f t="shared" ref="B23:AE23" si="3">IMDIV(1,COMPLEX(B21,B22))</f>
        <v>8.89497616179298E-06-0.00820041648456024i</v>
      </c>
      <c r="C23" s="5" t="str">
        <f t="shared" si="3"/>
        <v>9.95449688801687E-06-0.00410014964173059i</v>
      </c>
      <c r="D23" s="5" t="str">
        <f t="shared" si="3"/>
        <v>0.0000106306311014037-0.00273358582272823i</v>
      </c>
      <c r="E23" s="5" t="str">
        <f t="shared" si="3"/>
        <v>0.0000110822105423152-0.00204166827963545i</v>
      </c>
      <c r="F23" s="5" t="str">
        <f t="shared" si="3"/>
        <v>0.0000113108095552655-0.00162232385620727i</v>
      </c>
      <c r="G23" s="5" t="str">
        <f t="shared" si="3"/>
        <v>0.0000115276526958587-0.00134322809360107i</v>
      </c>
      <c r="H23" s="5" t="str">
        <f t="shared" si="3"/>
        <v>0.0000108010445841611-0.00114291924135347i</v>
      </c>
      <c r="I23" s="5" t="str">
        <f t="shared" si="3"/>
        <v>0.0000113979741795819-0.000990411623353468i</v>
      </c>
      <c r="J23" s="5" t="str">
        <f t="shared" si="3"/>
        <v>0.0000114715351081103-0.000870907961881638i</v>
      </c>
      <c r="K23" s="5" t="str">
        <f t="shared" si="3"/>
        <v>0.000012364530523356-0.000775403008995765i</v>
      </c>
      <c r="L23" s="5" t="str">
        <f t="shared" si="3"/>
        <v>0.0000140546303622456-0.000696623975516219i</v>
      </c>
      <c r="M23" s="5" t="str">
        <f t="shared" si="3"/>
        <v>0.0000162026890202537-0.000629319099788859i</v>
      </c>
      <c r="N23" s="5" t="str">
        <f t="shared" si="3"/>
        <v>0.0000183867530101813-0.000570007581453604i</v>
      </c>
      <c r="O23" s="5" t="str">
        <f t="shared" si="3"/>
        <v>0.0000222562778932243-0.000516861745357247i</v>
      </c>
      <c r="P23" s="5" t="str">
        <f t="shared" si="3"/>
        <v>0.0000253563448824531-0.000469630557629618i</v>
      </c>
      <c r="Q23" s="5" t="str">
        <f t="shared" si="3"/>
        <v>0.0000311021689636585-0.000427520620517308i</v>
      </c>
      <c r="R23" s="5" t="str">
        <f t="shared" si="3"/>
        <v>0.0000380390529222541-0.000390333595669005i</v>
      </c>
      <c r="S23" s="5" t="str">
        <f t="shared" si="3"/>
        <v>0.0000463537899162106-0.000358245170352673i</v>
      </c>
      <c r="T23" s="5" t="str">
        <f t="shared" si="3"/>
        <v>0.0000566298763120648-0.00033092505014544i</v>
      </c>
      <c r="U23" s="5" t="str">
        <f t="shared" si="3"/>
        <v>0.000065795855808767-0.000307585353263765i</v>
      </c>
      <c r="V23" s="5" t="str">
        <f t="shared" si="3"/>
        <v>0.0000746211917910671-0.000286061575613632i</v>
      </c>
      <c r="W23" s="5" t="str">
        <f t="shared" si="3"/>
        <v>0.0000839112156615933-0.000267951523703652i</v>
      </c>
      <c r="X23" s="5" t="str">
        <f t="shared" si="3"/>
        <v>0.0000934273022380997-0.000253486130437726i</v>
      </c>
      <c r="Y23" s="5" t="str">
        <f t="shared" si="3"/>
        <v>0.000100100517587937-0.000242891854494786i</v>
      </c>
      <c r="Z23" s="5" t="str">
        <f t="shared" si="3"/>
        <v>0.000107830285787709-0.000231118480354979i</v>
      </c>
      <c r="AA23" s="5" t="str">
        <f t="shared" si="3"/>
        <v>0.000114073637238686-0.000220600924796784i</v>
      </c>
      <c r="AB23" s="5" t="str">
        <f t="shared" si="3"/>
        <v>0.000118115290846964-0.000213063594633143i</v>
      </c>
      <c r="AC23" s="5" t="str">
        <f t="shared" si="3"/>
        <v>0.00012226843705179-0.000205395452927459i</v>
      </c>
      <c r="AD23" s="5" t="str">
        <f t="shared" si="3"/>
        <v>0.000125864033504016-0.000198586626109774i</v>
      </c>
      <c r="AE23" s="5" t="str">
        <f t="shared" si="3"/>
        <v>0.000128548124943929-0.000193551523877792i</v>
      </c>
    </row>
    <row r="24" spans="1:31" x14ac:dyDescent="0.2">
      <c r="A24" t="s">
        <v>15</v>
      </c>
      <c r="B24" s="6" t="str">
        <f t="shared" ref="B24:AE24" si="4">COMPLEX(0,2*PI()*B18*1000000*$B$9*0.000000000001)</f>
        <v>8.16814089933346E-06i</v>
      </c>
      <c r="C24" s="6" t="str">
        <f t="shared" si="4"/>
        <v>0.0000163362817986669i</v>
      </c>
      <c r="D24" s="6" t="str">
        <f t="shared" si="4"/>
        <v>0.0000245044226980004i</v>
      </c>
      <c r="E24" s="6" t="str">
        <f t="shared" si="4"/>
        <v>0.0000326725635973338i</v>
      </c>
      <c r="F24" s="6" t="str">
        <f t="shared" si="4"/>
        <v>0.0000408407044966673i</v>
      </c>
      <c r="G24" s="6" t="str">
        <f t="shared" si="4"/>
        <v>0.0000490088453960008i</v>
      </c>
      <c r="H24" s="6" t="str">
        <f t="shared" si="4"/>
        <v>0.0000571769862953342i</v>
      </c>
      <c r="I24" s="6" t="str">
        <f t="shared" si="4"/>
        <v>0.0000653451271946677i</v>
      </c>
      <c r="J24" s="6" t="str">
        <f t="shared" si="4"/>
        <v>0.0000735132680940012i</v>
      </c>
      <c r="K24" s="6" t="str">
        <f t="shared" si="4"/>
        <v>0.0000816814089933346i</v>
      </c>
      <c r="L24" s="6" t="str">
        <f t="shared" si="4"/>
        <v>0.0000898495498926681i</v>
      </c>
      <c r="M24" s="6" t="str">
        <f t="shared" si="4"/>
        <v>0.0000980176907920015i</v>
      </c>
      <c r="N24" s="6" t="str">
        <f t="shared" si="4"/>
        <v>0.000106185831691335i</v>
      </c>
      <c r="O24" s="6" t="str">
        <f t="shared" si="4"/>
        <v>0.000114353972590668i</v>
      </c>
      <c r="P24" s="6" t="str">
        <f t="shared" si="4"/>
        <v>0.000122522113490002i</v>
      </c>
      <c r="Q24" s="6" t="str">
        <f t="shared" si="4"/>
        <v>0.000130690254389335i</v>
      </c>
      <c r="R24" s="6" t="str">
        <f t="shared" si="4"/>
        <v>0.000138858395288669i</v>
      </c>
      <c r="S24" s="6" t="str">
        <f t="shared" si="4"/>
        <v>0.000147026536188002i</v>
      </c>
      <c r="T24" s="6" t="str">
        <f t="shared" si="4"/>
        <v>0.000155194677087336i</v>
      </c>
      <c r="U24" s="6" t="str">
        <f t="shared" si="4"/>
        <v>0.000163362817986669i</v>
      </c>
      <c r="V24" s="6" t="str">
        <f t="shared" si="4"/>
        <v>0.000171530958886003i</v>
      </c>
      <c r="W24" s="6" t="str">
        <f t="shared" si="4"/>
        <v>0.000179699099785336i</v>
      </c>
      <c r="X24" s="6" t="str">
        <f t="shared" si="4"/>
        <v>0.00018786724068467i</v>
      </c>
      <c r="Y24" s="6" t="str">
        <f t="shared" si="4"/>
        <v>0.000196035381584003i</v>
      </c>
      <c r="Z24" s="6" t="str">
        <f t="shared" si="4"/>
        <v>0.000204203522483337i</v>
      </c>
      <c r="AA24" s="6" t="str">
        <f t="shared" si="4"/>
        <v>0.00021237166338267i</v>
      </c>
      <c r="AB24" s="6" t="str">
        <f t="shared" si="4"/>
        <v>0.000220539804282003i</v>
      </c>
      <c r="AC24" s="6" t="str">
        <f t="shared" si="4"/>
        <v>0.000228707945181337i</v>
      </c>
      <c r="AD24" s="6" t="str">
        <f t="shared" si="4"/>
        <v>0.00023687608608067i</v>
      </c>
      <c r="AE24" s="6" t="str">
        <f t="shared" si="4"/>
        <v>0.000245044226980004i</v>
      </c>
    </row>
    <row r="25" spans="1:31" x14ac:dyDescent="0.2">
      <c r="A25" t="s">
        <v>16</v>
      </c>
      <c r="B25" s="6" t="str">
        <f t="shared" ref="B25:AE25" si="5">IMDIV(1,IMSUM(B23,B24))</f>
        <v>0.132537281382233+122.066468096982i</v>
      </c>
      <c r="C25" s="6" t="str">
        <f t="shared" si="5"/>
        <v>0.596877164176749+244.867718049876i</v>
      </c>
      <c r="D25" s="6" t="str">
        <f t="shared" si="5"/>
        <v>1.44846581968324+369.123128556805i</v>
      </c>
      <c r="E25" s="6" t="str">
        <f t="shared" si="5"/>
        <v>2.74571312822557+497.745994899897i</v>
      </c>
      <c r="F25" s="6" t="str">
        <f t="shared" si="5"/>
        <v>4.52212264534125+632.285491028081i</v>
      </c>
      <c r="G25" s="6" t="str">
        <f t="shared" si="5"/>
        <v>6.8816205327739+772.605315873092i</v>
      </c>
      <c r="H25" s="6" t="str">
        <f t="shared" si="5"/>
        <v>9.16155727695939+920.937764882189i</v>
      </c>
      <c r="I25" s="6" t="str">
        <f t="shared" si="5"/>
        <v>13.3172894152496+1080.83928456043i</v>
      </c>
      <c r="J25" s="6" t="str">
        <f t="shared" si="5"/>
        <v>18.0378587413863+1253.82459384215i</v>
      </c>
      <c r="K25" s="6" t="str">
        <f t="shared" si="5"/>
        <v>25.6843898772999+1441.04266693424i</v>
      </c>
      <c r="L25" s="6" t="str">
        <f t="shared" si="5"/>
        <v>38.1532860066101+1647.17517327955i</v>
      </c>
      <c r="M25" s="6" t="str">
        <f t="shared" si="5"/>
        <v>57.3457776559381+1880.42197381774i</v>
      </c>
      <c r="N25" s="6" t="str">
        <f t="shared" si="5"/>
        <v>85.3337585171745+2152.6178747988i</v>
      </c>
      <c r="O25" s="6" t="str">
        <f t="shared" si="5"/>
        <v>136.955094933978+2476.85127294773i</v>
      </c>
      <c r="P25" s="6" t="str">
        <f t="shared" si="5"/>
        <v>209.336478406682+2865.65195647315i</v>
      </c>
      <c r="Q25" s="6" t="str">
        <f t="shared" si="5"/>
        <v>349.165933920246+3332.34161662695i</v>
      </c>
      <c r="R25" s="6" t="str">
        <f t="shared" si="5"/>
        <v>588.05018495702+3887.58464617939i</v>
      </c>
      <c r="S25" s="6" t="str">
        <f t="shared" si="5"/>
        <v>991.270786740069+4516.88765990965i</v>
      </c>
      <c r="T25" s="6" t="str">
        <f t="shared" si="5"/>
        <v>1661.27959137751+5155.18135229245i</v>
      </c>
      <c r="U25" s="6" t="str">
        <f t="shared" si="5"/>
        <v>2618.29926698563+5739.23317444735i</v>
      </c>
      <c r="V25" s="6" t="str">
        <f t="shared" si="5"/>
        <v>3993.51660962531+6129.35694585315i</v>
      </c>
      <c r="W25" s="6" t="str">
        <f t="shared" si="5"/>
        <v>5658.36671355649+5951.1064635742i</v>
      </c>
      <c r="X25" s="6" t="str">
        <f t="shared" si="5"/>
        <v>7167.69387788111+5034.24698229734i</v>
      </c>
      <c r="Y25" s="6" t="str">
        <f t="shared" si="5"/>
        <v>8194.4536403886+3835.77632035947i</v>
      </c>
      <c r="Z25" s="6" t="str">
        <f t="shared" si="5"/>
        <v>8729.93510715238+2179.03378364186i</v>
      </c>
      <c r="AA25" s="6" t="str">
        <f t="shared" si="5"/>
        <v>8720.88241628688+629.123633668416i</v>
      </c>
      <c r="AB25" s="6" t="str">
        <f t="shared" si="5"/>
        <v>8432.52057460966-533.743694250298i</v>
      </c>
      <c r="AC25" s="6" t="str">
        <f t="shared" si="5"/>
        <v>7891.82842245791-1504.70712968675i</v>
      </c>
      <c r="AD25" s="6" t="str">
        <f t="shared" si="5"/>
        <v>7272.08307988364-2212.26132867695i</v>
      </c>
      <c r="AE25" s="6" t="str">
        <f t="shared" si="5"/>
        <v>6703.55276886269-2685.25155545927i</v>
      </c>
    </row>
    <row r="26" spans="1:31" x14ac:dyDescent="0.2">
      <c r="A26" t="s">
        <v>8</v>
      </c>
      <c r="B26" s="5">
        <f t="shared" ref="B26:AE26" si="6">IMREAL(B25)</f>
        <v>0.132537281382233</v>
      </c>
      <c r="C26" s="5">
        <f t="shared" si="6"/>
        <v>0.59687716417674896</v>
      </c>
      <c r="D26" s="5">
        <f t="shared" si="6"/>
        <v>1.4484658196832401</v>
      </c>
      <c r="E26" s="5">
        <f t="shared" si="6"/>
        <v>2.74571312822557</v>
      </c>
      <c r="F26" s="5">
        <f t="shared" si="6"/>
        <v>4.5221226453412502</v>
      </c>
      <c r="G26" s="5">
        <f t="shared" si="6"/>
        <v>6.8816205327739004</v>
      </c>
      <c r="H26" s="5">
        <f t="shared" si="6"/>
        <v>9.1615572769593907</v>
      </c>
      <c r="I26" s="5">
        <f t="shared" si="6"/>
        <v>13.317289415249601</v>
      </c>
      <c r="J26" s="5">
        <f t="shared" si="6"/>
        <v>18.037858741386302</v>
      </c>
      <c r="K26" s="5">
        <f t="shared" si="6"/>
        <v>25.6843898772999</v>
      </c>
      <c r="L26" s="5">
        <f t="shared" si="6"/>
        <v>38.153286006610102</v>
      </c>
      <c r="M26" s="5">
        <f t="shared" si="6"/>
        <v>57.3457776559381</v>
      </c>
      <c r="N26" s="5">
        <f t="shared" si="6"/>
        <v>85.333758517174502</v>
      </c>
      <c r="O26" s="5">
        <f t="shared" si="6"/>
        <v>136.95509493397799</v>
      </c>
      <c r="P26" s="5">
        <f t="shared" si="6"/>
        <v>209.33647840668201</v>
      </c>
      <c r="Q26" s="5">
        <f t="shared" si="6"/>
        <v>349.165933920246</v>
      </c>
      <c r="R26" s="5">
        <f t="shared" si="6"/>
        <v>588.05018495701995</v>
      </c>
      <c r="S26" s="5">
        <f t="shared" si="6"/>
        <v>991.27078674006896</v>
      </c>
      <c r="T26" s="5">
        <f t="shared" si="6"/>
        <v>1661.2795913775101</v>
      </c>
      <c r="U26" s="5">
        <f t="shared" si="6"/>
        <v>2618.2992669856299</v>
      </c>
      <c r="V26" s="5">
        <f t="shared" si="6"/>
        <v>3993.5166096253101</v>
      </c>
      <c r="W26" s="5">
        <f t="shared" si="6"/>
        <v>5658.3667135564901</v>
      </c>
      <c r="X26" s="5">
        <f t="shared" si="6"/>
        <v>7167.69387788111</v>
      </c>
      <c r="Y26" s="5">
        <f t="shared" si="6"/>
        <v>8194.4536403885995</v>
      </c>
      <c r="Z26" s="5">
        <f t="shared" si="6"/>
        <v>8729.9351071523797</v>
      </c>
      <c r="AA26" s="5">
        <f t="shared" si="6"/>
        <v>8720.8824162868805</v>
      </c>
      <c r="AB26" s="5">
        <f t="shared" si="6"/>
        <v>8432.5205746096599</v>
      </c>
      <c r="AC26" s="5">
        <f t="shared" si="6"/>
        <v>7891.8284224579102</v>
      </c>
      <c r="AD26" s="5">
        <f t="shared" si="6"/>
        <v>7272.0830798836396</v>
      </c>
      <c r="AE26" s="5">
        <f t="shared" si="6"/>
        <v>6703.5527688626898</v>
      </c>
    </row>
    <row r="27" spans="1:31" x14ac:dyDescent="0.2">
      <c r="A27" t="s">
        <v>9</v>
      </c>
      <c r="B27" s="5">
        <f t="shared" ref="B27:AE27" si="7">IMAGINARY(B25)</f>
        <v>122.06646809698201</v>
      </c>
      <c r="C27" s="5">
        <f t="shared" si="7"/>
        <v>244.867718049876</v>
      </c>
      <c r="D27" s="5">
        <f t="shared" si="7"/>
        <v>369.123128556805</v>
      </c>
      <c r="E27" s="5">
        <f t="shared" si="7"/>
        <v>497.74599489989703</v>
      </c>
      <c r="F27" s="5">
        <f t="shared" si="7"/>
        <v>632.28549102808097</v>
      </c>
      <c r="G27" s="5">
        <f t="shared" si="7"/>
        <v>772.60531587309197</v>
      </c>
      <c r="H27" s="5">
        <f t="shared" si="7"/>
        <v>920.93776488218896</v>
      </c>
      <c r="I27" s="5">
        <f t="shared" si="7"/>
        <v>1080.8392845604301</v>
      </c>
      <c r="J27" s="5">
        <f t="shared" si="7"/>
        <v>1253.8245938421501</v>
      </c>
      <c r="K27" s="5">
        <f t="shared" si="7"/>
        <v>1441.0426669342401</v>
      </c>
      <c r="L27" s="5">
        <f t="shared" si="7"/>
        <v>1647.1751732795501</v>
      </c>
      <c r="M27" s="5">
        <f t="shared" si="7"/>
        <v>1880.4219738177401</v>
      </c>
      <c r="N27" s="5">
        <f t="shared" si="7"/>
        <v>2152.6178747988001</v>
      </c>
      <c r="O27" s="5">
        <f t="shared" si="7"/>
        <v>2476.8512729477302</v>
      </c>
      <c r="P27" s="5">
        <f t="shared" si="7"/>
        <v>2865.6519564731502</v>
      </c>
      <c r="Q27" s="5">
        <f t="shared" si="7"/>
        <v>3332.3416166269499</v>
      </c>
      <c r="R27" s="5">
        <f t="shared" si="7"/>
        <v>3887.5846461793899</v>
      </c>
      <c r="S27" s="5">
        <f t="shared" si="7"/>
        <v>4516.8876599096502</v>
      </c>
      <c r="T27" s="5">
        <f t="shared" si="7"/>
        <v>5155.1813522924504</v>
      </c>
      <c r="U27" s="5">
        <f t="shared" si="7"/>
        <v>5739.2331744473504</v>
      </c>
      <c r="V27" s="5">
        <f t="shared" si="7"/>
        <v>6129.3569458531501</v>
      </c>
      <c r="W27" s="5">
        <f t="shared" si="7"/>
        <v>5951.1064635741996</v>
      </c>
      <c r="X27" s="5">
        <f t="shared" si="7"/>
        <v>5034.2469822973399</v>
      </c>
      <c r="Y27" s="5">
        <f t="shared" si="7"/>
        <v>3835.77632035947</v>
      </c>
      <c r="Z27" s="5">
        <f t="shared" si="7"/>
        <v>2179.0337836418598</v>
      </c>
      <c r="AA27" s="5">
        <f t="shared" si="7"/>
        <v>629.12363366841601</v>
      </c>
      <c r="AB27" s="5">
        <f t="shared" si="7"/>
        <v>-533.74369425029795</v>
      </c>
      <c r="AC27" s="5">
        <f t="shared" si="7"/>
        <v>-1504.70712968675</v>
      </c>
      <c r="AD27" s="5">
        <f t="shared" si="7"/>
        <v>-2212.2613286769501</v>
      </c>
      <c r="AE27" s="5">
        <f t="shared" si="7"/>
        <v>-2685.2515554592701</v>
      </c>
    </row>
    <row r="28" spans="1:31" x14ac:dyDescent="0.2">
      <c r="A28" t="s">
        <v>17</v>
      </c>
      <c r="B28" s="5">
        <f t="shared" ref="B28:AE28" si="8">IMABS(B25)</f>
        <v>122.06654005009925</v>
      </c>
      <c r="C28" s="5">
        <f t="shared" si="8"/>
        <v>244.86844550758821</v>
      </c>
      <c r="D28" s="5">
        <f t="shared" si="8"/>
        <v>369.12597048811722</v>
      </c>
      <c r="E28" s="5">
        <f t="shared" si="8"/>
        <v>497.75356792239148</v>
      </c>
      <c r="F28" s="5">
        <f t="shared" si="8"/>
        <v>632.30166199199653</v>
      </c>
      <c r="G28" s="5">
        <f t="shared" si="8"/>
        <v>772.63596267357195</v>
      </c>
      <c r="H28" s="5">
        <f t="shared" si="8"/>
        <v>920.98333368087663</v>
      </c>
      <c r="I28" s="5">
        <f t="shared" si="8"/>
        <v>1080.9213242629974</v>
      </c>
      <c r="J28" s="5">
        <f t="shared" si="8"/>
        <v>1253.9543358796629</v>
      </c>
      <c r="K28" s="5">
        <f t="shared" si="8"/>
        <v>1441.2715413163187</v>
      </c>
      <c r="L28" s="5">
        <f t="shared" si="8"/>
        <v>1647.6169836165254</v>
      </c>
      <c r="M28" s="5">
        <f t="shared" si="8"/>
        <v>1881.2961855676979</v>
      </c>
      <c r="N28" s="5">
        <f t="shared" si="8"/>
        <v>2154.3086049231597</v>
      </c>
      <c r="O28" s="5">
        <f t="shared" si="8"/>
        <v>2480.634782939876</v>
      </c>
      <c r="P28" s="5">
        <f t="shared" si="8"/>
        <v>2873.2878200469418</v>
      </c>
      <c r="Q28" s="5">
        <f t="shared" si="8"/>
        <v>3350.5846503728735</v>
      </c>
      <c r="R28" s="5">
        <f t="shared" si="8"/>
        <v>3931.8084135977069</v>
      </c>
      <c r="S28" s="5">
        <f t="shared" si="8"/>
        <v>4624.3801643991546</v>
      </c>
      <c r="T28" s="5">
        <f t="shared" si="8"/>
        <v>5416.2482084697003</v>
      </c>
      <c r="U28" s="5">
        <f t="shared" si="8"/>
        <v>6308.2714337744292</v>
      </c>
      <c r="V28" s="5">
        <f t="shared" si="8"/>
        <v>7315.5445102214708</v>
      </c>
      <c r="W28" s="5">
        <f t="shared" si="8"/>
        <v>8211.7465868034851</v>
      </c>
      <c r="X28" s="5">
        <f t="shared" si="8"/>
        <v>8758.965589941783</v>
      </c>
      <c r="Y28" s="5">
        <f t="shared" si="8"/>
        <v>9047.7759943705714</v>
      </c>
      <c r="Z28" s="5">
        <f t="shared" si="8"/>
        <v>8997.7750141545657</v>
      </c>
      <c r="AA28" s="5">
        <f t="shared" si="8"/>
        <v>8743.5454287801258</v>
      </c>
      <c r="AB28" s="5">
        <f t="shared" si="8"/>
        <v>8449.3955743808783</v>
      </c>
      <c r="AC28" s="5">
        <f t="shared" si="8"/>
        <v>8033.9964771989198</v>
      </c>
      <c r="AD28" s="5">
        <f t="shared" si="8"/>
        <v>7601.1375798027384</v>
      </c>
      <c r="AE28" s="5">
        <f t="shared" si="8"/>
        <v>7221.3707591442126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27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35"/>
  <sheetViews>
    <sheetView topLeftCell="A13"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28</v>
      </c>
    </row>
    <row r="3" spans="1:2" x14ac:dyDescent="0.2">
      <c r="A3" s="8" t="s">
        <v>30</v>
      </c>
    </row>
    <row r="4" spans="1:2" x14ac:dyDescent="0.2">
      <c r="A4" s="12" t="s">
        <v>29</v>
      </c>
    </row>
    <row r="6" spans="1:2" x14ac:dyDescent="0.2">
      <c r="A6" s="8" t="s">
        <v>18</v>
      </c>
    </row>
    <row r="7" spans="1:2" x14ac:dyDescent="0.2">
      <c r="A7" t="s">
        <v>3</v>
      </c>
      <c r="B7" s="3">
        <v>140</v>
      </c>
    </row>
    <row r="8" spans="1:2" x14ac:dyDescent="0.2">
      <c r="A8" t="s">
        <v>7</v>
      </c>
      <c r="B8" s="3">
        <v>4</v>
      </c>
    </row>
    <row r="9" spans="1:2" x14ac:dyDescent="0.2">
      <c r="A9" t="s">
        <v>10</v>
      </c>
      <c r="B9" s="3">
        <v>1.3</v>
      </c>
    </row>
    <row r="11" spans="1:2" x14ac:dyDescent="0.2">
      <c r="A11" s="8" t="s">
        <v>19</v>
      </c>
    </row>
    <row r="12" spans="1:2" x14ac:dyDescent="0.2">
      <c r="A12" t="s">
        <v>20</v>
      </c>
      <c r="B12" t="str">
        <f>Mix!B1</f>
        <v>#61</v>
      </c>
    </row>
    <row r="13" spans="1:2" x14ac:dyDescent="0.2">
      <c r="A13" t="s">
        <v>31</v>
      </c>
      <c r="B13">
        <f>Mix!B2</f>
        <v>125</v>
      </c>
    </row>
    <row r="15" spans="1:2" x14ac:dyDescent="0.2">
      <c r="A15" s="8" t="s">
        <v>22</v>
      </c>
    </row>
    <row r="16" spans="1:2" x14ac:dyDescent="0.2">
      <c r="A16" s="2" t="s">
        <v>11</v>
      </c>
      <c r="B16" s="4">
        <f>2*PI()*$B$8^2*$B$7*0.000000001</f>
        <v>1.4074335088082274E-5</v>
      </c>
    </row>
    <row r="18" spans="1:31" x14ac:dyDescent="0.2">
      <c r="A18" t="s">
        <v>4</v>
      </c>
      <c r="B18" s="10">
        <v>50</v>
      </c>
      <c r="C18" s="10">
        <f>B18+5</f>
        <v>55</v>
      </c>
      <c r="D18" s="10">
        <f t="shared" ref="D18:AE18" si="0">C18+5</f>
        <v>60</v>
      </c>
      <c r="E18" s="10">
        <f t="shared" si="0"/>
        <v>65</v>
      </c>
      <c r="F18" s="10">
        <f t="shared" si="0"/>
        <v>70</v>
      </c>
      <c r="G18" s="10">
        <f t="shared" si="0"/>
        <v>75</v>
      </c>
      <c r="H18" s="10">
        <f t="shared" si="0"/>
        <v>80</v>
      </c>
      <c r="I18" s="10">
        <f t="shared" si="0"/>
        <v>85</v>
      </c>
      <c r="J18" s="10">
        <f t="shared" si="0"/>
        <v>90</v>
      </c>
      <c r="K18" s="10">
        <f t="shared" si="0"/>
        <v>95</v>
      </c>
      <c r="L18" s="10">
        <f t="shared" si="0"/>
        <v>100</v>
      </c>
      <c r="M18" s="10">
        <f t="shared" si="0"/>
        <v>105</v>
      </c>
      <c r="N18" s="10">
        <f t="shared" si="0"/>
        <v>110</v>
      </c>
      <c r="O18" s="10">
        <f t="shared" si="0"/>
        <v>115</v>
      </c>
      <c r="P18" s="10">
        <f t="shared" si="0"/>
        <v>120</v>
      </c>
      <c r="Q18" s="10">
        <f t="shared" si="0"/>
        <v>125</v>
      </c>
      <c r="R18" s="10">
        <f t="shared" si="0"/>
        <v>130</v>
      </c>
      <c r="S18" s="10">
        <f t="shared" si="0"/>
        <v>135</v>
      </c>
      <c r="T18" s="10">
        <f t="shared" si="0"/>
        <v>140</v>
      </c>
      <c r="U18" s="10">
        <f t="shared" si="0"/>
        <v>145</v>
      </c>
      <c r="V18" s="10">
        <f t="shared" si="0"/>
        <v>150</v>
      </c>
      <c r="W18" s="10">
        <f t="shared" si="0"/>
        <v>155</v>
      </c>
      <c r="X18" s="10">
        <f t="shared" si="0"/>
        <v>160</v>
      </c>
      <c r="Y18" s="10">
        <f t="shared" si="0"/>
        <v>165</v>
      </c>
      <c r="Z18" s="10">
        <f t="shared" si="0"/>
        <v>170</v>
      </c>
      <c r="AA18" s="10">
        <f t="shared" si="0"/>
        <v>175</v>
      </c>
      <c r="AB18" s="10">
        <f t="shared" si="0"/>
        <v>180</v>
      </c>
      <c r="AC18" s="10">
        <f t="shared" si="0"/>
        <v>185</v>
      </c>
      <c r="AD18" s="10">
        <f t="shared" si="0"/>
        <v>190</v>
      </c>
      <c r="AE18" s="10">
        <f t="shared" si="0"/>
        <v>195</v>
      </c>
    </row>
    <row r="19" spans="1:31" x14ac:dyDescent="0.2">
      <c r="A19" t="s">
        <v>6</v>
      </c>
      <c r="B19" s="7">
        <f>csinterpolate(CSTableU2,'FT140-61 4t'!B18*1000000)</f>
        <v>74.523767919540148</v>
      </c>
      <c r="C19" s="7">
        <f>csinterpolate(CSTableU2,'FT140-61 4t'!C18*1000000)</f>
        <v>70.952454855135997</v>
      </c>
      <c r="D19" s="7">
        <f>csinterpolate(CSTableU2,'FT140-61 4t'!D18*1000000)</f>
        <v>68.061211872466714</v>
      </c>
      <c r="E19" s="7">
        <f>csinterpolate(CSTableU2,'FT140-61 4t'!E18*1000000)</f>
        <v>65.350912567581403</v>
      </c>
      <c r="F19" s="7">
        <f>csinterpolate(CSTableU2,'FT140-61 4t'!F18*1000000)</f>
        <v>62.974565369065758</v>
      </c>
      <c r="G19" s="7">
        <f>csinterpolate(CSTableU2,'FT140-61 4t'!G18*1000000)</f>
        <v>60.722038589992017</v>
      </c>
      <c r="H19" s="7">
        <f>csinterpolate(CSTableU2,'FT140-61 4t'!H18*1000000)</f>
        <v>58.479631642653558</v>
      </c>
      <c r="I19" s="7">
        <f>csinterpolate(CSTableU2,'FT140-61 4t'!I18*1000000)</f>
        <v>56.382249016580005</v>
      </c>
      <c r="J19" s="7">
        <f>csinterpolate(CSTableU2,'FT140-61 4t'!J18*1000000)</f>
        <v>54.556286168351399</v>
      </c>
      <c r="K19" s="7">
        <f>csinterpolate(CSTableU2,'FT140-61 4t'!K18*1000000)</f>
        <v>53.037210367521254</v>
      </c>
      <c r="L19" s="7">
        <f>csinterpolate(CSTableU2,'FT140-61 4t'!L18*1000000)</f>
        <v>51.756334507965917</v>
      </c>
      <c r="M19" s="7">
        <f>csinterpolate(CSTableU2,'FT140-61 4t'!M18*1000000)</f>
        <v>50.630531456953051</v>
      </c>
      <c r="N19" s="7">
        <f>csinterpolate(CSTableU2,'FT140-61 4t'!N18*1000000)</f>
        <v>49.577000696610547</v>
      </c>
      <c r="O19" s="7">
        <f>csinterpolate(CSTableU2,'FT140-61 4t'!O18*1000000)</f>
        <v>48.545228104487677</v>
      </c>
      <c r="P19" s="7">
        <f>csinterpolate(CSTableU2,'FT140-61 4t'!P18*1000000)</f>
        <v>47.544243813024551</v>
      </c>
      <c r="Q19" s="7">
        <f>csinterpolate(CSTableU2,'FT140-61 4t'!Q18*1000000)</f>
        <v>46.588929650797787</v>
      </c>
      <c r="R19" s="7">
        <f>csinterpolate(CSTableU2,'FT140-61 4t'!R18*1000000)</f>
        <v>45.684711256848303</v>
      </c>
      <c r="S19" s="7">
        <f>csinterpolate(CSTableU2,'FT140-61 4t'!S18*1000000)</f>
        <v>44.829365020231123</v>
      </c>
      <c r="T19" s="7">
        <f>csinterpolate(CSTableU2,'FT140-61 4t'!T18*1000000)</f>
        <v>44.020198196349682</v>
      </c>
      <c r="U19" s="7">
        <f>csinterpolate(CSTableU2,'FT140-61 4t'!U18*1000000)</f>
        <v>43.25400373844419</v>
      </c>
      <c r="V19" s="7">
        <f>csinterpolate(CSTableU2,'FT140-61 4t'!V18*1000000)</f>
        <v>42.527513047138406</v>
      </c>
      <c r="W19" s="7">
        <f>csinterpolate(CSTableU2,'FT140-61 4t'!W18*1000000)</f>
        <v>41.837465564627131</v>
      </c>
      <c r="X19" s="7">
        <f>csinterpolate(CSTableU2,'FT140-61 4t'!X18*1000000)</f>
        <v>41.180591348216879</v>
      </c>
      <c r="Y19" s="7">
        <f>csinterpolate(CSTableU2,'FT140-61 4t'!Y18*1000000)</f>
        <v>40.553618730512937</v>
      </c>
      <c r="Z19" s="7">
        <f>csinterpolate(CSTableU2,'FT140-61 4t'!Z18*1000000)</f>
        <v>39.94079901138447</v>
      </c>
      <c r="AA19" s="7">
        <f>csinterpolate(CSTableU2,'FT140-61 4t'!AA18*1000000)</f>
        <v>39.333362823165814</v>
      </c>
      <c r="AB19" s="7">
        <f>csinterpolate(CSTableU2,'FT140-61 4t'!AB18*1000000)</f>
        <v>38.736796596729313</v>
      </c>
      <c r="AC19" s="7">
        <f>csinterpolate(CSTableU2,'FT140-61 4t'!AC18*1000000)</f>
        <v>38.156585554313274</v>
      </c>
      <c r="AD19" s="7">
        <f>csinterpolate(CSTableU2,'FT140-61 4t'!AD18*1000000)</f>
        <v>37.598218544051115</v>
      </c>
      <c r="AE19" s="7">
        <f>csinterpolate(CSTableU2,'FT140-61 4t'!AE18*1000000)</f>
        <v>37.067181090352904</v>
      </c>
    </row>
    <row r="20" spans="1:31" x14ac:dyDescent="0.2">
      <c r="A20" t="s">
        <v>5</v>
      </c>
      <c r="B20" s="7">
        <f>csinterpolate(CSTableU1,'FT140-61 4t'!B18*1000000)</f>
        <v>64.556070822511316</v>
      </c>
      <c r="C20" s="7">
        <f>csinterpolate(CSTableU1,'FT140-61 4t'!C18*1000000)</f>
        <v>57.870880767031025</v>
      </c>
      <c r="D20" s="7">
        <f>csinterpolate(CSTableU1,'FT140-61 4t'!D18*1000000)</f>
        <v>53.025187452432803</v>
      </c>
      <c r="E20" s="7">
        <f>csinterpolate(CSTableU1,'FT140-61 4t'!E18*1000000)</f>
        <v>49.397673131230057</v>
      </c>
      <c r="F20" s="7">
        <f>csinterpolate(CSTableU1,'FT140-61 4t'!F18*1000000)</f>
        <v>46.339890455253283</v>
      </c>
      <c r="G20" s="7">
        <f>csinterpolate(CSTableU1,'FT140-61 4t'!G18*1000000)</f>
        <v>43.570641342295666</v>
      </c>
      <c r="H20" s="7">
        <f>csinterpolate(CSTableU1,'FT140-61 4t'!H18*1000000)</f>
        <v>41.067166897057021</v>
      </c>
      <c r="I20" s="7">
        <f>csinterpolate(CSTableU1,'FT140-61 4t'!I18*1000000)</f>
        <v>38.812104919789888</v>
      </c>
      <c r="J20" s="7">
        <f>csinterpolate(CSTableU1,'FT140-61 4t'!J18*1000000)</f>
        <v>36.785864387403514</v>
      </c>
      <c r="K20" s="7">
        <f>csinterpolate(CSTableU1,'FT140-61 4t'!K18*1000000)</f>
        <v>34.958733170558737</v>
      </c>
      <c r="L20" s="7">
        <f>csinterpolate(CSTableU1,'FT140-61 4t'!L18*1000000)</f>
        <v>33.298118171514318</v>
      </c>
      <c r="M20" s="7">
        <f>csinterpolate(CSTableU1,'FT140-61 4t'!M18*1000000)</f>
        <v>31.771429560779392</v>
      </c>
      <c r="N20" s="7">
        <f>csinterpolate(CSTableU1,'FT140-61 4t'!N18*1000000)</f>
        <v>30.346184192349313</v>
      </c>
      <c r="O20" s="7">
        <f>csinterpolate(CSTableU1,'FT140-61 4t'!O18*1000000)</f>
        <v>29.000974604106421</v>
      </c>
      <c r="P20" s="7">
        <f>csinterpolate(CSTableU1,'FT140-61 4t'!P18*1000000)</f>
        <v>27.734819868251559</v>
      </c>
      <c r="Q20" s="7">
        <f>csinterpolate(CSTableU1,'FT140-61 4t'!Q18*1000000)</f>
        <v>26.548942839196471</v>
      </c>
      <c r="R20" s="7">
        <f>csinterpolate(CSTableU1,'FT140-61 4t'!R18*1000000)</f>
        <v>25.444565918109504</v>
      </c>
      <c r="S20" s="7">
        <f>csinterpolate(CSTableU1,'FT140-61 4t'!S18*1000000)</f>
        <v>24.422881277336863</v>
      </c>
      <c r="T20" s="7">
        <f>csinterpolate(CSTableU1,'FT140-61 4t'!T18*1000000)</f>
        <v>23.4807918051693</v>
      </c>
      <c r="U20" s="7">
        <f>csinterpolate(CSTableU1,'FT140-61 4t'!U18*1000000)</f>
        <v>22.606579189231262</v>
      </c>
      <c r="V20" s="7">
        <f>csinterpolate(CSTableU1,'FT140-61 4t'!V18*1000000)</f>
        <v>21.787492422005482</v>
      </c>
      <c r="W20" s="7">
        <f>csinterpolate(CSTableU1,'FT140-61 4t'!W18*1000000)</f>
        <v>21.010784887185707</v>
      </c>
      <c r="X20" s="7">
        <f>csinterpolate(CSTableU1,'FT140-61 4t'!X18*1000000)</f>
        <v>20.263704839949476</v>
      </c>
      <c r="Y20" s="7">
        <f>csinterpolate(CSTableU1,'FT140-61 4t'!Y18*1000000)</f>
        <v>19.533504258866763</v>
      </c>
      <c r="Z20" s="7">
        <f>csinterpolate(CSTableU1,'FT140-61 4t'!Z18*1000000)</f>
        <v>18.810542760356615</v>
      </c>
      <c r="AA20" s="7">
        <f>csinterpolate(CSTableU1,'FT140-61 4t'!AA18*1000000)</f>
        <v>18.096156099461048</v>
      </c>
      <c r="AB20" s="7">
        <f>csinterpolate(CSTableU1,'FT140-61 4t'!AB18*1000000)</f>
        <v>17.394094622484001</v>
      </c>
      <c r="AC20" s="7">
        <f>csinterpolate(CSTableU1,'FT140-61 4t'!AC18*1000000)</f>
        <v>16.708108680907021</v>
      </c>
      <c r="AD20" s="7">
        <f>csinterpolate(CSTableU1,'FT140-61 4t'!AD18*1000000)</f>
        <v>16.041951830730035</v>
      </c>
      <c r="AE20" s="7">
        <f>csinterpolate(CSTableU1,'FT140-61 4t'!AE18*1000000)</f>
        <v>15.399374568309012</v>
      </c>
    </row>
    <row r="21" spans="1:31" x14ac:dyDescent="0.2">
      <c r="A21" t="s">
        <v>12</v>
      </c>
      <c r="B21" s="5">
        <f t="shared" ref="B21:AE21" si="1">B19/$B$13*$B$16*B18*1000000</f>
        <v>419.54899269043352</v>
      </c>
      <c r="C21" s="5">
        <f t="shared" si="1"/>
        <v>439.38779497941431</v>
      </c>
      <c r="D21" s="5">
        <f t="shared" si="1"/>
        <v>459.79982514914894</v>
      </c>
      <c r="E21" s="5">
        <f t="shared" si="1"/>
        <v>478.28073372981606</v>
      </c>
      <c r="F21" s="5">
        <f t="shared" si="1"/>
        <v>496.34207561712094</v>
      </c>
      <c r="G21" s="5">
        <f t="shared" si="1"/>
        <v>512.77339100820632</v>
      </c>
      <c r="H21" s="5">
        <f t="shared" si="1"/>
        <v>526.75963620244829</v>
      </c>
      <c r="I21" s="5">
        <f t="shared" si="1"/>
        <v>539.60901266175017</v>
      </c>
      <c r="J21" s="5">
        <f t="shared" si="1"/>
        <v>552.84728594017372</v>
      </c>
      <c r="K21" s="5">
        <f t="shared" si="1"/>
        <v>567.3122378457</v>
      </c>
      <c r="L21" s="5">
        <f t="shared" si="1"/>
        <v>582.74879583679058</v>
      </c>
      <c r="M21" s="5">
        <f t="shared" si="1"/>
        <v>598.57649494679208</v>
      </c>
      <c r="N21" s="5">
        <f t="shared" si="1"/>
        <v>614.0317220102429</v>
      </c>
      <c r="O21" s="5">
        <f t="shared" si="1"/>
        <v>628.58246268835273</v>
      </c>
      <c r="P21" s="5">
        <f t="shared" si="1"/>
        <v>642.38747417663035</v>
      </c>
      <c r="Q21" s="5">
        <f t="shared" si="1"/>
        <v>655.70820730041999</v>
      </c>
      <c r="R21" s="5">
        <f t="shared" si="1"/>
        <v>668.70121201641405</v>
      </c>
      <c r="S21" s="5">
        <f t="shared" si="1"/>
        <v>681.41898548714209</v>
      </c>
      <c r="T21" s="5">
        <f t="shared" si="1"/>
        <v>693.90162246632678</v>
      </c>
      <c r="U21" s="5">
        <f t="shared" si="1"/>
        <v>706.17475731859111</v>
      </c>
      <c r="V21" s="5">
        <f t="shared" si="1"/>
        <v>718.25576290586014</v>
      </c>
      <c r="W21" s="5">
        <f t="shared" si="1"/>
        <v>730.15479189490532</v>
      </c>
      <c r="X21" s="5">
        <f t="shared" si="1"/>
        <v>741.87448545303835</v>
      </c>
      <c r="Y21" s="5">
        <f t="shared" si="1"/>
        <v>753.41008914279075</v>
      </c>
      <c r="Z21" s="5">
        <f t="shared" si="1"/>
        <v>764.51065700187962</v>
      </c>
      <c r="AA21" s="5">
        <f t="shared" si="1"/>
        <v>775.02729992009506</v>
      </c>
      <c r="AB21" s="5">
        <f t="shared" si="1"/>
        <v>785.0803039794049</v>
      </c>
      <c r="AC21" s="5">
        <f t="shared" si="1"/>
        <v>794.80228494455719</v>
      </c>
      <c r="AD21" s="5">
        <f t="shared" si="1"/>
        <v>804.33828828596472</v>
      </c>
      <c r="AE21" s="5">
        <f t="shared" si="1"/>
        <v>813.84564680055576</v>
      </c>
    </row>
    <row r="22" spans="1:31" x14ac:dyDescent="0.2">
      <c r="A22" t="s">
        <v>13</v>
      </c>
      <c r="B22" s="5">
        <f t="shared" ref="B22:AE22" si="2">B20/$B$13*$B$16*B18*1000000</f>
        <v>363.4335090903981</v>
      </c>
      <c r="C22" s="5">
        <f t="shared" si="2"/>
        <v>358.37743381336617</v>
      </c>
      <c r="D22" s="5">
        <f t="shared" si="2"/>
        <v>358.22124303067915</v>
      </c>
      <c r="E22" s="5">
        <f t="shared" si="2"/>
        <v>361.52449019465496</v>
      </c>
      <c r="F22" s="5">
        <f t="shared" si="2"/>
        <v>365.23376187886566</v>
      </c>
      <c r="G22" s="5">
        <f t="shared" si="2"/>
        <v>367.93668375247205</v>
      </c>
      <c r="H22" s="5">
        <f t="shared" si="2"/>
        <v>369.9155635375235</v>
      </c>
      <c r="I22" s="5">
        <f t="shared" si="2"/>
        <v>371.45310767815204</v>
      </c>
      <c r="J22" s="5">
        <f t="shared" si="2"/>
        <v>372.77033896301003</v>
      </c>
      <c r="K22" s="5">
        <f t="shared" si="2"/>
        <v>373.93590292194841</v>
      </c>
      <c r="L22" s="5">
        <f t="shared" si="2"/>
        <v>374.91909835876316</v>
      </c>
      <c r="M22" s="5">
        <f t="shared" si="2"/>
        <v>375.61586652728187</v>
      </c>
      <c r="N22" s="5">
        <f t="shared" si="2"/>
        <v>375.85008117165484</v>
      </c>
      <c r="O22" s="5">
        <f t="shared" si="2"/>
        <v>375.51587970242531</v>
      </c>
      <c r="P22" s="5">
        <f t="shared" si="2"/>
        <v>374.73518249603933</v>
      </c>
      <c r="Q22" s="5">
        <f t="shared" si="2"/>
        <v>373.65871775319351</v>
      </c>
      <c r="R22" s="5">
        <f t="shared" si="2"/>
        <v>372.43996077836181</v>
      </c>
      <c r="S22" s="5">
        <f t="shared" si="2"/>
        <v>371.23468010678505</v>
      </c>
      <c r="T22" s="5">
        <f t="shared" si="2"/>
        <v>370.13371583938289</v>
      </c>
      <c r="U22" s="5">
        <f t="shared" si="2"/>
        <v>369.08018201722933</v>
      </c>
      <c r="V22" s="5">
        <f t="shared" si="2"/>
        <v>367.97336289163007</v>
      </c>
      <c r="W22" s="5">
        <f t="shared" si="2"/>
        <v>366.68390543767453</v>
      </c>
      <c r="X22" s="5">
        <f t="shared" si="2"/>
        <v>365.05366021560769</v>
      </c>
      <c r="Y22" s="5">
        <f t="shared" si="2"/>
        <v>362.89583138658043</v>
      </c>
      <c r="Z22" s="5">
        <f t="shared" si="2"/>
        <v>360.0543995172244</v>
      </c>
      <c r="AA22" s="5">
        <f t="shared" si="2"/>
        <v>356.56791065008224</v>
      </c>
      <c r="AB22" s="5">
        <f t="shared" si="2"/>
        <v>352.52685542973563</v>
      </c>
      <c r="AC22" s="5">
        <f t="shared" si="2"/>
        <v>348.03016998950892</v>
      </c>
      <c r="AD22" s="5">
        <f t="shared" si="2"/>
        <v>343.18530440950548</v>
      </c>
      <c r="AE22" s="5">
        <f t="shared" si="2"/>
        <v>338.10809420118642</v>
      </c>
    </row>
    <row r="23" spans="1:31" x14ac:dyDescent="0.2">
      <c r="A23" t="s">
        <v>14</v>
      </c>
      <c r="B23" s="5" t="str">
        <f t="shared" ref="B23:AE23" si="3">IMDIV(1,COMPLEX(B21,B22))</f>
        <v>0.00136170662994926-0.00117957575276382i</v>
      </c>
      <c r="C23" s="5" t="str">
        <f t="shared" si="3"/>
        <v>0.00136669746561698-0.00111471810579079i</v>
      </c>
      <c r="D23" s="5" t="str">
        <f t="shared" si="3"/>
        <v>0.00135339399030375-0.00105440335337143i</v>
      </c>
      <c r="E23" s="5" t="str">
        <f t="shared" si="3"/>
        <v>0.00133058149216369-0.00100576452633917i</v>
      </c>
      <c r="F23" s="5" t="str">
        <f t="shared" si="3"/>
        <v>0.00130701925898513-0.000961771294955676i</v>
      </c>
      <c r="G23" s="5" t="str">
        <f t="shared" si="3"/>
        <v>0.00128735984804468-0.000923735360671372i</v>
      </c>
      <c r="H23" s="5" t="str">
        <f t="shared" si="3"/>
        <v>0.00127140430785104-0.000892840317859887i</v>
      </c>
      <c r="I23" s="5" t="str">
        <f t="shared" si="3"/>
        <v>0.001257374697438-0.000865544733167739i</v>
      </c>
      <c r="J23" s="5" t="str">
        <f t="shared" si="3"/>
        <v>0.00124347719955073-0.000838443868601104i</v>
      </c>
      <c r="K23" s="5" t="str">
        <f t="shared" si="3"/>
        <v>0.00122882301343723-0.00080996145051589i</v>
      </c>
      <c r="L23" s="5" t="str">
        <f t="shared" si="3"/>
        <v>0.00121365420259678-0.000780820385400412i</v>
      </c>
      <c r="M23" s="5" t="str">
        <f t="shared" si="3"/>
        <v>0.00119863666357878-0.000752162760887455i</v>
      </c>
      <c r="N23" s="5" t="str">
        <f t="shared" si="3"/>
        <v>0.00118470732799583-0.000725161794465826i</v>
      </c>
      <c r="O23" s="5" t="str">
        <f t="shared" si="3"/>
        <v>0.00117244829434714-0.000700421947463171i</v>
      </c>
      <c r="P23" s="5" t="str">
        <f t="shared" si="3"/>
        <v>0.00116145591692472-0.000677532505669958i</v>
      </c>
      <c r="Q23" s="5" t="str">
        <f t="shared" si="3"/>
        <v>0.00115122548280705-0.000656031803416786i</v>
      </c>
      <c r="R23" s="5" t="str">
        <f t="shared" si="3"/>
        <v>0.00114137603193701-0.000635701023011678i</v>
      </c>
      <c r="S23" s="5" t="str">
        <f t="shared" si="3"/>
        <v>0.00113164885179344-0.000616518336641906i</v>
      </c>
      <c r="T23" s="5" t="str">
        <f t="shared" si="3"/>
        <v>0.00112191331398169-0.000598439217187261i</v>
      </c>
      <c r="U23" s="5" t="str">
        <f t="shared" si="3"/>
        <v>0.00111225619064333-0.00058131746148953i</v>
      </c>
      <c r="V23" s="5" t="str">
        <f t="shared" si="3"/>
        <v>0.00110281047822488-0.000564986598454517i</v>
      </c>
      <c r="W23" s="5" t="str">
        <f t="shared" si="3"/>
        <v>0.00109372868282463-0.000549270797588716i</v>
      </c>
      <c r="X23" s="5" t="str">
        <f t="shared" si="3"/>
        <v>0.00108517991092983-0.000533983721296827i</v>
      </c>
      <c r="Y23" s="5" t="str">
        <f t="shared" si="3"/>
        <v>0.00107734646645855-0.000518926607528839i</v>
      </c>
      <c r="Z23" s="5" t="str">
        <f t="shared" si="3"/>
        <v>0.00107056971390258-0.000504196157306896i</v>
      </c>
      <c r="AA23" s="5" t="str">
        <f t="shared" si="3"/>
        <v>0.00106487880046373-0.000489920302182988i</v>
      </c>
      <c r="AB23" s="5" t="str">
        <f t="shared" si="3"/>
        <v>0.00106002222502066-0.000475984812990505i</v>
      </c>
      <c r="AC23" s="5" t="str">
        <f t="shared" si="3"/>
        <v>0.00105574471981626-0.000462292347748862i</v>
      </c>
      <c r="AD23" s="5" t="str">
        <f t="shared" si="3"/>
        <v>0.00105178524476738-0.000448762970326967i</v>
      </c>
      <c r="AE23" s="5" t="str">
        <f t="shared" si="3"/>
        <v>0.00104787647036819-0.000435335026669106i</v>
      </c>
    </row>
    <row r="24" spans="1:31" x14ac:dyDescent="0.2">
      <c r="A24" t="s">
        <v>15</v>
      </c>
      <c r="B24" s="6" t="str">
        <f t="shared" ref="B24:AE24" si="4">COMPLEX(0,2*PI()*B18*1000000*$B$9*0.000000000001)</f>
        <v>0.000408407044966673i</v>
      </c>
      <c r="C24" s="6" t="str">
        <f t="shared" si="4"/>
        <v>0.00044924774946334i</v>
      </c>
      <c r="D24" s="6" t="str">
        <f t="shared" si="4"/>
        <v>0.000490088453960008i</v>
      </c>
      <c r="E24" s="6" t="str">
        <f t="shared" si="4"/>
        <v>0.000530929158456675i</v>
      </c>
      <c r="F24" s="6" t="str">
        <f t="shared" si="4"/>
        <v>0.000571769862953342i</v>
      </c>
      <c r="G24" s="6" t="str">
        <f t="shared" si="4"/>
        <v>0.00061261056745001i</v>
      </c>
      <c r="H24" s="6" t="str">
        <f t="shared" si="4"/>
        <v>0.000653451271946677i</v>
      </c>
      <c r="I24" s="6" t="str">
        <f t="shared" si="4"/>
        <v>0.000694291976443344i</v>
      </c>
      <c r="J24" s="6" t="str">
        <f t="shared" si="4"/>
        <v>0.000735132680940012i</v>
      </c>
      <c r="K24" s="6" t="str">
        <f t="shared" si="4"/>
        <v>0.000775973385436679i</v>
      </c>
      <c r="L24" s="6" t="str">
        <f t="shared" si="4"/>
        <v>0.000816814089933346i</v>
      </c>
      <c r="M24" s="6" t="str">
        <f t="shared" si="4"/>
        <v>0.000857654794430014i</v>
      </c>
      <c r="N24" s="6" t="str">
        <f t="shared" si="4"/>
        <v>0.000898495498926681i</v>
      </c>
      <c r="O24" s="6" t="str">
        <f t="shared" si="4"/>
        <v>0.000939336203423348i</v>
      </c>
      <c r="P24" s="6" t="str">
        <f t="shared" si="4"/>
        <v>0.000980176907920015i</v>
      </c>
      <c r="Q24" s="6" t="str">
        <f t="shared" si="4"/>
        <v>0.00102101761241668i</v>
      </c>
      <c r="R24" s="6" t="str">
        <f t="shared" si="4"/>
        <v>0.00106185831691335i</v>
      </c>
      <c r="S24" s="6" t="str">
        <f t="shared" si="4"/>
        <v>0.00110269902141002i</v>
      </c>
      <c r="T24" s="6" t="str">
        <f t="shared" si="4"/>
        <v>0.00114353972590668i</v>
      </c>
      <c r="U24" s="6" t="str">
        <f t="shared" si="4"/>
        <v>0.00118438043040335i</v>
      </c>
      <c r="V24" s="6" t="str">
        <f t="shared" si="4"/>
        <v>0.00122522113490002i</v>
      </c>
      <c r="W24" s="6" t="str">
        <f t="shared" si="4"/>
        <v>0.00126606183939669i</v>
      </c>
      <c r="X24" s="6" t="str">
        <f t="shared" si="4"/>
        <v>0.00130690254389335i</v>
      </c>
      <c r="Y24" s="6" t="str">
        <f t="shared" si="4"/>
        <v>0.00134774324839002i</v>
      </c>
      <c r="Z24" s="6" t="str">
        <f t="shared" si="4"/>
        <v>0.00138858395288669i</v>
      </c>
      <c r="AA24" s="6" t="str">
        <f t="shared" si="4"/>
        <v>0.00142942465738336i</v>
      </c>
      <c r="AB24" s="6" t="str">
        <f t="shared" si="4"/>
        <v>0.00147026536188002i</v>
      </c>
      <c r="AC24" s="6" t="str">
        <f t="shared" si="4"/>
        <v>0.00151110606637669i</v>
      </c>
      <c r="AD24" s="6" t="str">
        <f t="shared" si="4"/>
        <v>0.00155194677087336i</v>
      </c>
      <c r="AE24" s="6" t="str">
        <f t="shared" si="4"/>
        <v>0.00159278747537002i</v>
      </c>
    </row>
    <row r="25" spans="1:31" x14ac:dyDescent="0.2">
      <c r="A25" t="s">
        <v>16</v>
      </c>
      <c r="B25" s="6" t="str">
        <f t="shared" ref="B25:AE25" si="5">IMDIV(1,IMSUM(B23,B24))</f>
        <v>556.037806529723+314.898192692111i</v>
      </c>
      <c r="C25" s="6" t="str">
        <f t="shared" si="5"/>
        <v>591.461427249161+287.993544034089i</v>
      </c>
      <c r="D25" s="6" t="str">
        <f t="shared" si="5"/>
        <v>629.448512998987+262.456591977308i</v>
      </c>
      <c r="E25" s="6" t="str">
        <f t="shared" si="5"/>
        <v>666.652138453081+237.90351457337i</v>
      </c>
      <c r="F25" s="6" t="str">
        <f t="shared" si="5"/>
        <v>702.547267032483+209.633054990134i</v>
      </c>
      <c r="G25" s="6" t="str">
        <f t="shared" si="5"/>
        <v>733.917245486838+177.370648611187i</v>
      </c>
      <c r="H25" s="6" t="str">
        <f t="shared" si="5"/>
        <v>759.602411299589+143.023344652445i</v>
      </c>
      <c r="I25" s="6" t="str">
        <f t="shared" si="5"/>
        <v>780.823539504818+106.347124630359i</v>
      </c>
      <c r="J25" s="6" t="str">
        <f t="shared" si="5"/>
        <v>798.683417835757+66.3566107136056i</v>
      </c>
      <c r="K25" s="6" t="str">
        <f t="shared" si="5"/>
        <v>813.164753087088+22.4913565630062i</v>
      </c>
      <c r="L25" s="6" t="str">
        <f t="shared" si="5"/>
        <v>823.233846565724-24.4148916317328i</v>
      </c>
      <c r="M25" s="6" t="str">
        <f t="shared" si="5"/>
        <v>827.868696743297-72.8607383532938i</v>
      </c>
      <c r="N25" s="6" t="str">
        <f t="shared" si="5"/>
        <v>826.400069769048-120.910018934467i</v>
      </c>
      <c r="O25" s="6" t="str">
        <f t="shared" si="5"/>
        <v>818.911776566385-166.872772759953i</v>
      </c>
      <c r="P25" s="6" t="str">
        <f t="shared" si="5"/>
        <v>806.245521040139-210.086056841531i</v>
      </c>
      <c r="Q25" s="6" t="str">
        <f t="shared" si="5"/>
        <v>789.302744011424-250.241420878216i</v>
      </c>
      <c r="R25" s="6" t="str">
        <f t="shared" si="5"/>
        <v>768.940331728958-287.100413686934i</v>
      </c>
      <c r="S25" s="6" t="str">
        <f t="shared" si="5"/>
        <v>745.97776429374-320.488091064062i</v>
      </c>
      <c r="T25" s="6" t="str">
        <f t="shared" si="5"/>
        <v>721.105522775752-350.361282290532i</v>
      </c>
      <c r="U25" s="6" t="str">
        <f t="shared" si="5"/>
        <v>694.813243150884-376.726280132325i</v>
      </c>
      <c r="V25" s="6" t="str">
        <f t="shared" si="5"/>
        <v>667.520175364223-399.633375137146i</v>
      </c>
      <c r="W25" s="6" t="str">
        <f t="shared" si="5"/>
        <v>639.595511683938-419.168245612467i</v>
      </c>
      <c r="X25" s="6" t="str">
        <f t="shared" si="5"/>
        <v>611.362438545338-435.442576314663i</v>
      </c>
      <c r="Y25" s="6" t="str">
        <f t="shared" si="5"/>
        <v>583.101979203004-448.587932228703i</v>
      </c>
      <c r="Z25" s="6" t="str">
        <f t="shared" si="5"/>
        <v>555.199506449809-458.645206603348i</v>
      </c>
      <c r="AA25" s="6" t="str">
        <f t="shared" si="5"/>
        <v>528.047289511393-465.877175911159i</v>
      </c>
      <c r="AB25" s="6" t="str">
        <f t="shared" si="5"/>
        <v>501.847214136931-470.723077076065i</v>
      </c>
      <c r="AC25" s="6" t="str">
        <f t="shared" si="5"/>
        <v>476.718739684868-473.589064405149i</v>
      </c>
      <c r="AD25" s="6" t="str">
        <f t="shared" si="5"/>
        <v>452.718254544825-474.841653379484i</v>
      </c>
      <c r="AE25" s="6" t="str">
        <f t="shared" si="5"/>
        <v>429.855491252056-474.805289560902i</v>
      </c>
    </row>
    <row r="26" spans="1:31" x14ac:dyDescent="0.2">
      <c r="A26" t="s">
        <v>8</v>
      </c>
      <c r="B26" s="5">
        <f t="shared" ref="B26:AE26" si="6">IMREAL(B25)</f>
        <v>556.03780652972296</v>
      </c>
      <c r="C26" s="5">
        <f t="shared" si="6"/>
        <v>591.46142724916103</v>
      </c>
      <c r="D26" s="5">
        <f t="shared" si="6"/>
        <v>629.44851299898698</v>
      </c>
      <c r="E26" s="5">
        <f t="shared" si="6"/>
        <v>666.65213845308097</v>
      </c>
      <c r="F26" s="5">
        <f t="shared" si="6"/>
        <v>702.54726703248298</v>
      </c>
      <c r="G26" s="5">
        <f t="shared" si="6"/>
        <v>733.91724548683806</v>
      </c>
      <c r="H26" s="5">
        <f t="shared" si="6"/>
        <v>759.60241129958899</v>
      </c>
      <c r="I26" s="5">
        <f t="shared" si="6"/>
        <v>780.82353950481797</v>
      </c>
      <c r="J26" s="5">
        <f t="shared" si="6"/>
        <v>798.68341783575704</v>
      </c>
      <c r="K26" s="5">
        <f t="shared" si="6"/>
        <v>813.164753087088</v>
      </c>
      <c r="L26" s="5">
        <f t="shared" si="6"/>
        <v>823.23384656572398</v>
      </c>
      <c r="M26" s="5">
        <f t="shared" si="6"/>
        <v>827.86869674329705</v>
      </c>
      <c r="N26" s="5">
        <f t="shared" si="6"/>
        <v>826.40006976904795</v>
      </c>
      <c r="O26" s="5">
        <f t="shared" si="6"/>
        <v>818.91177656638502</v>
      </c>
      <c r="P26" s="5">
        <f t="shared" si="6"/>
        <v>806.24552104013901</v>
      </c>
      <c r="Q26" s="5">
        <f t="shared" si="6"/>
        <v>789.30274401142401</v>
      </c>
      <c r="R26" s="5">
        <f t="shared" si="6"/>
        <v>768.94033172895797</v>
      </c>
      <c r="S26" s="5">
        <f t="shared" si="6"/>
        <v>745.97776429374005</v>
      </c>
      <c r="T26" s="5">
        <f t="shared" si="6"/>
        <v>721.10552277575198</v>
      </c>
      <c r="U26" s="5">
        <f t="shared" si="6"/>
        <v>694.81324315088398</v>
      </c>
      <c r="V26" s="5">
        <f t="shared" si="6"/>
        <v>667.52017536422295</v>
      </c>
      <c r="W26" s="5">
        <f t="shared" si="6"/>
        <v>639.59551168393796</v>
      </c>
      <c r="X26" s="5">
        <f t="shared" si="6"/>
        <v>611.36243854533802</v>
      </c>
      <c r="Y26" s="5">
        <f t="shared" si="6"/>
        <v>583.10197920300402</v>
      </c>
      <c r="Z26" s="5">
        <f t="shared" si="6"/>
        <v>555.19950644980895</v>
      </c>
      <c r="AA26" s="5">
        <f t="shared" si="6"/>
        <v>528.04728951139305</v>
      </c>
      <c r="AB26" s="5">
        <f t="shared" si="6"/>
        <v>501.84721413693097</v>
      </c>
      <c r="AC26" s="5">
        <f t="shared" si="6"/>
        <v>476.71873968486801</v>
      </c>
      <c r="AD26" s="5">
        <f t="shared" si="6"/>
        <v>452.71825454482502</v>
      </c>
      <c r="AE26" s="5">
        <f t="shared" si="6"/>
        <v>429.85549125205603</v>
      </c>
    </row>
    <row r="27" spans="1:31" x14ac:dyDescent="0.2">
      <c r="A27" t="s">
        <v>9</v>
      </c>
      <c r="B27" s="5">
        <f t="shared" ref="B27:AE27" si="7">IMAGINARY(B25)</f>
        <v>314.89819269211102</v>
      </c>
      <c r="C27" s="5">
        <f t="shared" si="7"/>
        <v>287.99354403408898</v>
      </c>
      <c r="D27" s="5">
        <f t="shared" si="7"/>
        <v>262.45659197730799</v>
      </c>
      <c r="E27" s="5">
        <f t="shared" si="7"/>
        <v>237.90351457336999</v>
      </c>
      <c r="F27" s="5">
        <f t="shared" si="7"/>
        <v>209.63305499013401</v>
      </c>
      <c r="G27" s="5">
        <f t="shared" si="7"/>
        <v>177.37064861118699</v>
      </c>
      <c r="H27" s="5">
        <f t="shared" si="7"/>
        <v>143.02334465244499</v>
      </c>
      <c r="I27" s="5">
        <f t="shared" si="7"/>
        <v>106.347124630359</v>
      </c>
      <c r="J27" s="5">
        <f t="shared" si="7"/>
        <v>66.356610713605605</v>
      </c>
      <c r="K27" s="5">
        <f t="shared" si="7"/>
        <v>22.4913565630062</v>
      </c>
      <c r="L27" s="5">
        <f t="shared" si="7"/>
        <v>-24.4148916317328</v>
      </c>
      <c r="M27" s="5">
        <f t="shared" si="7"/>
        <v>-72.860738353293797</v>
      </c>
      <c r="N27" s="5">
        <f t="shared" si="7"/>
        <v>-120.910018934467</v>
      </c>
      <c r="O27" s="5">
        <f t="shared" si="7"/>
        <v>-166.87277275995299</v>
      </c>
      <c r="P27" s="5">
        <f t="shared" si="7"/>
        <v>-210.08605684153099</v>
      </c>
      <c r="Q27" s="5">
        <f t="shared" si="7"/>
        <v>-250.24142087821599</v>
      </c>
      <c r="R27" s="5">
        <f t="shared" si="7"/>
        <v>-287.10041368693402</v>
      </c>
      <c r="S27" s="5">
        <f t="shared" si="7"/>
        <v>-320.48809106406202</v>
      </c>
      <c r="T27" s="5">
        <f t="shared" si="7"/>
        <v>-350.36128229053202</v>
      </c>
      <c r="U27" s="5">
        <f t="shared" si="7"/>
        <v>-376.72628013232497</v>
      </c>
      <c r="V27" s="5">
        <f t="shared" si="7"/>
        <v>-399.633375137146</v>
      </c>
      <c r="W27" s="5">
        <f t="shared" si="7"/>
        <v>-419.16824561246699</v>
      </c>
      <c r="X27" s="5">
        <f t="shared" si="7"/>
        <v>-435.44257631466297</v>
      </c>
      <c r="Y27" s="5">
        <f t="shared" si="7"/>
        <v>-448.58793222870298</v>
      </c>
      <c r="Z27" s="5">
        <f t="shared" si="7"/>
        <v>-458.64520660334802</v>
      </c>
      <c r="AA27" s="5">
        <f t="shared" si="7"/>
        <v>-465.87717591115899</v>
      </c>
      <c r="AB27" s="5">
        <f t="shared" si="7"/>
        <v>-470.72307707606501</v>
      </c>
      <c r="AC27" s="5">
        <f t="shared" si="7"/>
        <v>-473.58906440514897</v>
      </c>
      <c r="AD27" s="5">
        <f t="shared" si="7"/>
        <v>-474.841653379484</v>
      </c>
      <c r="AE27" s="5">
        <f t="shared" si="7"/>
        <v>-474.805289560902</v>
      </c>
    </row>
    <row r="28" spans="1:31" x14ac:dyDescent="0.2">
      <c r="A28" t="s">
        <v>17</v>
      </c>
      <c r="B28" s="5">
        <f t="shared" ref="B28:AE28" si="8">IMABS(B25)</f>
        <v>639.01401710067648</v>
      </c>
      <c r="C28" s="5">
        <f t="shared" si="8"/>
        <v>657.85021192436295</v>
      </c>
      <c r="D28" s="5">
        <f t="shared" si="8"/>
        <v>681.97426138306639</v>
      </c>
      <c r="E28" s="5">
        <f t="shared" si="8"/>
        <v>707.82989195881487</v>
      </c>
      <c r="F28" s="5">
        <f t="shared" si="8"/>
        <v>733.15665458298031</v>
      </c>
      <c r="G28" s="5">
        <f t="shared" si="8"/>
        <v>755.04627024556646</v>
      </c>
      <c r="H28" s="5">
        <f t="shared" si="8"/>
        <v>772.94986924620287</v>
      </c>
      <c r="I28" s="5">
        <f t="shared" si="8"/>
        <v>788.03243001920748</v>
      </c>
      <c r="J28" s="5">
        <f t="shared" si="8"/>
        <v>801.43521367057701</v>
      </c>
      <c r="K28" s="5">
        <f t="shared" si="8"/>
        <v>813.47573828801376</v>
      </c>
      <c r="L28" s="5">
        <f t="shared" si="8"/>
        <v>823.59580685235835</v>
      </c>
      <c r="M28" s="5">
        <f t="shared" si="8"/>
        <v>831.06874940695025</v>
      </c>
      <c r="N28" s="5">
        <f t="shared" si="8"/>
        <v>835.19836445782164</v>
      </c>
      <c r="O28" s="5">
        <f t="shared" si="8"/>
        <v>835.74100060228443</v>
      </c>
      <c r="P28" s="5">
        <f t="shared" si="8"/>
        <v>833.1674450412163</v>
      </c>
      <c r="Q28" s="5">
        <f t="shared" si="8"/>
        <v>828.02149152489517</v>
      </c>
      <c r="R28" s="5">
        <f t="shared" si="8"/>
        <v>820.78979117594326</v>
      </c>
      <c r="S28" s="5">
        <f t="shared" si="8"/>
        <v>811.90851783595258</v>
      </c>
      <c r="T28" s="5">
        <f t="shared" si="8"/>
        <v>801.71453966231434</v>
      </c>
      <c r="U28" s="5">
        <f t="shared" si="8"/>
        <v>790.37214842135495</v>
      </c>
      <c r="V28" s="5">
        <f t="shared" si="8"/>
        <v>778.00386826916849</v>
      </c>
      <c r="W28" s="5">
        <f t="shared" si="8"/>
        <v>764.7119959148489</v>
      </c>
      <c r="X28" s="5">
        <f t="shared" si="8"/>
        <v>750.58261939086572</v>
      </c>
      <c r="Y28" s="5">
        <f t="shared" si="8"/>
        <v>735.6895072594715</v>
      </c>
      <c r="Z28" s="5">
        <f t="shared" si="8"/>
        <v>720.14020683637671</v>
      </c>
      <c r="AA28" s="5">
        <f t="shared" si="8"/>
        <v>704.18426778456637</v>
      </c>
      <c r="AB28" s="5">
        <f t="shared" si="8"/>
        <v>688.06310875453687</v>
      </c>
      <c r="AC28" s="5">
        <f t="shared" si="8"/>
        <v>671.97273656813888</v>
      </c>
      <c r="AD28" s="5">
        <f t="shared" si="8"/>
        <v>656.0704335528884</v>
      </c>
      <c r="AE28" s="5">
        <f t="shared" si="8"/>
        <v>640.48091802532133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27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35"/>
  <sheetViews>
    <sheetView topLeftCell="A4"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6" ht="20.25" x14ac:dyDescent="0.3">
      <c r="A1" s="9" t="s">
        <v>28</v>
      </c>
    </row>
    <row r="3" spans="1:6" x14ac:dyDescent="0.2">
      <c r="A3" s="8" t="s">
        <v>30</v>
      </c>
    </row>
    <row r="4" spans="1:6" x14ac:dyDescent="0.2">
      <c r="A4" s="12" t="s">
        <v>29</v>
      </c>
    </row>
    <row r="6" spans="1:6" x14ac:dyDescent="0.2">
      <c r="A6" s="8" t="s">
        <v>18</v>
      </c>
    </row>
    <row r="7" spans="1:6" x14ac:dyDescent="0.2">
      <c r="A7" t="s">
        <v>3</v>
      </c>
      <c r="B7" s="3">
        <v>140</v>
      </c>
    </row>
    <row r="8" spans="1:6" x14ac:dyDescent="0.2">
      <c r="A8" t="s">
        <v>7</v>
      </c>
      <c r="B8" s="3">
        <v>2</v>
      </c>
    </row>
    <row r="9" spans="1:6" x14ac:dyDescent="0.2">
      <c r="A9" t="s">
        <v>10</v>
      </c>
      <c r="B9" s="3">
        <v>1.3</v>
      </c>
    </row>
    <row r="11" spans="1:6" x14ac:dyDescent="0.2">
      <c r="A11" s="8" t="s">
        <v>19</v>
      </c>
    </row>
    <row r="12" spans="1:6" x14ac:dyDescent="0.2">
      <c r="A12" t="s">
        <v>20</v>
      </c>
      <c r="B12" t="str">
        <f>Mix!B1</f>
        <v>#61</v>
      </c>
    </row>
    <row r="13" spans="1:6" x14ac:dyDescent="0.2">
      <c r="A13" t="s">
        <v>31</v>
      </c>
      <c r="B13">
        <f>Mix!B2</f>
        <v>125</v>
      </c>
    </row>
    <row r="14" spans="1:6" x14ac:dyDescent="0.2">
      <c r="F14">
        <v>1.06</v>
      </c>
    </row>
    <row r="15" spans="1:6" x14ac:dyDescent="0.2">
      <c r="A15" s="8" t="s">
        <v>22</v>
      </c>
    </row>
    <row r="16" spans="1:6" x14ac:dyDescent="0.2">
      <c r="A16" s="2" t="s">
        <v>11</v>
      </c>
      <c r="B16" s="4">
        <f>2*PI()*$B$8^2*$B$7*0.000000001</f>
        <v>3.5185837720205686E-6</v>
      </c>
    </row>
    <row r="18" spans="1:31" x14ac:dyDescent="0.2">
      <c r="A18" t="s">
        <v>4</v>
      </c>
      <c r="B18" s="10">
        <v>100</v>
      </c>
      <c r="C18" s="10">
        <f>B18*$F$14</f>
        <v>106</v>
      </c>
      <c r="D18" s="10">
        <f t="shared" ref="D18:AE18" si="0">C18*$F$14</f>
        <v>112.36</v>
      </c>
      <c r="E18" s="10">
        <f t="shared" si="0"/>
        <v>119.1016</v>
      </c>
      <c r="F18" s="10">
        <f t="shared" si="0"/>
        <v>126.247696</v>
      </c>
      <c r="G18" s="10">
        <f t="shared" si="0"/>
        <v>133.82255776000002</v>
      </c>
      <c r="H18" s="10">
        <f t="shared" si="0"/>
        <v>141.85191122560002</v>
      </c>
      <c r="I18" s="10">
        <f t="shared" si="0"/>
        <v>150.36302589913603</v>
      </c>
      <c r="J18" s="10">
        <f t="shared" si="0"/>
        <v>159.38480745308419</v>
      </c>
      <c r="K18" s="10">
        <f t="shared" si="0"/>
        <v>168.94789590026926</v>
      </c>
      <c r="L18" s="10">
        <f t="shared" si="0"/>
        <v>179.08476965428542</v>
      </c>
      <c r="M18" s="10">
        <f t="shared" si="0"/>
        <v>189.82985583354255</v>
      </c>
      <c r="N18" s="10">
        <f t="shared" si="0"/>
        <v>201.21964718355511</v>
      </c>
      <c r="O18" s="10">
        <f t="shared" si="0"/>
        <v>213.29282601456842</v>
      </c>
      <c r="P18" s="10">
        <f t="shared" si="0"/>
        <v>226.09039557544253</v>
      </c>
      <c r="Q18" s="10">
        <f t="shared" si="0"/>
        <v>239.6558193099691</v>
      </c>
      <c r="R18" s="10">
        <f t="shared" si="0"/>
        <v>254.03516846856726</v>
      </c>
      <c r="S18" s="10">
        <f t="shared" si="0"/>
        <v>269.27727857668134</v>
      </c>
      <c r="T18" s="10">
        <f t="shared" si="0"/>
        <v>285.43391529128223</v>
      </c>
      <c r="U18" s="10">
        <f t="shared" si="0"/>
        <v>302.55995020875918</v>
      </c>
      <c r="V18" s="10">
        <f t="shared" si="0"/>
        <v>320.71354722128473</v>
      </c>
      <c r="W18" s="10">
        <f t="shared" si="0"/>
        <v>339.95636005456186</v>
      </c>
      <c r="X18" s="10">
        <f t="shared" si="0"/>
        <v>360.3537416578356</v>
      </c>
      <c r="Y18" s="10">
        <f t="shared" si="0"/>
        <v>381.97496615730574</v>
      </c>
      <c r="Z18" s="10">
        <f t="shared" si="0"/>
        <v>404.89346412674411</v>
      </c>
      <c r="AA18" s="10">
        <f t="shared" si="0"/>
        <v>429.18707197434878</v>
      </c>
      <c r="AB18" s="10">
        <f t="shared" si="0"/>
        <v>454.93829629280975</v>
      </c>
      <c r="AC18" s="10">
        <f t="shared" si="0"/>
        <v>482.23459407037836</v>
      </c>
      <c r="AD18" s="10">
        <f t="shared" si="0"/>
        <v>511.16866971460109</v>
      </c>
      <c r="AE18" s="10">
        <f t="shared" si="0"/>
        <v>541.83878989747723</v>
      </c>
    </row>
    <row r="19" spans="1:31" x14ac:dyDescent="0.2">
      <c r="A19" t="s">
        <v>6</v>
      </c>
      <c r="B19" s="7">
        <f>csinterpolate(CSTableU2,'FT140-61 4t (3)'!B18*1000000)</f>
        <v>51.756334507965917</v>
      </c>
      <c r="C19" s="7">
        <f>csinterpolate(CSTableU2,'FT140-61 4t (3)'!C18*1000000)</f>
        <v>50.41666519607697</v>
      </c>
      <c r="D19" s="7">
        <f>csinterpolate(CSTableU2,'FT140-61 4t (3)'!D18*1000000)</f>
        <v>49.087147917311974</v>
      </c>
      <c r="E19" s="7">
        <f>csinterpolate(CSTableU2,'FT140-61 4t (3)'!E18*1000000)</f>
        <v>47.721139778529185</v>
      </c>
      <c r="F19" s="7">
        <f>csinterpolate(CSTableU2,'FT140-61 4t (3)'!F18*1000000)</f>
        <v>46.358580369405686</v>
      </c>
      <c r="G19" s="7">
        <f>csinterpolate(CSTableU2,'FT140-61 4t (3)'!G18*1000000)</f>
        <v>45.026520235212843</v>
      </c>
      <c r="H19" s="7">
        <f>csinterpolate(CSTableU2,'FT140-61 4t (3)'!H18*1000000)</f>
        <v>43.731576681999513</v>
      </c>
      <c r="I19" s="7">
        <f>csinterpolate(CSTableU2,'FT140-61 4t (3)'!I18*1000000)</f>
        <v>42.47622532808343</v>
      </c>
      <c r="J19" s="7">
        <f>csinterpolate(CSTableU2,'FT140-61 4t (3)'!J18*1000000)</f>
        <v>41.259732656289536</v>
      </c>
      <c r="K19" s="7">
        <f>csinterpolate(CSTableU2,'FT140-61 4t (3)'!K18*1000000)</f>
        <v>40.069484877771131</v>
      </c>
      <c r="L19" s="7">
        <f>csinterpolate(CSTableU2,'FT140-61 4t (3)'!L18*1000000)</f>
        <v>38.844933135501229</v>
      </c>
      <c r="M19" s="7">
        <f>csinterpolate(CSTableU2,'FT140-61 4t (3)'!M18*1000000)</f>
        <v>37.616800698976547</v>
      </c>
      <c r="N19" s="7">
        <f>csinterpolate(CSTableU2,'FT140-61 4t (3)'!N18*1000000)</f>
        <v>36.452406518412062</v>
      </c>
      <c r="O19" s="7">
        <f>csinterpolate(CSTableU2,'FT140-61 4t (3)'!O18*1000000)</f>
        <v>35.362559133115582</v>
      </c>
      <c r="P19" s="7">
        <f>csinterpolate(CSTableU2,'FT140-61 4t (3)'!P18*1000000)</f>
        <v>34.190216104986035</v>
      </c>
      <c r="Q19" s="7">
        <f>csinterpolate(CSTableU2,'FT140-61 4t (3)'!Q18*1000000)</f>
        <v>32.865075517263186</v>
      </c>
      <c r="R19" s="7">
        <f>csinterpolate(CSTableU2,'FT140-61 4t (3)'!R18*1000000)</f>
        <v>31.584139389168644</v>
      </c>
      <c r="S19" s="7">
        <f>csinterpolate(CSTableU2,'FT140-61 4t (3)'!S18*1000000)</f>
        <v>30.388444547781916</v>
      </c>
      <c r="T19" s="7">
        <f>csinterpolate(CSTableU2,'FT140-61 4t (3)'!T18*1000000)</f>
        <v>29.2695164556396</v>
      </c>
      <c r="U19" s="7">
        <f>csinterpolate(CSTableU2,'FT140-61 4t (3)'!U18*1000000)</f>
        <v>28.184938289248741</v>
      </c>
      <c r="V19" s="7">
        <f>csinterpolate(CSTableU2,'FT140-61 4t (3)'!V18*1000000)</f>
        <v>27.02642363592911</v>
      </c>
      <c r="W19" s="7">
        <f>csinterpolate(CSTableU2,'FT140-61 4t (3)'!W18*1000000)</f>
        <v>25.789982590494454</v>
      </c>
      <c r="X19" s="7">
        <f>csinterpolate(CSTableU2,'FT140-61 4t (3)'!X18*1000000)</f>
        <v>24.626492193413789</v>
      </c>
      <c r="Y19" s="7">
        <f>csinterpolate(CSTableU2,'FT140-61 4t (3)'!Y18*1000000)</f>
        <v>23.524414795530411</v>
      </c>
      <c r="Z19" s="7">
        <f>csinterpolate(CSTableU2,'FT140-61 4t (3)'!Z18*1000000)</f>
        <v>22.45759770192263</v>
      </c>
      <c r="AA19" s="7">
        <f>csinterpolate(CSTableU2,'FT140-61 4t (3)'!AA18*1000000)</f>
        <v>21.477494447171107</v>
      </c>
      <c r="AB19" s="7">
        <f>csinterpolate(CSTableU2,'FT140-61 4t (3)'!AB18*1000000)</f>
        <v>20.580136943802252</v>
      </c>
      <c r="AC19" s="7">
        <f>csinterpolate(CSTableU2,'FT140-61 4t (3)'!AC18*1000000)</f>
        <v>19.709766984004332</v>
      </c>
      <c r="AD19" s="7">
        <f>csinterpolate(CSTableU2,'FT140-61 4t (3)'!AD18*1000000)</f>
        <v>18.875894756843309</v>
      </c>
      <c r="AE19" s="7">
        <f>csinterpolate(CSTableU2,'FT140-61 4t (3)'!AE18*1000000)</f>
        <v>18.078959853299445</v>
      </c>
    </row>
    <row r="20" spans="1:31" x14ac:dyDescent="0.2">
      <c r="A20" t="s">
        <v>5</v>
      </c>
      <c r="B20" s="7">
        <f>csinterpolate(CSTableU1,'FT140-61 4t (3)'!B18*1000000)</f>
        <v>33.298118171514318</v>
      </c>
      <c r="C20" s="7">
        <f>csinterpolate(CSTableU1,'FT140-61 4t (3)'!C18*1000000)</f>
        <v>31.479294709119102</v>
      </c>
      <c r="D20" s="7">
        <f>csinterpolate(CSTableU1,'FT140-61 4t (3)'!D18*1000000)</f>
        <v>29.70147149140147</v>
      </c>
      <c r="E20" s="7">
        <f>csinterpolate(CSTableU1,'FT140-61 4t (3)'!E18*1000000)</f>
        <v>27.956441322006384</v>
      </c>
      <c r="F20" s="7">
        <f>csinterpolate(CSTableU1,'FT140-61 4t (3)'!F18*1000000)</f>
        <v>26.265678011831586</v>
      </c>
      <c r="G20" s="7">
        <f>csinterpolate(CSTableU1,'FT140-61 4t (3)'!G18*1000000)</f>
        <v>24.655988949368343</v>
      </c>
      <c r="H20" s="7">
        <f>csinterpolate(CSTableU1,'FT140-61 4t (3)'!H18*1000000)</f>
        <v>23.149763581208596</v>
      </c>
      <c r="I20" s="7">
        <f>csinterpolate(CSTableU1,'FT140-61 4t (3)'!I18*1000000)</f>
        <v>21.729826624831421</v>
      </c>
      <c r="J20" s="7">
        <f>csinterpolate(CSTableU1,'FT140-61 4t (3)'!J18*1000000)</f>
        <v>20.354456370087917</v>
      </c>
      <c r="K20" s="7">
        <f>csinterpolate(CSTableU1,'FT140-61 4t (3)'!K18*1000000)</f>
        <v>18.962082728200112</v>
      </c>
      <c r="L20" s="7">
        <f>csinterpolate(CSTableU1,'FT140-61 4t (3)'!L18*1000000)</f>
        <v>17.521512893481351</v>
      </c>
      <c r="M20" s="7">
        <f>csinterpolate(CSTableU1,'FT140-61 4t (3)'!M18*1000000)</f>
        <v>16.064253974282174</v>
      </c>
      <c r="N20" s="7">
        <f>csinterpolate(CSTableU1,'FT140-61 4t (3)'!N18*1000000)</f>
        <v>14.638469653411835</v>
      </c>
      <c r="O20" s="7">
        <f>csinterpolate(CSTableU1,'FT140-61 4t (3)'!O18*1000000)</f>
        <v>13.289191292655902</v>
      </c>
      <c r="P20" s="7">
        <f>csinterpolate(CSTableU1,'FT140-61 4t (3)'!P18*1000000)</f>
        <v>12.033173025801657</v>
      </c>
      <c r="Q20" s="7">
        <f>csinterpolate(CSTableU1,'FT140-61 4t (3)'!Q18*1000000)</f>
        <v>10.882988677011427</v>
      </c>
      <c r="R20" s="7">
        <f>csinterpolate(CSTableU1,'FT140-61 4t (3)'!R18*1000000)</f>
        <v>9.8460103044612826</v>
      </c>
      <c r="S20" s="7">
        <f>csinterpolate(CSTableU1,'FT140-61 4t (3)'!S18*1000000)</f>
        <v>8.9121594858755238</v>
      </c>
      <c r="T20" s="7">
        <f>csinterpolate(CSTableU1,'FT140-61 4t (3)'!T18*1000000)</f>
        <v>8.0583101583264689</v>
      </c>
      <c r="U20" s="7">
        <f>csinterpolate(CSTableU1,'FT140-61 4t (3)'!U18*1000000)</f>
        <v>7.2601588392930623</v>
      </c>
      <c r="V20" s="7">
        <f>csinterpolate(CSTableU1,'FT140-61 4t (3)'!V18*1000000)</f>
        <v>6.5040899778165002</v>
      </c>
      <c r="W20" s="7">
        <f>csinterpolate(CSTableU1,'FT140-61 4t (3)'!W18*1000000)</f>
        <v>5.7707117589471633</v>
      </c>
      <c r="X20" s="7">
        <f>csinterpolate(CSTableU1,'FT140-61 4t (3)'!X18*1000000)</f>
        <v>5.0531049472230105</v>
      </c>
      <c r="Y20" s="7">
        <f>csinterpolate(CSTableU1,'FT140-61 4t (3)'!Y18*1000000)</f>
        <v>4.3785868594313433</v>
      </c>
      <c r="Z20" s="7">
        <f>csinterpolate(CSTableU1,'FT140-61 4t (3)'!Z18*1000000)</f>
        <v>3.7776980201941841</v>
      </c>
      <c r="AA20" s="7">
        <f>csinterpolate(CSTableU1,'FT140-61 4t (3)'!AA18*1000000)</f>
        <v>3.2438904099349322</v>
      </c>
      <c r="AB20" s="7">
        <f>csinterpolate(CSTableU1,'FT140-61 4t (3)'!AB18*1000000)</f>
        <v>2.7501143662231997</v>
      </c>
      <c r="AC20" s="7">
        <f>csinterpolate(CSTableU1,'FT140-61 4t (3)'!AC18*1000000)</f>
        <v>2.27911187133083</v>
      </c>
      <c r="AD20" s="7">
        <f>csinterpolate(CSTableU1,'FT140-61 4t (3)'!AD18*1000000)</f>
        <v>1.8401132093099994</v>
      </c>
      <c r="AE20" s="7">
        <f>csinterpolate(CSTableU1,'FT140-61 4t (3)'!AE18*1000000)</f>
        <v>1.4425029067830493</v>
      </c>
    </row>
    <row r="21" spans="1:31" x14ac:dyDescent="0.2">
      <c r="A21" t="s">
        <v>12</v>
      </c>
      <c r="B21" s="5">
        <f t="shared" ref="B21:AE21" si="1">B19/$B$13*$B$16*B18*1000000</f>
        <v>145.68719895919764</v>
      </c>
      <c r="C21" s="5">
        <f t="shared" si="1"/>
        <v>150.4311804785674</v>
      </c>
      <c r="D21" s="5">
        <f t="shared" si="1"/>
        <v>155.25207455783863</v>
      </c>
      <c r="E21" s="5">
        <f t="shared" si="1"/>
        <v>159.98758618372338</v>
      </c>
      <c r="F21" s="5">
        <f t="shared" si="1"/>
        <v>164.74470750329567</v>
      </c>
      <c r="G21" s="5">
        <f t="shared" si="1"/>
        <v>169.61161661440781</v>
      </c>
      <c r="H21" s="5">
        <f t="shared" si="1"/>
        <v>174.61767825153731</v>
      </c>
      <c r="I21" s="5">
        <f t="shared" si="1"/>
        <v>179.78144020990604</v>
      </c>
      <c r="J21" s="5">
        <f t="shared" si="1"/>
        <v>185.11056828776853</v>
      </c>
      <c r="K21" s="5">
        <f t="shared" si="1"/>
        <v>190.55679030259512</v>
      </c>
      <c r="L21" s="5">
        <f t="shared" si="1"/>
        <v>195.81723469677132</v>
      </c>
      <c r="M21" s="5">
        <f t="shared" si="1"/>
        <v>201.00379468379293</v>
      </c>
      <c r="N21" s="5">
        <f t="shared" si="1"/>
        <v>206.46881747978603</v>
      </c>
      <c r="O21" s="5">
        <f t="shared" si="1"/>
        <v>212.31360155606333</v>
      </c>
      <c r="P21" s="5">
        <f t="shared" si="1"/>
        <v>217.59145783026267</v>
      </c>
      <c r="Q21" s="5">
        <f t="shared" si="1"/>
        <v>221.70755668337839</v>
      </c>
      <c r="R21" s="5">
        <f t="shared" si="1"/>
        <v>225.85035328630619</v>
      </c>
      <c r="S21" s="5">
        <f t="shared" si="1"/>
        <v>230.33824995241181</v>
      </c>
      <c r="T21" s="5">
        <f t="shared" si="1"/>
        <v>235.16842192923923</v>
      </c>
      <c r="U21" s="5">
        <f t="shared" si="1"/>
        <v>240.04154349059007</v>
      </c>
      <c r="V21" s="5">
        <f t="shared" si="1"/>
        <v>243.98535986499135</v>
      </c>
      <c r="W21" s="5">
        <f t="shared" si="1"/>
        <v>246.79258210775004</v>
      </c>
      <c r="X21" s="5">
        <f t="shared" si="1"/>
        <v>249.79829706606876</v>
      </c>
      <c r="Y21" s="5">
        <f t="shared" si="1"/>
        <v>252.93656245485028</v>
      </c>
      <c r="Z21" s="5">
        <f t="shared" si="1"/>
        <v>255.95401500424825</v>
      </c>
      <c r="AA21" s="5">
        <f t="shared" si="1"/>
        <v>259.47058405294706</v>
      </c>
      <c r="AB21" s="5">
        <f t="shared" si="1"/>
        <v>263.54734141744495</v>
      </c>
      <c r="AC21" s="5">
        <f t="shared" si="1"/>
        <v>267.5455515647264</v>
      </c>
      <c r="AD21" s="5">
        <f t="shared" si="1"/>
        <v>271.59993209364853</v>
      </c>
      <c r="AE21" s="5">
        <f t="shared" si="1"/>
        <v>275.741043888886</v>
      </c>
    </row>
    <row r="22" spans="1:31" x14ac:dyDescent="0.2">
      <c r="A22" t="s">
        <v>13</v>
      </c>
      <c r="B22" s="5">
        <f t="shared" ref="B22:AE22" si="2">B20/$B$13*$B$16*B18*1000000</f>
        <v>93.729774589690791</v>
      </c>
      <c r="C22" s="5">
        <f t="shared" si="2"/>
        <v>93.926630119399192</v>
      </c>
      <c r="D22" s="5">
        <f t="shared" si="2"/>
        <v>93.939356065832939</v>
      </c>
      <c r="E22" s="5">
        <f t="shared" si="2"/>
        <v>93.725413645863156</v>
      </c>
      <c r="F22" s="5">
        <f t="shared" si="2"/>
        <v>93.340464849321123</v>
      </c>
      <c r="G22" s="5">
        <f t="shared" si="2"/>
        <v>92.877311484063227</v>
      </c>
      <c r="H22" s="5">
        <f t="shared" si="2"/>
        <v>92.435678640567417</v>
      </c>
      <c r="I22" s="5">
        <f t="shared" si="2"/>
        <v>91.971908896077622</v>
      </c>
      <c r="J22" s="5">
        <f t="shared" si="2"/>
        <v>91.31966552578244</v>
      </c>
      <c r="K22" s="5">
        <f t="shared" si="2"/>
        <v>90.177191774746959</v>
      </c>
      <c r="L22" s="5">
        <f t="shared" si="2"/>
        <v>88.325913460503941</v>
      </c>
      <c r="M22" s="5">
        <f t="shared" si="2"/>
        <v>85.838666436158945</v>
      </c>
      <c r="N22" s="5">
        <f t="shared" si="2"/>
        <v>82.913250666374296</v>
      </c>
      <c r="O22" s="5">
        <f t="shared" si="2"/>
        <v>79.787100658929845</v>
      </c>
      <c r="P22" s="5">
        <f t="shared" si="2"/>
        <v>76.580845612910309</v>
      </c>
      <c r="Q22" s="5">
        <f t="shared" si="2"/>
        <v>73.416561228519683</v>
      </c>
      <c r="R22" s="5">
        <f t="shared" si="2"/>
        <v>70.406379554093164</v>
      </c>
      <c r="S22" s="5">
        <f t="shared" si="2"/>
        <v>67.552362413468487</v>
      </c>
      <c r="T22" s="5">
        <f t="shared" si="2"/>
        <v>64.7451790405255</v>
      </c>
      <c r="U22" s="5">
        <f t="shared" si="2"/>
        <v>61.832306173100001</v>
      </c>
      <c r="V22" s="5">
        <f t="shared" si="2"/>
        <v>58.71671203000767</v>
      </c>
      <c r="W22" s="5">
        <f t="shared" si="2"/>
        <v>55.221784295234059</v>
      </c>
      <c r="X22" s="5">
        <f t="shared" si="2"/>
        <v>51.256062000174694</v>
      </c>
      <c r="Y22" s="5">
        <f t="shared" si="2"/>
        <v>47.078948329246693</v>
      </c>
      <c r="Z22" s="5">
        <f t="shared" si="2"/>
        <v>43.055227392354688</v>
      </c>
      <c r="AA22" s="5">
        <f t="shared" si="2"/>
        <v>39.189587097317748</v>
      </c>
      <c r="AB22" s="5">
        <f t="shared" si="2"/>
        <v>35.217711708683098</v>
      </c>
      <c r="AC22" s="5">
        <f t="shared" si="2"/>
        <v>30.937262890412896</v>
      </c>
      <c r="AD22" s="5">
        <f t="shared" si="2"/>
        <v>26.476870587129763</v>
      </c>
      <c r="AE22" s="5">
        <f t="shared" si="2"/>
        <v>22.001114032924793</v>
      </c>
    </row>
    <row r="23" spans="1:31" x14ac:dyDescent="0.2">
      <c r="A23" t="s">
        <v>14</v>
      </c>
      <c r="B23" s="5" t="str">
        <f t="shared" ref="B23:AE23" si="3">IMDIV(1,COMPLEX(B21,B22))</f>
        <v>0.00485461681038712-0.00312328154160164i</v>
      </c>
      <c r="C23" s="5" t="str">
        <f t="shared" si="3"/>
        <v>0.00478291895883261-0.00298637196429725i</v>
      </c>
      <c r="D23" s="5" t="str">
        <f t="shared" si="3"/>
        <v>0.00471492267440763-0.0028528881252987i</v>
      </c>
      <c r="E23" s="5" t="str">
        <f t="shared" si="3"/>
        <v>0.00465344236073262-0.00272612282327953i</v>
      </c>
      <c r="F23" s="5" t="str">
        <f t="shared" si="3"/>
        <v>0.00459497135760466-0.00260340237321162i</v>
      </c>
      <c r="G23" s="5" t="str">
        <f t="shared" si="3"/>
        <v>0.00453576179044165-0.00248372941097583i</v>
      </c>
      <c r="H23" s="5" t="str">
        <f t="shared" si="3"/>
        <v>0.00447328293948348-0.00236797870870092i</v>
      </c>
      <c r="I23" s="5" t="str">
        <f t="shared" si="3"/>
        <v>0.00440854747737808-0.00225530803669192i</v>
      </c>
      <c r="J23" s="5" t="str">
        <f t="shared" si="3"/>
        <v>0.0043447877668008-0.00214339229420958i</v>
      </c>
      <c r="K23" s="5" t="str">
        <f t="shared" si="3"/>
        <v>0.00428758838449852-0.00202901549394346i</v>
      </c>
      <c r="L23" s="5" t="str">
        <f t="shared" si="3"/>
        <v>0.00424344134020239-0.00191405947065813i</v>
      </c>
      <c r="M23" s="5" t="str">
        <f t="shared" si="3"/>
        <v>0.00420767049556588-0.00179688559964917i</v>
      </c>
      <c r="N23" s="5" t="str">
        <f t="shared" si="3"/>
        <v>0.00417075189946424-0.00167488050703536i</v>
      </c>
      <c r="O23" s="5" t="str">
        <f t="shared" si="3"/>
        <v>0.00412715837434156-0.00155097929777232i</v>
      </c>
      <c r="P23" s="5" t="str">
        <f t="shared" si="3"/>
        <v>0.00408924496210887-0.00143920096974081i</v>
      </c>
      <c r="Q23" s="5" t="str">
        <f t="shared" si="3"/>
        <v>0.00406472963192384-0.00134600045376752i</v>
      </c>
      <c r="R23" s="5" t="str">
        <f t="shared" si="3"/>
        <v>0.0040355324969768-0.00125803315580757i</v>
      </c>
      <c r="S23" s="5" t="str">
        <f t="shared" si="3"/>
        <v>0.00399760713986028-0.00117239670942322i</v>
      </c>
      <c r="T23" s="5" t="str">
        <f t="shared" si="3"/>
        <v>0.00395266788210031-0.00108822514355828i</v>
      </c>
      <c r="U23" s="5" t="str">
        <f t="shared" si="3"/>
        <v>0.00390672417068173-0.00100633316026362i</v>
      </c>
      <c r="V23" s="5" t="str">
        <f t="shared" si="3"/>
        <v>0.00387422814039356-0.000932358966881938i</v>
      </c>
      <c r="W23" s="5" t="str">
        <f t="shared" si="3"/>
        <v>0.0038587855607995-0.000863433665874929i</v>
      </c>
      <c r="X23" s="5" t="str">
        <f t="shared" si="3"/>
        <v>0.00384149207657378-0.000788234981433711i</v>
      </c>
      <c r="Y23" s="5" t="str">
        <f t="shared" si="3"/>
        <v>0.00382117888318718-0.000711234000543082i</v>
      </c>
      <c r="Z23" s="5" t="str">
        <f t="shared" si="3"/>
        <v>0.00379944208638996-0.000639122003969687i</v>
      </c>
      <c r="AA23" s="5" t="str">
        <f t="shared" si="3"/>
        <v>0.00376804444535074-0.000569113090474657i</v>
      </c>
      <c r="AB23" s="5" t="str">
        <f t="shared" si="3"/>
        <v>0.00372781759908874-0.000498146575113097i</v>
      </c>
      <c r="AC23" s="5" t="str">
        <f t="shared" si="3"/>
        <v>0.00368836366907866-0.000426498873924013i</v>
      </c>
      <c r="AD23" s="5" t="str">
        <f t="shared" si="3"/>
        <v>0.00364722540430486-0.000355549113313383i</v>
      </c>
      <c r="AE23" s="5" t="str">
        <f t="shared" si="3"/>
        <v>0.00360364916250091-0.000287531718313162i</v>
      </c>
    </row>
    <row r="24" spans="1:31" x14ac:dyDescent="0.2">
      <c r="A24" t="s">
        <v>15</v>
      </c>
      <c r="B24" s="6" t="str">
        <f t="shared" ref="B24:AE24" si="4">COMPLEX(0,2*PI()*B18*1000000*$B$9*0.000000000001)</f>
        <v>0.000816814089933346i</v>
      </c>
      <c r="C24" s="6" t="str">
        <f t="shared" si="4"/>
        <v>0.000865822935329347i</v>
      </c>
      <c r="D24" s="6" t="str">
        <f t="shared" si="4"/>
        <v>0.000917772311449108i</v>
      </c>
      <c r="E24" s="6" t="str">
        <f t="shared" si="4"/>
        <v>0.000972838650136054i</v>
      </c>
      <c r="F24" s="6" t="str">
        <f t="shared" si="4"/>
        <v>0.00103120896914422i</v>
      </c>
      <c r="G24" s="6" t="str">
        <f t="shared" si="4"/>
        <v>0.00109308150729287i</v>
      </c>
      <c r="H24" s="6" t="str">
        <f t="shared" si="4"/>
        <v>0.00115866639773044i</v>
      </c>
      <c r="I24" s="6" t="str">
        <f t="shared" si="4"/>
        <v>0.00122818638159427i</v>
      </c>
      <c r="J24" s="6" t="str">
        <f t="shared" si="4"/>
        <v>0.00130187756448993i</v>
      </c>
      <c r="K24" s="6" t="str">
        <f t="shared" si="4"/>
        <v>0.00137999021835932i</v>
      </c>
      <c r="L24" s="6" t="str">
        <f t="shared" si="4"/>
        <v>0.00146278963146088i</v>
      </c>
      <c r="M24" s="6" t="str">
        <f t="shared" si="4"/>
        <v>0.00155055700934853i</v>
      </c>
      <c r="N24" s="6" t="str">
        <f t="shared" si="4"/>
        <v>0.00164359042990945i</v>
      </c>
      <c r="O24" s="6" t="str">
        <f t="shared" si="4"/>
        <v>0.00174220585570401i</v>
      </c>
      <c r="P24" s="6" t="str">
        <f t="shared" si="4"/>
        <v>0.00184673820704625i</v>
      </c>
      <c r="Q24" s="6" t="str">
        <f t="shared" si="4"/>
        <v>0.00195754249946903i</v>
      </c>
      <c r="R24" s="6" t="str">
        <f t="shared" si="4"/>
        <v>0.00207499504943717i</v>
      </c>
      <c r="S24" s="6" t="str">
        <f t="shared" si="4"/>
        <v>0.0021994947524034i</v>
      </c>
      <c r="T24" s="6" t="str">
        <f t="shared" si="4"/>
        <v>0.00233146443754761i</v>
      </c>
      <c r="U24" s="6" t="str">
        <f t="shared" si="4"/>
        <v>0.00247135230380046i</v>
      </c>
      <c r="V24" s="6" t="str">
        <f t="shared" si="4"/>
        <v>0.00261963344202849i</v>
      </c>
      <c r="W24" s="6" t="str">
        <f t="shared" si="4"/>
        <v>0.0027768114485502i</v>
      </c>
      <c r="X24" s="6" t="str">
        <f t="shared" si="4"/>
        <v>0.00294342013546321i</v>
      </c>
      <c r="Y24" s="6" t="str">
        <f t="shared" si="4"/>
        <v>0.003120025343591i</v>
      </c>
      <c r="Z24" s="6" t="str">
        <f t="shared" si="4"/>
        <v>0.00330722686420646i</v>
      </c>
      <c r="AA24" s="6" t="str">
        <f t="shared" si="4"/>
        <v>0.00350566047605885i</v>
      </c>
      <c r="AB24" s="6" t="str">
        <f t="shared" si="4"/>
        <v>0.00371600010462238i</v>
      </c>
      <c r="AC24" s="6" t="str">
        <f t="shared" si="4"/>
        <v>0.00393896011089973i</v>
      </c>
      <c r="AD24" s="6" t="str">
        <f t="shared" si="4"/>
        <v>0.00417529771755371i</v>
      </c>
      <c r="AE24" s="6" t="str">
        <f t="shared" si="4"/>
        <v>0.00442581558060693i</v>
      </c>
    </row>
    <row r="25" spans="1:31" x14ac:dyDescent="0.2">
      <c r="A25" t="s">
        <v>16</v>
      </c>
      <c r="B25" s="6" t="str">
        <f t="shared" ref="B25:AE25" si="5">IMDIV(1,IMSUM(B23,B24))</f>
        <v>168.054854994859+79.8442118667586i</v>
      </c>
      <c r="C25" s="6" t="str">
        <f t="shared" si="5"/>
        <v>174.730998746556+77.4685193104417i</v>
      </c>
      <c r="D25" s="6" t="str">
        <f t="shared" si="5"/>
        <v>181.516534787177+74.4986802961675i</v>
      </c>
      <c r="E25" s="6" t="str">
        <f t="shared" si="5"/>
        <v>188.181106421699+70.9012662019627i</v>
      </c>
      <c r="F25" s="6" t="str">
        <f t="shared" si="5"/>
        <v>194.821431015258+66.6591682462265i</v>
      </c>
      <c r="G25" s="6" t="str">
        <f t="shared" si="5"/>
        <v>201.526387889475+61.7872502576926i</v>
      </c>
      <c r="H25" s="6" t="str">
        <f t="shared" si="5"/>
        <v>208.324228625475+56.3186048721761i</v>
      </c>
      <c r="I25" s="6" t="str">
        <f t="shared" si="5"/>
        <v>215.153218096308+50.1272880931056i</v>
      </c>
      <c r="J25" s="6" t="str">
        <f t="shared" si="5"/>
        <v>221.838910017462+42.9665890313683i</v>
      </c>
      <c r="K25" s="6" t="str">
        <f t="shared" si="5"/>
        <v>228.0068413342+34.5140880516932i</v>
      </c>
      <c r="L25" s="6" t="str">
        <f t="shared" si="5"/>
        <v>233.022464159808+24.7808327016318i</v>
      </c>
      <c r="M25" s="6" t="str">
        <f t="shared" si="5"/>
        <v>236.849452384919+13.8658176254387i</v>
      </c>
      <c r="N25" s="6" t="str">
        <f t="shared" si="5"/>
        <v>239.751426918476+1.79867822880804i</v>
      </c>
      <c r="O25" s="6" t="str">
        <f t="shared" si="5"/>
        <v>241.778409203342-11.2024906195975i</v>
      </c>
      <c r="P25" s="6" t="str">
        <f t="shared" si="5"/>
        <v>242.138933460725-24.1317487460519i</v>
      </c>
      <c r="Q25" s="6" t="str">
        <f t="shared" si="5"/>
        <v>240.573335036887-36.1944637828371i</v>
      </c>
      <c r="R25" s="6" t="str">
        <f t="shared" si="5"/>
        <v>238.043094021759-48.1899568404302i</v>
      </c>
      <c r="S25" s="6" t="str">
        <f t="shared" si="5"/>
        <v>234.659289697851-60.2905910419717i</v>
      </c>
      <c r="T25" s="6" t="str">
        <f t="shared" si="5"/>
        <v>230.218157551194-72.4109052909816i</v>
      </c>
      <c r="U25" s="6" t="str">
        <f t="shared" si="5"/>
        <v>224.41120683816-84.1540635270237i</v>
      </c>
      <c r="V25" s="6" t="str">
        <f t="shared" si="5"/>
        <v>216.964114685214-94.4905667568516i</v>
      </c>
      <c r="W25" s="6" t="str">
        <f t="shared" si="5"/>
        <v>208.006874352011-103.140152713333i</v>
      </c>
      <c r="X25" s="6" t="str">
        <f t="shared" si="5"/>
        <v>197.995823133204-111.081228353625i</v>
      </c>
      <c r="Y25" s="6" t="str">
        <f t="shared" si="5"/>
        <v>187.278871903975-118.056688568793i</v>
      </c>
      <c r="Z25" s="6" t="str">
        <f t="shared" si="5"/>
        <v>176.271051569028-123.783871083355i</v>
      </c>
      <c r="AA25" s="6" t="str">
        <f t="shared" si="5"/>
        <v>165.10963270858-128.674772099196i</v>
      </c>
      <c r="AB25" s="6" t="str">
        <f t="shared" si="5"/>
        <v>153.716796308619-132.688395394523i</v>
      </c>
      <c r="AC25" s="6" t="str">
        <f t="shared" si="5"/>
        <v>142.1805367737-135.399778567598i</v>
      </c>
      <c r="AD25" s="6" t="str">
        <f t="shared" si="5"/>
        <v>130.758985260588-136.944223642302i</v>
      </c>
      <c r="AE25" s="6" t="str">
        <f t="shared" si="5"/>
        <v>119.676122001202-137.431182128665i</v>
      </c>
    </row>
    <row r="26" spans="1:31" x14ac:dyDescent="0.2">
      <c r="A26" t="s">
        <v>8</v>
      </c>
      <c r="B26" s="5">
        <f t="shared" ref="B26:AE26" si="6">IMREAL(B25)</f>
        <v>168.054854994859</v>
      </c>
      <c r="C26" s="5">
        <f t="shared" si="6"/>
        <v>174.730998746556</v>
      </c>
      <c r="D26" s="5">
        <f t="shared" si="6"/>
        <v>181.51653478717699</v>
      </c>
      <c r="E26" s="5">
        <f t="shared" si="6"/>
        <v>188.18110642169901</v>
      </c>
      <c r="F26" s="5">
        <f t="shared" si="6"/>
        <v>194.82143101525801</v>
      </c>
      <c r="G26" s="5">
        <f t="shared" si="6"/>
        <v>201.52638788947499</v>
      </c>
      <c r="H26" s="5">
        <f t="shared" si="6"/>
        <v>208.324228625475</v>
      </c>
      <c r="I26" s="5">
        <f t="shared" si="6"/>
        <v>215.153218096308</v>
      </c>
      <c r="J26" s="5">
        <f t="shared" si="6"/>
        <v>221.83891001746201</v>
      </c>
      <c r="K26" s="5">
        <f t="shared" si="6"/>
        <v>228.0068413342</v>
      </c>
      <c r="L26" s="5">
        <f t="shared" si="6"/>
        <v>233.02246415980801</v>
      </c>
      <c r="M26" s="5">
        <f t="shared" si="6"/>
        <v>236.849452384919</v>
      </c>
      <c r="N26" s="5">
        <f t="shared" si="6"/>
        <v>239.751426918476</v>
      </c>
      <c r="O26" s="5">
        <f t="shared" si="6"/>
        <v>241.77840920334199</v>
      </c>
      <c r="P26" s="5">
        <f t="shared" si="6"/>
        <v>242.13893346072501</v>
      </c>
      <c r="Q26" s="5">
        <f t="shared" si="6"/>
        <v>240.57333503688699</v>
      </c>
      <c r="R26" s="5">
        <f t="shared" si="6"/>
        <v>238.043094021759</v>
      </c>
      <c r="S26" s="5">
        <f t="shared" si="6"/>
        <v>234.65928969785099</v>
      </c>
      <c r="T26" s="5">
        <f t="shared" si="6"/>
        <v>230.218157551194</v>
      </c>
      <c r="U26" s="5">
        <f t="shared" si="6"/>
        <v>224.41120683816001</v>
      </c>
      <c r="V26" s="5">
        <f t="shared" si="6"/>
        <v>216.96411468521401</v>
      </c>
      <c r="W26" s="5">
        <f t="shared" si="6"/>
        <v>208.00687435201101</v>
      </c>
      <c r="X26" s="5">
        <f t="shared" si="6"/>
        <v>197.995823133204</v>
      </c>
      <c r="Y26" s="5">
        <f t="shared" si="6"/>
        <v>187.27887190397499</v>
      </c>
      <c r="Z26" s="5">
        <f t="shared" si="6"/>
        <v>176.271051569028</v>
      </c>
      <c r="AA26" s="5">
        <f t="shared" si="6"/>
        <v>165.10963270857999</v>
      </c>
      <c r="AB26" s="5">
        <f t="shared" si="6"/>
        <v>153.716796308619</v>
      </c>
      <c r="AC26" s="5">
        <f t="shared" si="6"/>
        <v>142.1805367737</v>
      </c>
      <c r="AD26" s="5">
        <f t="shared" si="6"/>
        <v>130.75898526058799</v>
      </c>
      <c r="AE26" s="5">
        <f t="shared" si="6"/>
        <v>119.676122001202</v>
      </c>
    </row>
    <row r="27" spans="1:31" x14ac:dyDescent="0.2">
      <c r="A27" t="s">
        <v>9</v>
      </c>
      <c r="B27" s="5">
        <f t="shared" ref="B27:AE27" si="7">IMAGINARY(B25)</f>
        <v>79.844211866758599</v>
      </c>
      <c r="C27" s="5">
        <f t="shared" si="7"/>
        <v>77.468519310441707</v>
      </c>
      <c r="D27" s="5">
        <f t="shared" si="7"/>
        <v>74.498680296167507</v>
      </c>
      <c r="E27" s="5">
        <f t="shared" si="7"/>
        <v>70.901266201962699</v>
      </c>
      <c r="F27" s="5">
        <f t="shared" si="7"/>
        <v>66.6591682462265</v>
      </c>
      <c r="G27" s="5">
        <f t="shared" si="7"/>
        <v>61.787250257692598</v>
      </c>
      <c r="H27" s="5">
        <f t="shared" si="7"/>
        <v>56.318604872176103</v>
      </c>
      <c r="I27" s="5">
        <f t="shared" si="7"/>
        <v>50.127288093105598</v>
      </c>
      <c r="J27" s="5">
        <f t="shared" si="7"/>
        <v>42.966589031368301</v>
      </c>
      <c r="K27" s="5">
        <f t="shared" si="7"/>
        <v>34.5140880516932</v>
      </c>
      <c r="L27" s="5">
        <f t="shared" si="7"/>
        <v>24.780832701631802</v>
      </c>
      <c r="M27" s="5">
        <f t="shared" si="7"/>
        <v>13.8658176254387</v>
      </c>
      <c r="N27" s="5">
        <f t="shared" si="7"/>
        <v>1.7986782288080401</v>
      </c>
      <c r="O27" s="5">
        <f t="shared" si="7"/>
        <v>-11.2024906195975</v>
      </c>
      <c r="P27" s="5">
        <f t="shared" si="7"/>
        <v>-24.131748746051901</v>
      </c>
      <c r="Q27" s="5">
        <f t="shared" si="7"/>
        <v>-36.194463782837097</v>
      </c>
      <c r="R27" s="5">
        <f t="shared" si="7"/>
        <v>-48.189956840430199</v>
      </c>
      <c r="S27" s="5">
        <f t="shared" si="7"/>
        <v>-60.290591041971702</v>
      </c>
      <c r="T27" s="5">
        <f t="shared" si="7"/>
        <v>-72.410905290981603</v>
      </c>
      <c r="U27" s="5">
        <f t="shared" si="7"/>
        <v>-84.154063527023695</v>
      </c>
      <c r="V27" s="5">
        <f t="shared" si="7"/>
        <v>-94.490566756851607</v>
      </c>
      <c r="W27" s="5">
        <f t="shared" si="7"/>
        <v>-103.14015271333299</v>
      </c>
      <c r="X27" s="5">
        <f t="shared" si="7"/>
        <v>-111.08122835362499</v>
      </c>
      <c r="Y27" s="5">
        <f t="shared" si="7"/>
        <v>-118.05668856879301</v>
      </c>
      <c r="Z27" s="5">
        <f t="shared" si="7"/>
        <v>-123.783871083355</v>
      </c>
      <c r="AA27" s="5">
        <f t="shared" si="7"/>
        <v>-128.67477209919599</v>
      </c>
      <c r="AB27" s="5">
        <f t="shared" si="7"/>
        <v>-132.68839539452301</v>
      </c>
      <c r="AC27" s="5">
        <f t="shared" si="7"/>
        <v>-135.39977856759799</v>
      </c>
      <c r="AD27" s="5">
        <f t="shared" si="7"/>
        <v>-136.94422364230201</v>
      </c>
      <c r="AE27" s="5">
        <f t="shared" si="7"/>
        <v>-137.431182128665</v>
      </c>
    </row>
    <row r="28" spans="1:31" x14ac:dyDescent="0.2">
      <c r="A28" t="s">
        <v>17</v>
      </c>
      <c r="B28" s="5">
        <f t="shared" ref="B28:AE28" si="8">IMABS(B25)</f>
        <v>186.05787394240247</v>
      </c>
      <c r="C28" s="5">
        <f t="shared" si="8"/>
        <v>191.13422876900214</v>
      </c>
      <c r="D28" s="5">
        <f t="shared" si="8"/>
        <v>196.20985135057572</v>
      </c>
      <c r="E28" s="5">
        <f t="shared" si="8"/>
        <v>201.09479944328839</v>
      </c>
      <c r="F28" s="5">
        <f t="shared" si="8"/>
        <v>205.9097731874611</v>
      </c>
      <c r="G28" s="5">
        <f t="shared" si="8"/>
        <v>210.78555289721797</v>
      </c>
      <c r="H28" s="5">
        <f t="shared" si="8"/>
        <v>215.80261696084102</v>
      </c>
      <c r="I28" s="5">
        <f t="shared" si="8"/>
        <v>220.91548671101958</v>
      </c>
      <c r="J28" s="5">
        <f t="shared" si="8"/>
        <v>225.96156702131029</v>
      </c>
      <c r="K28" s="5">
        <f t="shared" si="8"/>
        <v>230.60429737808244</v>
      </c>
      <c r="L28" s="5">
        <f t="shared" si="8"/>
        <v>234.33642156629273</v>
      </c>
      <c r="M28" s="5">
        <f t="shared" si="8"/>
        <v>237.25497675171735</v>
      </c>
      <c r="N28" s="5">
        <f t="shared" si="8"/>
        <v>239.75817390198841</v>
      </c>
      <c r="O28" s="5">
        <f t="shared" si="8"/>
        <v>242.03779653802184</v>
      </c>
      <c r="P28" s="5">
        <f t="shared" si="8"/>
        <v>243.33845646555741</v>
      </c>
      <c r="Q28" s="5">
        <f t="shared" si="8"/>
        <v>243.28084334632143</v>
      </c>
      <c r="R28" s="5">
        <f t="shared" si="8"/>
        <v>242.8719550539636</v>
      </c>
      <c r="S28" s="5">
        <f t="shared" si="8"/>
        <v>242.28070003549652</v>
      </c>
      <c r="T28" s="5">
        <f t="shared" si="8"/>
        <v>241.33739716696599</v>
      </c>
      <c r="U28" s="5">
        <f t="shared" si="8"/>
        <v>239.67122514534319</v>
      </c>
      <c r="V28" s="5">
        <f t="shared" si="8"/>
        <v>236.64719366003422</v>
      </c>
      <c r="W28" s="5">
        <f t="shared" si="8"/>
        <v>232.17396684258759</v>
      </c>
      <c r="X28" s="5">
        <f t="shared" si="8"/>
        <v>227.02727869299139</v>
      </c>
      <c r="Y28" s="5">
        <f t="shared" si="8"/>
        <v>221.3837337688893</v>
      </c>
      <c r="Z28" s="5">
        <f t="shared" si="8"/>
        <v>215.39250303023914</v>
      </c>
      <c r="AA28" s="5">
        <f t="shared" si="8"/>
        <v>209.32842087958869</v>
      </c>
      <c r="AB28" s="5">
        <f t="shared" si="8"/>
        <v>203.0641862558702</v>
      </c>
      <c r="AC28" s="5">
        <f t="shared" si="8"/>
        <v>196.33747750598212</v>
      </c>
      <c r="AD28" s="5">
        <f t="shared" si="8"/>
        <v>189.34527354906831</v>
      </c>
      <c r="AE28" s="5">
        <f t="shared" si="8"/>
        <v>182.2352984427794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27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35"/>
  <sheetViews>
    <sheetView topLeftCell="A4" workbookViewId="0">
      <selection activeCell="C33" sqref="C3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28</v>
      </c>
    </row>
    <row r="3" spans="1:2" x14ac:dyDescent="0.2">
      <c r="A3" s="8" t="s">
        <v>30</v>
      </c>
    </row>
    <row r="4" spans="1:2" x14ac:dyDescent="0.2">
      <c r="A4" s="12" t="s">
        <v>29</v>
      </c>
    </row>
    <row r="6" spans="1:2" x14ac:dyDescent="0.2">
      <c r="A6" s="8" t="s">
        <v>18</v>
      </c>
    </row>
    <row r="7" spans="1:2" x14ac:dyDescent="0.2">
      <c r="A7" t="s">
        <v>3</v>
      </c>
      <c r="B7" s="3">
        <v>140</v>
      </c>
    </row>
    <row r="8" spans="1:2" x14ac:dyDescent="0.2">
      <c r="A8" t="s">
        <v>7</v>
      </c>
      <c r="B8" s="3">
        <v>5</v>
      </c>
    </row>
    <row r="9" spans="1:2" x14ac:dyDescent="0.2">
      <c r="A9" t="s">
        <v>10</v>
      </c>
      <c r="B9" s="3">
        <v>1.8</v>
      </c>
    </row>
    <row r="11" spans="1:2" x14ac:dyDescent="0.2">
      <c r="A11" s="8" t="s">
        <v>19</v>
      </c>
    </row>
    <row r="12" spans="1:2" x14ac:dyDescent="0.2">
      <c r="A12" t="s">
        <v>20</v>
      </c>
      <c r="B12" t="str">
        <f>Mix!B1</f>
        <v>#61</v>
      </c>
    </row>
    <row r="13" spans="1:2" x14ac:dyDescent="0.2">
      <c r="A13" t="s">
        <v>31</v>
      </c>
      <c r="B13">
        <f>Mix!B2</f>
        <v>125</v>
      </c>
    </row>
    <row r="15" spans="1:2" x14ac:dyDescent="0.2">
      <c r="A15" s="8" t="s">
        <v>22</v>
      </c>
    </row>
    <row r="16" spans="1:2" x14ac:dyDescent="0.2">
      <c r="A16" s="2" t="s">
        <v>11</v>
      </c>
      <c r="B16" s="4">
        <f>2*PI()*$B$8^2*$B$7*0.000000001</f>
        <v>2.1991148575128556E-5</v>
      </c>
    </row>
    <row r="18" spans="1:31" x14ac:dyDescent="0.2">
      <c r="A18" t="s">
        <v>4</v>
      </c>
      <c r="B18" s="10">
        <v>50</v>
      </c>
      <c r="C18" s="10">
        <f t="shared" ref="C18:AE18" si="0">B18+5</f>
        <v>55</v>
      </c>
      <c r="D18" s="10">
        <f t="shared" si="0"/>
        <v>60</v>
      </c>
      <c r="E18" s="10">
        <f t="shared" si="0"/>
        <v>65</v>
      </c>
      <c r="F18" s="10">
        <f t="shared" si="0"/>
        <v>70</v>
      </c>
      <c r="G18" s="10">
        <f t="shared" si="0"/>
        <v>75</v>
      </c>
      <c r="H18" s="10">
        <f t="shared" si="0"/>
        <v>80</v>
      </c>
      <c r="I18" s="10">
        <f t="shared" si="0"/>
        <v>85</v>
      </c>
      <c r="J18" s="10">
        <f t="shared" si="0"/>
        <v>90</v>
      </c>
      <c r="K18" s="10">
        <f t="shared" si="0"/>
        <v>95</v>
      </c>
      <c r="L18" s="10">
        <f t="shared" si="0"/>
        <v>100</v>
      </c>
      <c r="M18" s="10">
        <f t="shared" si="0"/>
        <v>105</v>
      </c>
      <c r="N18" s="10">
        <f t="shared" si="0"/>
        <v>110</v>
      </c>
      <c r="O18" s="10">
        <f t="shared" si="0"/>
        <v>115</v>
      </c>
      <c r="P18" s="10">
        <f t="shared" si="0"/>
        <v>120</v>
      </c>
      <c r="Q18" s="10">
        <f t="shared" si="0"/>
        <v>125</v>
      </c>
      <c r="R18" s="10">
        <f t="shared" si="0"/>
        <v>130</v>
      </c>
      <c r="S18" s="10">
        <f t="shared" si="0"/>
        <v>135</v>
      </c>
      <c r="T18" s="10">
        <f t="shared" si="0"/>
        <v>140</v>
      </c>
      <c r="U18" s="10">
        <f t="shared" si="0"/>
        <v>145</v>
      </c>
      <c r="V18" s="10">
        <f t="shared" si="0"/>
        <v>150</v>
      </c>
      <c r="W18" s="10">
        <f t="shared" si="0"/>
        <v>155</v>
      </c>
      <c r="X18" s="10">
        <f t="shared" si="0"/>
        <v>160</v>
      </c>
      <c r="Y18" s="10">
        <f t="shared" si="0"/>
        <v>165</v>
      </c>
      <c r="Z18" s="10">
        <f t="shared" si="0"/>
        <v>170</v>
      </c>
      <c r="AA18" s="10">
        <f t="shared" si="0"/>
        <v>175</v>
      </c>
      <c r="AB18" s="10">
        <f t="shared" si="0"/>
        <v>180</v>
      </c>
      <c r="AC18" s="10">
        <f t="shared" si="0"/>
        <v>185</v>
      </c>
      <c r="AD18" s="10">
        <f t="shared" si="0"/>
        <v>190</v>
      </c>
      <c r="AE18" s="10">
        <f t="shared" si="0"/>
        <v>195</v>
      </c>
    </row>
    <row r="19" spans="1:31" x14ac:dyDescent="0.2">
      <c r="A19" t="s">
        <v>6</v>
      </c>
      <c r="B19" s="7">
        <f>csinterpolate(CSTableU2,'FT140-61 4t (2)'!B18*1000000)</f>
        <v>74.523767919540148</v>
      </c>
      <c r="C19" s="7">
        <f>csinterpolate(CSTableU2,'FT140-61 4t (2)'!C18*1000000)</f>
        <v>70.952454855135997</v>
      </c>
      <c r="D19" s="7">
        <f>csinterpolate(CSTableU2,'FT140-61 4t (2)'!D18*1000000)</f>
        <v>68.061211872466714</v>
      </c>
      <c r="E19" s="7">
        <f>csinterpolate(CSTableU2,'FT140-61 4t (2)'!E18*1000000)</f>
        <v>65.350912567581403</v>
      </c>
      <c r="F19" s="7">
        <f>csinterpolate(CSTableU2,'FT140-61 4t (2)'!F18*1000000)</f>
        <v>62.974565369065758</v>
      </c>
      <c r="G19" s="7">
        <f>csinterpolate(CSTableU2,'FT140-61 4t (2)'!G18*1000000)</f>
        <v>60.722038589992017</v>
      </c>
      <c r="H19" s="7">
        <f>csinterpolate(CSTableU2,'FT140-61 4t (2)'!H18*1000000)</f>
        <v>58.479631642653558</v>
      </c>
      <c r="I19" s="7">
        <f>csinterpolate(CSTableU2,'FT140-61 4t (2)'!I18*1000000)</f>
        <v>56.382249016580005</v>
      </c>
      <c r="J19" s="7">
        <f>csinterpolate(CSTableU2,'FT140-61 4t (2)'!J18*1000000)</f>
        <v>54.556286168351399</v>
      </c>
      <c r="K19" s="7">
        <f>csinterpolate(CSTableU2,'FT140-61 4t (2)'!K18*1000000)</f>
        <v>53.037210367521254</v>
      </c>
      <c r="L19" s="7">
        <f>csinterpolate(CSTableU2,'FT140-61 4t (2)'!L18*1000000)</f>
        <v>51.756334507965917</v>
      </c>
      <c r="M19" s="7">
        <f>csinterpolate(CSTableU2,'FT140-61 4t (2)'!M18*1000000)</f>
        <v>50.630531456953051</v>
      </c>
      <c r="N19" s="7">
        <f>csinterpolate(CSTableU2,'FT140-61 4t (2)'!N18*1000000)</f>
        <v>49.577000696610547</v>
      </c>
      <c r="O19" s="7">
        <f>csinterpolate(CSTableU2,'FT140-61 4t (2)'!O18*1000000)</f>
        <v>48.545228104487677</v>
      </c>
      <c r="P19" s="7">
        <f>csinterpolate(CSTableU2,'FT140-61 4t (2)'!P18*1000000)</f>
        <v>47.544243813024551</v>
      </c>
      <c r="Q19" s="7">
        <f>csinterpolate(CSTableU2,'FT140-61 4t (2)'!Q18*1000000)</f>
        <v>46.588929650797787</v>
      </c>
      <c r="R19" s="7">
        <f>csinterpolate(CSTableU2,'FT140-61 4t (2)'!R18*1000000)</f>
        <v>45.684711256848303</v>
      </c>
      <c r="S19" s="7">
        <f>csinterpolate(CSTableU2,'FT140-61 4t (2)'!S18*1000000)</f>
        <v>44.829365020231123</v>
      </c>
      <c r="T19" s="7">
        <f>csinterpolate(CSTableU2,'FT140-61 4t (2)'!T18*1000000)</f>
        <v>44.020198196349682</v>
      </c>
      <c r="U19" s="7">
        <f>csinterpolate(CSTableU2,'FT140-61 4t (2)'!U18*1000000)</f>
        <v>43.25400373844419</v>
      </c>
      <c r="V19" s="7">
        <f>csinterpolate(CSTableU2,'FT140-61 4t (2)'!V18*1000000)</f>
        <v>42.527513047138406</v>
      </c>
      <c r="W19" s="7">
        <f>csinterpolate(CSTableU2,'FT140-61 4t (2)'!W18*1000000)</f>
        <v>41.837465564627131</v>
      </c>
      <c r="X19" s="7">
        <f>csinterpolate(CSTableU2,'FT140-61 4t (2)'!X18*1000000)</f>
        <v>41.180591348216879</v>
      </c>
      <c r="Y19" s="7">
        <f>csinterpolate(CSTableU2,'FT140-61 4t (2)'!Y18*1000000)</f>
        <v>40.553618730512937</v>
      </c>
      <c r="Z19" s="7">
        <f>csinterpolate(CSTableU2,'FT140-61 4t (2)'!Z18*1000000)</f>
        <v>39.94079901138447</v>
      </c>
      <c r="AA19" s="7">
        <f>csinterpolate(CSTableU2,'FT140-61 4t (2)'!AA18*1000000)</f>
        <v>39.333362823165814</v>
      </c>
      <c r="AB19" s="7">
        <f>csinterpolate(CSTableU2,'FT140-61 4t (2)'!AB18*1000000)</f>
        <v>38.736796596729313</v>
      </c>
      <c r="AC19" s="7">
        <f>csinterpolate(CSTableU2,'FT140-61 4t (2)'!AC18*1000000)</f>
        <v>38.156585554313274</v>
      </c>
      <c r="AD19" s="7">
        <f>csinterpolate(CSTableU2,'FT140-61 4t (2)'!AD18*1000000)</f>
        <v>37.598218544051115</v>
      </c>
      <c r="AE19" s="7">
        <f>csinterpolate(CSTableU2,'FT140-61 4t (2)'!AE18*1000000)</f>
        <v>37.067181090352904</v>
      </c>
    </row>
    <row r="20" spans="1:31" x14ac:dyDescent="0.2">
      <c r="A20" t="s">
        <v>5</v>
      </c>
      <c r="B20" s="7">
        <f>csinterpolate(CSTableU1,'FT140-61 4t (2)'!B18*1000000)</f>
        <v>64.556070822511316</v>
      </c>
      <c r="C20" s="7">
        <f>csinterpolate(CSTableU1,'FT140-61 4t (2)'!C18*1000000)</f>
        <v>57.870880767031025</v>
      </c>
      <c r="D20" s="7">
        <f>csinterpolate(CSTableU1,'FT140-61 4t (2)'!D18*1000000)</f>
        <v>53.025187452432803</v>
      </c>
      <c r="E20" s="7">
        <f>csinterpolate(CSTableU1,'FT140-61 4t (2)'!E18*1000000)</f>
        <v>49.397673131230057</v>
      </c>
      <c r="F20" s="7">
        <f>csinterpolate(CSTableU1,'FT140-61 4t (2)'!F18*1000000)</f>
        <v>46.339890455253283</v>
      </c>
      <c r="G20" s="7">
        <f>csinterpolate(CSTableU1,'FT140-61 4t (2)'!G18*1000000)</f>
        <v>43.570641342295666</v>
      </c>
      <c r="H20" s="7">
        <f>csinterpolate(CSTableU1,'FT140-61 4t (2)'!H18*1000000)</f>
        <v>41.067166897057021</v>
      </c>
      <c r="I20" s="7">
        <f>csinterpolate(CSTableU1,'FT140-61 4t (2)'!I18*1000000)</f>
        <v>38.812104919789888</v>
      </c>
      <c r="J20" s="7">
        <f>csinterpolate(CSTableU1,'FT140-61 4t (2)'!J18*1000000)</f>
        <v>36.785864387403514</v>
      </c>
      <c r="K20" s="7">
        <f>csinterpolate(CSTableU1,'FT140-61 4t (2)'!K18*1000000)</f>
        <v>34.958733170558737</v>
      </c>
      <c r="L20" s="7">
        <f>csinterpolate(CSTableU1,'FT140-61 4t (2)'!L18*1000000)</f>
        <v>33.298118171514318</v>
      </c>
      <c r="M20" s="7">
        <f>csinterpolate(CSTableU1,'FT140-61 4t (2)'!M18*1000000)</f>
        <v>31.771429560779392</v>
      </c>
      <c r="N20" s="7">
        <f>csinterpolate(CSTableU1,'FT140-61 4t (2)'!N18*1000000)</f>
        <v>30.346184192349313</v>
      </c>
      <c r="O20" s="7">
        <f>csinterpolate(CSTableU1,'FT140-61 4t (2)'!O18*1000000)</f>
        <v>29.000974604106421</v>
      </c>
      <c r="P20" s="7">
        <f>csinterpolate(CSTableU1,'FT140-61 4t (2)'!P18*1000000)</f>
        <v>27.734819868251559</v>
      </c>
      <c r="Q20" s="7">
        <f>csinterpolate(CSTableU1,'FT140-61 4t (2)'!Q18*1000000)</f>
        <v>26.548942839196471</v>
      </c>
      <c r="R20" s="7">
        <f>csinterpolate(CSTableU1,'FT140-61 4t (2)'!R18*1000000)</f>
        <v>25.444565918109504</v>
      </c>
      <c r="S20" s="7">
        <f>csinterpolate(CSTableU1,'FT140-61 4t (2)'!S18*1000000)</f>
        <v>24.422881277336863</v>
      </c>
      <c r="T20" s="7">
        <f>csinterpolate(CSTableU1,'FT140-61 4t (2)'!T18*1000000)</f>
        <v>23.4807918051693</v>
      </c>
      <c r="U20" s="7">
        <f>csinterpolate(CSTableU1,'FT140-61 4t (2)'!U18*1000000)</f>
        <v>22.606579189231262</v>
      </c>
      <c r="V20" s="7">
        <f>csinterpolate(CSTableU1,'FT140-61 4t (2)'!V18*1000000)</f>
        <v>21.787492422005482</v>
      </c>
      <c r="W20" s="7">
        <f>csinterpolate(CSTableU1,'FT140-61 4t (2)'!W18*1000000)</f>
        <v>21.010784887185707</v>
      </c>
      <c r="X20" s="7">
        <f>csinterpolate(CSTableU1,'FT140-61 4t (2)'!X18*1000000)</f>
        <v>20.263704839949476</v>
      </c>
      <c r="Y20" s="7">
        <f>csinterpolate(CSTableU1,'FT140-61 4t (2)'!Y18*1000000)</f>
        <v>19.533504258866763</v>
      </c>
      <c r="Z20" s="7">
        <f>csinterpolate(CSTableU1,'FT140-61 4t (2)'!Z18*1000000)</f>
        <v>18.810542760356615</v>
      </c>
      <c r="AA20" s="7">
        <f>csinterpolate(CSTableU1,'FT140-61 4t (2)'!AA18*1000000)</f>
        <v>18.096156099461048</v>
      </c>
      <c r="AB20" s="7">
        <f>csinterpolate(CSTableU1,'FT140-61 4t (2)'!AB18*1000000)</f>
        <v>17.394094622484001</v>
      </c>
      <c r="AC20" s="7">
        <f>csinterpolate(CSTableU1,'FT140-61 4t (2)'!AC18*1000000)</f>
        <v>16.708108680907021</v>
      </c>
      <c r="AD20" s="7">
        <f>csinterpolate(CSTableU1,'FT140-61 4t (2)'!AD18*1000000)</f>
        <v>16.041951830730035</v>
      </c>
      <c r="AE20" s="7">
        <f>csinterpolate(CSTableU1,'FT140-61 4t (2)'!AE18*1000000)</f>
        <v>15.399374568309012</v>
      </c>
    </row>
    <row r="21" spans="1:31" x14ac:dyDescent="0.2">
      <c r="A21" t="s">
        <v>12</v>
      </c>
      <c r="B21" s="5">
        <f t="shared" ref="B21:AE21" si="1">B19/$B$13*$B$16*B18*1000000</f>
        <v>655.54530107880259</v>
      </c>
      <c r="C21" s="5">
        <f t="shared" si="1"/>
        <v>686.54342965533476</v>
      </c>
      <c r="D21" s="5">
        <f t="shared" si="1"/>
        <v>718.43722679554526</v>
      </c>
      <c r="E21" s="5">
        <f t="shared" si="1"/>
        <v>747.3136464528377</v>
      </c>
      <c r="F21" s="5">
        <f t="shared" si="1"/>
        <v>775.53449315175158</v>
      </c>
      <c r="G21" s="5">
        <f t="shared" si="1"/>
        <v>801.20842345032247</v>
      </c>
      <c r="H21" s="5">
        <f t="shared" si="1"/>
        <v>823.06193156632548</v>
      </c>
      <c r="I21" s="5">
        <f t="shared" si="1"/>
        <v>843.13908228398452</v>
      </c>
      <c r="J21" s="5">
        <f t="shared" si="1"/>
        <v>863.82388428152149</v>
      </c>
      <c r="K21" s="5">
        <f t="shared" si="1"/>
        <v>886.42537163390625</v>
      </c>
      <c r="L21" s="5">
        <f t="shared" si="1"/>
        <v>910.54499349498531</v>
      </c>
      <c r="M21" s="5">
        <f t="shared" si="1"/>
        <v>935.27577335436274</v>
      </c>
      <c r="N21" s="5">
        <f t="shared" si="1"/>
        <v>959.42456564100485</v>
      </c>
      <c r="O21" s="5">
        <f t="shared" si="1"/>
        <v>982.16009795055129</v>
      </c>
      <c r="P21" s="5">
        <f t="shared" si="1"/>
        <v>1003.730428400985</v>
      </c>
      <c r="Q21" s="5">
        <f t="shared" si="1"/>
        <v>1024.5440739069063</v>
      </c>
      <c r="R21" s="5">
        <f t="shared" si="1"/>
        <v>1044.8456437756472</v>
      </c>
      <c r="S21" s="5">
        <f t="shared" si="1"/>
        <v>1064.7171648236595</v>
      </c>
      <c r="T21" s="5">
        <f t="shared" si="1"/>
        <v>1084.2212851036359</v>
      </c>
      <c r="U21" s="5">
        <f t="shared" si="1"/>
        <v>1103.3980583102989</v>
      </c>
      <c r="V21" s="5">
        <f t="shared" si="1"/>
        <v>1122.2746295404065</v>
      </c>
      <c r="W21" s="5">
        <f t="shared" si="1"/>
        <v>1140.8668623357896</v>
      </c>
      <c r="X21" s="5">
        <f t="shared" si="1"/>
        <v>1159.1788835203724</v>
      </c>
      <c r="Y21" s="5">
        <f t="shared" si="1"/>
        <v>1177.2032642856107</v>
      </c>
      <c r="Z21" s="5">
        <f t="shared" si="1"/>
        <v>1194.5479015654369</v>
      </c>
      <c r="AA21" s="5">
        <f t="shared" si="1"/>
        <v>1210.9801561251484</v>
      </c>
      <c r="AB21" s="5">
        <f t="shared" si="1"/>
        <v>1226.6879749678203</v>
      </c>
      <c r="AC21" s="5">
        <f t="shared" si="1"/>
        <v>1241.8785702258708</v>
      </c>
      <c r="AD21" s="5">
        <f t="shared" si="1"/>
        <v>1256.77857544682</v>
      </c>
      <c r="AE21" s="5">
        <f t="shared" si="1"/>
        <v>1271.6338231258683</v>
      </c>
    </row>
    <row r="22" spans="1:31" x14ac:dyDescent="0.2">
      <c r="A22" t="s">
        <v>13</v>
      </c>
      <c r="B22" s="5">
        <f t="shared" ref="B22:AE22" si="2">B20/$B$13*$B$16*B18*1000000</f>
        <v>567.86485795374722</v>
      </c>
      <c r="C22" s="5">
        <f t="shared" si="2"/>
        <v>559.96474033338473</v>
      </c>
      <c r="D22" s="5">
        <f t="shared" si="2"/>
        <v>559.72069223543622</v>
      </c>
      <c r="E22" s="5">
        <f t="shared" si="2"/>
        <v>564.88201592914834</v>
      </c>
      <c r="F22" s="5">
        <f t="shared" si="2"/>
        <v>570.67775293572765</v>
      </c>
      <c r="G22" s="5">
        <f t="shared" si="2"/>
        <v>574.90106836323764</v>
      </c>
      <c r="H22" s="5">
        <f t="shared" si="2"/>
        <v>577.99306802738056</v>
      </c>
      <c r="I22" s="5">
        <f t="shared" si="2"/>
        <v>580.39548074711274</v>
      </c>
      <c r="J22" s="5">
        <f t="shared" si="2"/>
        <v>582.45365462970312</v>
      </c>
      <c r="K22" s="5">
        <f t="shared" si="2"/>
        <v>584.27484831554455</v>
      </c>
      <c r="L22" s="5">
        <f t="shared" si="2"/>
        <v>585.81109118556753</v>
      </c>
      <c r="M22" s="5">
        <f t="shared" si="2"/>
        <v>586.89979144887798</v>
      </c>
      <c r="N22" s="5">
        <f t="shared" si="2"/>
        <v>587.26575183071077</v>
      </c>
      <c r="O22" s="5">
        <f t="shared" si="2"/>
        <v>586.74356203503953</v>
      </c>
      <c r="P22" s="5">
        <f t="shared" si="2"/>
        <v>585.52372265006159</v>
      </c>
      <c r="Q22" s="5">
        <f t="shared" si="2"/>
        <v>583.84174648936494</v>
      </c>
      <c r="R22" s="5">
        <f t="shared" si="2"/>
        <v>581.9374387161904</v>
      </c>
      <c r="S22" s="5">
        <f t="shared" si="2"/>
        <v>580.0541876668517</v>
      </c>
      <c r="T22" s="5">
        <f t="shared" si="2"/>
        <v>578.33393099903583</v>
      </c>
      <c r="U22" s="5">
        <f t="shared" si="2"/>
        <v>576.68778440192091</v>
      </c>
      <c r="V22" s="5">
        <f t="shared" si="2"/>
        <v>574.95837951817202</v>
      </c>
      <c r="W22" s="5">
        <f t="shared" si="2"/>
        <v>572.94360224636659</v>
      </c>
      <c r="X22" s="5">
        <f t="shared" si="2"/>
        <v>570.3963440868871</v>
      </c>
      <c r="Y22" s="5">
        <f t="shared" si="2"/>
        <v>567.02473654153198</v>
      </c>
      <c r="Z22" s="5">
        <f t="shared" si="2"/>
        <v>562.58499924566308</v>
      </c>
      <c r="AA22" s="5">
        <f t="shared" si="2"/>
        <v>557.13736039075343</v>
      </c>
      <c r="AB22" s="5">
        <f t="shared" si="2"/>
        <v>550.82321160896197</v>
      </c>
      <c r="AC22" s="5">
        <f t="shared" si="2"/>
        <v>543.79714060860783</v>
      </c>
      <c r="AD22" s="5">
        <f t="shared" si="2"/>
        <v>536.22703813985243</v>
      </c>
      <c r="AE22" s="5">
        <f t="shared" si="2"/>
        <v>528.29389718935386</v>
      </c>
    </row>
    <row r="23" spans="1:31" x14ac:dyDescent="0.2">
      <c r="A23" t="s">
        <v>14</v>
      </c>
      <c r="B23" s="5" t="str">
        <f t="shared" ref="B23:AE23" si="3">IMDIV(1,COMPLEX(B21,B22))</f>
        <v>0.000871492243167527-0.000754928481768843i</v>
      </c>
      <c r="C23" s="5" t="str">
        <f t="shared" si="3"/>
        <v>0.000874686377994868-0.000713419587706106i</v>
      </c>
      <c r="D23" s="5" t="str">
        <f t="shared" si="3"/>
        <v>0.000866172153794397-0.000674818146157714i</v>
      </c>
      <c r="E23" s="5" t="str">
        <f t="shared" si="3"/>
        <v>0.00085157215498476-0.00064368929685707i</v>
      </c>
      <c r="F23" s="5" t="str">
        <f t="shared" si="3"/>
        <v>0.000836492325750482-0.000615533628771632i</v>
      </c>
      <c r="G23" s="5" t="str">
        <f t="shared" si="3"/>
        <v>0.000823910302748598-0.000591190630829678i</v>
      </c>
      <c r="H23" s="5" t="str">
        <f t="shared" si="3"/>
        <v>0.000813698757024664-0.000571417803430328i</v>
      </c>
      <c r="I23" s="5" t="str">
        <f t="shared" si="3"/>
        <v>0.00080471980636032-0.000553948629227353i</v>
      </c>
      <c r="J23" s="5" t="str">
        <f t="shared" si="3"/>
        <v>0.000795825407712468-0.000536604075904707i</v>
      </c>
      <c r="K23" s="5" t="str">
        <f t="shared" si="3"/>
        <v>0.000786446728599824-0.00051837532833017i</v>
      </c>
      <c r="L23" s="5" t="str">
        <f t="shared" si="3"/>
        <v>0.000776738689661941-0.000499725046656265i</v>
      </c>
      <c r="M23" s="5" t="str">
        <f t="shared" si="3"/>
        <v>0.000767127464690422-0.000481384166967971i</v>
      </c>
      <c r="N23" s="5" t="str">
        <f t="shared" si="3"/>
        <v>0.000758212689917334-0.000464103548458128i</v>
      </c>
      <c r="O23" s="5" t="str">
        <f t="shared" si="3"/>
        <v>0.000750366908382167-0.00044827004637643i</v>
      </c>
      <c r="P23" s="5" t="str">
        <f t="shared" si="3"/>
        <v>0.000743331786831815-0.00043362080362877i</v>
      </c>
      <c r="Q23" s="5" t="str">
        <f t="shared" si="3"/>
        <v>0.000736784308996508-0.000419860354186741i</v>
      </c>
      <c r="R23" s="5" t="str">
        <f t="shared" si="3"/>
        <v>0.000730480660439688-0.000406848654727472i</v>
      </c>
      <c r="S23" s="5" t="str">
        <f t="shared" si="3"/>
        <v>0.000724255265147801-0.00039457173545082i</v>
      </c>
      <c r="T23" s="5" t="str">
        <f t="shared" si="3"/>
        <v>0.000718024520948279-0.000383001098999845i</v>
      </c>
      <c r="U23" s="5" t="str">
        <f t="shared" si="3"/>
        <v>0.000711843962011727-0.000372043175353299i</v>
      </c>
      <c r="V23" s="5" t="str">
        <f t="shared" si="3"/>
        <v>0.000705798706063922-0.000361591423010889i</v>
      </c>
      <c r="W23" s="5" t="str">
        <f t="shared" si="3"/>
        <v>0.00069998635700776-0.000351533310456778i</v>
      </c>
      <c r="X23" s="5" t="str">
        <f t="shared" si="3"/>
        <v>0.000694515142995093-0.00034174958162997i</v>
      </c>
      <c r="Y23" s="5" t="str">
        <f t="shared" si="3"/>
        <v>0.00068950173853347-0.000332113028818458i</v>
      </c>
      <c r="Z23" s="5" t="str">
        <f t="shared" si="3"/>
        <v>0.000685164616897648-0.000322685540676413i</v>
      </c>
      <c r="AA23" s="5" t="str">
        <f t="shared" si="3"/>
        <v>0.000681522432296787-0.000313548993397112i</v>
      </c>
      <c r="AB23" s="5" t="str">
        <f t="shared" si="3"/>
        <v>0.000678414224013224-0.000304630280313923i</v>
      </c>
      <c r="AC23" s="5" t="str">
        <f t="shared" si="3"/>
        <v>0.000675676620682406-0.000295867102559272i</v>
      </c>
      <c r="AD23" s="5" t="str">
        <f t="shared" si="3"/>
        <v>0.000673142556651121-0.000287208301009259i</v>
      </c>
      <c r="AE23" s="5" t="str">
        <f t="shared" si="3"/>
        <v>0.000670640941035643-0.000278614417068227i</v>
      </c>
    </row>
    <row r="24" spans="1:31" x14ac:dyDescent="0.2">
      <c r="A24" t="s">
        <v>15</v>
      </c>
      <c r="B24" s="6" t="str">
        <f t="shared" ref="B24:AE24" si="4">COMPLEX(0,2*PI()*B18*1000000*$B$9*0.000000000001)</f>
        <v>0.000565486677646163i</v>
      </c>
      <c r="C24" s="6" t="str">
        <f t="shared" si="4"/>
        <v>0.000622035345410779i</v>
      </c>
      <c r="D24" s="6" t="str">
        <f t="shared" si="4"/>
        <v>0.000678584013175395i</v>
      </c>
      <c r="E24" s="6" t="str">
        <f t="shared" si="4"/>
        <v>0.000735132680940012i</v>
      </c>
      <c r="F24" s="6" t="str">
        <f t="shared" si="4"/>
        <v>0.000791681348704628i</v>
      </c>
      <c r="G24" s="6" t="str">
        <f t="shared" si="4"/>
        <v>0.000848230016469244i</v>
      </c>
      <c r="H24" s="6" t="str">
        <f t="shared" si="4"/>
        <v>0.000904778684233861i</v>
      </c>
      <c r="I24" s="6" t="str">
        <f t="shared" si="4"/>
        <v>0.000961327351998477i</v>
      </c>
      <c r="J24" s="6" t="str">
        <f t="shared" si="4"/>
        <v>0.00101787601976309i</v>
      </c>
      <c r="K24" s="6" t="str">
        <f t="shared" si="4"/>
        <v>0.00107442468752771i</v>
      </c>
      <c r="L24" s="6" t="str">
        <f t="shared" si="4"/>
        <v>0.00113097335529233i</v>
      </c>
      <c r="M24" s="6" t="str">
        <f t="shared" si="4"/>
        <v>0.00118752202305694i</v>
      </c>
      <c r="N24" s="6" t="str">
        <f t="shared" si="4"/>
        <v>0.00124407069082156i</v>
      </c>
      <c r="O24" s="6" t="str">
        <f t="shared" si="4"/>
        <v>0.00130061935858617i</v>
      </c>
      <c r="P24" s="6" t="str">
        <f t="shared" si="4"/>
        <v>0.00135716802635079i</v>
      </c>
      <c r="Q24" s="6" t="str">
        <f t="shared" si="4"/>
        <v>0.00141371669411541i</v>
      </c>
      <c r="R24" s="6" t="str">
        <f t="shared" si="4"/>
        <v>0.00147026536188002i</v>
      </c>
      <c r="S24" s="6" t="str">
        <f t="shared" si="4"/>
        <v>0.00152681402964464i</v>
      </c>
      <c r="T24" s="6" t="str">
        <f t="shared" si="4"/>
        <v>0.00158336269740926i</v>
      </c>
      <c r="U24" s="6" t="str">
        <f t="shared" si="4"/>
        <v>0.00163991136517387i</v>
      </c>
      <c r="V24" s="6" t="str">
        <f t="shared" si="4"/>
        <v>0.00169646003293849i</v>
      </c>
      <c r="W24" s="6" t="str">
        <f t="shared" si="4"/>
        <v>0.0017530087007031i</v>
      </c>
      <c r="X24" s="6" t="str">
        <f t="shared" si="4"/>
        <v>0.00180955736846772i</v>
      </c>
      <c r="Y24" s="6" t="str">
        <f t="shared" si="4"/>
        <v>0.00186610603623234i</v>
      </c>
      <c r="Z24" s="6" t="str">
        <f t="shared" si="4"/>
        <v>0.00192265470399695i</v>
      </c>
      <c r="AA24" s="6" t="str">
        <f t="shared" si="4"/>
        <v>0.00197920337176157i</v>
      </c>
      <c r="AB24" s="6" t="str">
        <f t="shared" si="4"/>
        <v>0.00203575203952619i</v>
      </c>
      <c r="AC24" s="6" t="str">
        <f t="shared" si="4"/>
        <v>0.0020923007072908i</v>
      </c>
      <c r="AD24" s="6" t="str">
        <f t="shared" si="4"/>
        <v>0.00214884937505542i</v>
      </c>
      <c r="AE24" s="6" t="str">
        <f t="shared" si="4"/>
        <v>0.00220539804282003i</v>
      </c>
    </row>
    <row r="25" spans="1:31" x14ac:dyDescent="0.2">
      <c r="A25" t="s">
        <v>16</v>
      </c>
      <c r="B25" s="6" t="str">
        <f t="shared" ref="B25:AE25" si="5">IMDIV(1,IMSUM(B23,B24))</f>
        <v>1095.68338820872+238.175657255516i</v>
      </c>
      <c r="C25" s="6" t="str">
        <f t="shared" si="5"/>
        <v>1130.92249681647+118.154915940532i</v>
      </c>
      <c r="D25" s="6" t="str">
        <f t="shared" si="5"/>
        <v>1154.48308211895-5.01935988403351i</v>
      </c>
      <c r="E25" s="6" t="str">
        <f t="shared" si="5"/>
        <v>1160.91229603899-124.660897320208i</v>
      </c>
      <c r="F25" s="6" t="str">
        <f t="shared" si="5"/>
        <v>1144.70785813554-241.051439436762i</v>
      </c>
      <c r="G25" s="6" t="str">
        <f t="shared" si="5"/>
        <v>1106.07214702318-345.066816369967i</v>
      </c>
      <c r="H25" s="6" t="str">
        <f t="shared" si="5"/>
        <v>1052.33028180793-431.124843944045i</v>
      </c>
      <c r="I25" s="6" t="str">
        <f t="shared" si="5"/>
        <v>989.168722611524-500.753538856226i</v>
      </c>
      <c r="J25" s="6" t="str">
        <f t="shared" si="5"/>
        <v>920.071107603484-556.408988897537i</v>
      </c>
      <c r="K25" s="6" t="str">
        <f t="shared" si="5"/>
        <v>847.747935579553-599.391769585337i</v>
      </c>
      <c r="L25" s="6" t="str">
        <f t="shared" si="5"/>
        <v>775.345069567711-630.115726547555i</v>
      </c>
      <c r="M25" s="6" t="str">
        <f t="shared" si="5"/>
        <v>705.654241026756-649.551992118818i</v>
      </c>
      <c r="N25" s="6" t="str">
        <f t="shared" si="5"/>
        <v>640.796244950026-659.1818135692i</v>
      </c>
      <c r="O25" s="6" t="str">
        <f t="shared" si="5"/>
        <v>581.882825235592-660.966548945436i</v>
      </c>
      <c r="P25" s="6" t="str">
        <f t="shared" si="5"/>
        <v>528.88047581586-657.103736507037i</v>
      </c>
      <c r="Q25" s="6" t="str">
        <f t="shared" si="5"/>
        <v>481.369114421043-649.324015687567i</v>
      </c>
      <c r="R25" s="6" t="str">
        <f t="shared" si="5"/>
        <v>438.870227152366-638.897040127996i</v>
      </c>
      <c r="S25" s="6" t="str">
        <f t="shared" si="5"/>
        <v>400.912221262231-626.7538463523i</v>
      </c>
      <c r="T25" s="6" t="str">
        <f t="shared" si="5"/>
        <v>367.008048358902-613.5478033193i</v>
      </c>
      <c r="U25" s="6" t="str">
        <f t="shared" si="5"/>
        <v>336.694761819788-599.688416242393i</v>
      </c>
      <c r="V25" s="6" t="str">
        <f t="shared" si="5"/>
        <v>309.557303339727-585.462007300158i</v>
      </c>
      <c r="W25" s="6" t="str">
        <f t="shared" si="5"/>
        <v>285.229744287287-571.071797589982i</v>
      </c>
      <c r="X25" s="6" t="str">
        <f t="shared" si="5"/>
        <v>263.392085168659-556.660221884782i</v>
      </c>
      <c r="Y25" s="6" t="str">
        <f t="shared" si="5"/>
        <v>243.76532940256-542.325406675268i</v>
      </c>
      <c r="Z25" s="6" t="str">
        <f t="shared" si="5"/>
        <v>226.175315705451-528.155601892482i</v>
      </c>
      <c r="AA25" s="6" t="str">
        <f t="shared" si="5"/>
        <v>210.419340419598-514.269052716721i</v>
      </c>
      <c r="AB25" s="6" t="str">
        <f t="shared" si="5"/>
        <v>196.242016154116-500.754276976146i</v>
      </c>
      <c r="AC25" s="6" t="str">
        <f t="shared" si="5"/>
        <v>183.422730144524-487.669317269609i</v>
      </c>
      <c r="AD25" s="6" t="str">
        <f t="shared" si="5"/>
        <v>171.771379002708-475.05042035654i</v>
      </c>
      <c r="AE25" s="6" t="str">
        <f t="shared" si="5"/>
        <v>161.124447141076-462.918273346567i</v>
      </c>
    </row>
    <row r="26" spans="1:31" x14ac:dyDescent="0.2">
      <c r="A26" t="s">
        <v>8</v>
      </c>
      <c r="B26" s="5">
        <f t="shared" ref="B26:AE26" si="6">IMREAL(B25)</f>
        <v>1095.6833882087201</v>
      </c>
      <c r="C26" s="5">
        <f t="shared" si="6"/>
        <v>1130.9224968164699</v>
      </c>
      <c r="D26" s="5">
        <f t="shared" si="6"/>
        <v>1154.4830821189501</v>
      </c>
      <c r="E26" s="5">
        <f t="shared" si="6"/>
        <v>1160.91229603899</v>
      </c>
      <c r="F26" s="5">
        <f t="shared" si="6"/>
        <v>1144.7078581355399</v>
      </c>
      <c r="G26" s="5">
        <f t="shared" si="6"/>
        <v>1106.0721470231799</v>
      </c>
      <c r="H26" s="5">
        <f t="shared" si="6"/>
        <v>1052.3302818079301</v>
      </c>
      <c r="I26" s="5">
        <f t="shared" si="6"/>
        <v>989.168722611524</v>
      </c>
      <c r="J26" s="5">
        <f t="shared" si="6"/>
        <v>920.07110760348405</v>
      </c>
      <c r="K26" s="5">
        <f t="shared" si="6"/>
        <v>847.74793557955297</v>
      </c>
      <c r="L26" s="5">
        <f t="shared" si="6"/>
        <v>775.34506956771099</v>
      </c>
      <c r="M26" s="5">
        <f t="shared" si="6"/>
        <v>705.65424102675604</v>
      </c>
      <c r="N26" s="5">
        <f t="shared" si="6"/>
        <v>640.79624495002599</v>
      </c>
      <c r="O26" s="5">
        <f t="shared" si="6"/>
        <v>581.88282523559201</v>
      </c>
      <c r="P26" s="5">
        <f t="shared" si="6"/>
        <v>528.88047581586</v>
      </c>
      <c r="Q26" s="5">
        <f t="shared" si="6"/>
        <v>481.36911442104298</v>
      </c>
      <c r="R26" s="5">
        <f t="shared" si="6"/>
        <v>438.870227152366</v>
      </c>
      <c r="S26" s="5">
        <f t="shared" si="6"/>
        <v>400.91222126223101</v>
      </c>
      <c r="T26" s="5">
        <f t="shared" si="6"/>
        <v>367.00804835890199</v>
      </c>
      <c r="U26" s="5">
        <f t="shared" si="6"/>
        <v>336.69476181978803</v>
      </c>
      <c r="V26" s="5">
        <f t="shared" si="6"/>
        <v>309.55730333972701</v>
      </c>
      <c r="W26" s="5">
        <f t="shared" si="6"/>
        <v>285.22974428728702</v>
      </c>
      <c r="X26" s="5">
        <f t="shared" si="6"/>
        <v>263.39208516865898</v>
      </c>
      <c r="Y26" s="5">
        <f t="shared" si="6"/>
        <v>243.76532940256001</v>
      </c>
      <c r="Z26" s="5">
        <f t="shared" si="6"/>
        <v>226.175315705451</v>
      </c>
      <c r="AA26" s="5">
        <f t="shared" si="6"/>
        <v>210.419340419598</v>
      </c>
      <c r="AB26" s="5">
        <f t="shared" si="6"/>
        <v>196.24201615411599</v>
      </c>
      <c r="AC26" s="5">
        <f t="shared" si="6"/>
        <v>183.422730144524</v>
      </c>
      <c r="AD26" s="5">
        <f t="shared" si="6"/>
        <v>171.77137900270799</v>
      </c>
      <c r="AE26" s="5">
        <f t="shared" si="6"/>
        <v>161.12444714107599</v>
      </c>
    </row>
    <row r="27" spans="1:31" x14ac:dyDescent="0.2">
      <c r="A27" t="s">
        <v>9</v>
      </c>
      <c r="B27" s="5">
        <f t="shared" ref="B27:AE27" si="7">IMAGINARY(B25)</f>
        <v>238.175657255516</v>
      </c>
      <c r="C27" s="5">
        <f t="shared" si="7"/>
        <v>118.15491594053201</v>
      </c>
      <c r="D27" s="5">
        <f t="shared" si="7"/>
        <v>-5.0193598840335101</v>
      </c>
      <c r="E27" s="5">
        <f t="shared" si="7"/>
        <v>-124.66089732020799</v>
      </c>
      <c r="F27" s="5">
        <f t="shared" si="7"/>
        <v>-241.051439436762</v>
      </c>
      <c r="G27" s="5">
        <f t="shared" si="7"/>
        <v>-345.066816369967</v>
      </c>
      <c r="H27" s="5">
        <f t="shared" si="7"/>
        <v>-431.12484394404498</v>
      </c>
      <c r="I27" s="5">
        <f t="shared" si="7"/>
        <v>-500.75353885622599</v>
      </c>
      <c r="J27" s="5">
        <f t="shared" si="7"/>
        <v>-556.40898889753703</v>
      </c>
      <c r="K27" s="5">
        <f t="shared" si="7"/>
        <v>-599.39176958533699</v>
      </c>
      <c r="L27" s="5">
        <f t="shared" si="7"/>
        <v>-630.11572654755503</v>
      </c>
      <c r="M27" s="5">
        <f t="shared" si="7"/>
        <v>-649.55199211881802</v>
      </c>
      <c r="N27" s="5">
        <f t="shared" si="7"/>
        <v>-659.18181356920002</v>
      </c>
      <c r="O27" s="5">
        <f t="shared" si="7"/>
        <v>-660.96654894543599</v>
      </c>
      <c r="P27" s="5">
        <f t="shared" si="7"/>
        <v>-657.10373650703696</v>
      </c>
      <c r="Q27" s="5">
        <f t="shared" si="7"/>
        <v>-649.324015687567</v>
      </c>
      <c r="R27" s="5">
        <f t="shared" si="7"/>
        <v>-638.89704012799598</v>
      </c>
      <c r="S27" s="5">
        <f t="shared" si="7"/>
        <v>-626.7538463523</v>
      </c>
      <c r="T27" s="5">
        <f t="shared" si="7"/>
        <v>-613.54780331929999</v>
      </c>
      <c r="U27" s="5">
        <f t="shared" si="7"/>
        <v>-599.68841624239303</v>
      </c>
      <c r="V27" s="5">
        <f t="shared" si="7"/>
        <v>-585.46200730015801</v>
      </c>
      <c r="W27" s="5">
        <f t="shared" si="7"/>
        <v>-571.071797589982</v>
      </c>
      <c r="X27" s="5">
        <f t="shared" si="7"/>
        <v>-556.660221884782</v>
      </c>
      <c r="Y27" s="5">
        <f t="shared" si="7"/>
        <v>-542.32540667526803</v>
      </c>
      <c r="Z27" s="5">
        <f t="shared" si="7"/>
        <v>-528.15560189248197</v>
      </c>
      <c r="AA27" s="5">
        <f t="shared" si="7"/>
        <v>-514.26905271672103</v>
      </c>
      <c r="AB27" s="5">
        <f t="shared" si="7"/>
        <v>-500.754276976146</v>
      </c>
      <c r="AC27" s="5">
        <f t="shared" si="7"/>
        <v>-487.669317269609</v>
      </c>
      <c r="AD27" s="5">
        <f t="shared" si="7"/>
        <v>-475.05042035653997</v>
      </c>
      <c r="AE27" s="5">
        <f t="shared" si="7"/>
        <v>-462.91827334656699</v>
      </c>
    </row>
    <row r="28" spans="1:31" x14ac:dyDescent="0.2">
      <c r="A28" t="s">
        <v>17</v>
      </c>
      <c r="B28" s="5">
        <f t="shared" ref="B28:AE28" si="8">IMABS(B25)</f>
        <v>1121.2714795738086</v>
      </c>
      <c r="C28" s="5">
        <f t="shared" si="8"/>
        <v>1137.0779559759799</v>
      </c>
      <c r="D28" s="5">
        <f t="shared" si="8"/>
        <v>1154.493993432844</v>
      </c>
      <c r="E28" s="5">
        <f t="shared" si="8"/>
        <v>1167.5862702238319</v>
      </c>
      <c r="F28" s="5">
        <f t="shared" si="8"/>
        <v>1169.8127529360374</v>
      </c>
      <c r="G28" s="5">
        <f t="shared" si="8"/>
        <v>1158.6486534666888</v>
      </c>
      <c r="H28" s="5">
        <f t="shared" si="8"/>
        <v>1137.2192634121773</v>
      </c>
      <c r="I28" s="5">
        <f t="shared" si="8"/>
        <v>1108.6969236314981</v>
      </c>
      <c r="J28" s="5">
        <f t="shared" si="8"/>
        <v>1075.2310477161091</v>
      </c>
      <c r="K28" s="5">
        <f t="shared" si="8"/>
        <v>1038.2422914358842</v>
      </c>
      <c r="L28" s="5">
        <f t="shared" si="8"/>
        <v>999.10250011973847</v>
      </c>
      <c r="M28" s="5">
        <f t="shared" si="8"/>
        <v>959.09629252988566</v>
      </c>
      <c r="N28" s="5">
        <f t="shared" si="8"/>
        <v>919.31522933237284</v>
      </c>
      <c r="O28" s="5">
        <f t="shared" si="8"/>
        <v>880.60456569847167</v>
      </c>
      <c r="P28" s="5">
        <f t="shared" si="8"/>
        <v>843.50452176068382</v>
      </c>
      <c r="Q28" s="5">
        <f t="shared" si="8"/>
        <v>808.29320278419198</v>
      </c>
      <c r="R28" s="5">
        <f t="shared" si="8"/>
        <v>775.1106399508933</v>
      </c>
      <c r="S28" s="5">
        <f t="shared" si="8"/>
        <v>744.01007592291285</v>
      </c>
      <c r="T28" s="5">
        <f t="shared" si="8"/>
        <v>714.93762980986571</v>
      </c>
      <c r="U28" s="5">
        <f t="shared" si="8"/>
        <v>687.74236397955985</v>
      </c>
      <c r="V28" s="5">
        <f t="shared" si="8"/>
        <v>662.26239968980133</v>
      </c>
      <c r="W28" s="5">
        <f t="shared" si="8"/>
        <v>638.34082199781369</v>
      </c>
      <c r="X28" s="5">
        <f t="shared" si="8"/>
        <v>615.82951630975663</v>
      </c>
      <c r="Y28" s="5">
        <f t="shared" si="8"/>
        <v>594.59093715279027</v>
      </c>
      <c r="Z28" s="5">
        <f t="shared" si="8"/>
        <v>574.54644132991587</v>
      </c>
      <c r="AA28" s="5">
        <f t="shared" si="8"/>
        <v>555.65183109999043</v>
      </c>
      <c r="AB28" s="5">
        <f t="shared" si="8"/>
        <v>537.8343377045901</v>
      </c>
      <c r="AC28" s="5">
        <f t="shared" si="8"/>
        <v>521.02328253147903</v>
      </c>
      <c r="AD28" s="5">
        <f t="shared" si="8"/>
        <v>505.1517678138099</v>
      </c>
      <c r="AE28" s="5">
        <f t="shared" si="8"/>
        <v>490.15754127084932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27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35"/>
  <sheetViews>
    <sheetView tabSelected="1" workbookViewId="0">
      <selection activeCell="B9" sqref="B9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28</v>
      </c>
    </row>
    <row r="3" spans="1:2" x14ac:dyDescent="0.2">
      <c r="A3" s="8" t="s">
        <v>30</v>
      </c>
    </row>
    <row r="4" spans="1:2" x14ac:dyDescent="0.2">
      <c r="A4" s="12" t="s">
        <v>29</v>
      </c>
    </row>
    <row r="6" spans="1:2" x14ac:dyDescent="0.2">
      <c r="A6" s="8" t="s">
        <v>18</v>
      </c>
    </row>
    <row r="7" spans="1:2" x14ac:dyDescent="0.2">
      <c r="A7" t="s">
        <v>3</v>
      </c>
      <c r="B7" s="3">
        <v>170</v>
      </c>
    </row>
    <row r="8" spans="1:2" x14ac:dyDescent="0.2">
      <c r="A8" t="s">
        <v>7</v>
      </c>
      <c r="B8" s="3">
        <v>15</v>
      </c>
    </row>
    <row r="9" spans="1:2" x14ac:dyDescent="0.2">
      <c r="A9" t="s">
        <v>10</v>
      </c>
      <c r="B9" s="3">
        <v>4</v>
      </c>
    </row>
    <row r="11" spans="1:2" x14ac:dyDescent="0.2">
      <c r="A11" s="8" t="s">
        <v>19</v>
      </c>
    </row>
    <row r="12" spans="1:2" x14ac:dyDescent="0.2">
      <c r="A12" t="s">
        <v>20</v>
      </c>
      <c r="B12" t="str">
        <f>Mix!B1</f>
        <v>#61</v>
      </c>
    </row>
    <row r="13" spans="1:2" x14ac:dyDescent="0.2">
      <c r="A13" t="s">
        <v>31</v>
      </c>
      <c r="B13">
        <f>Mix!B2</f>
        <v>125</v>
      </c>
    </row>
    <row r="15" spans="1:2" x14ac:dyDescent="0.2">
      <c r="A15" s="8" t="s">
        <v>22</v>
      </c>
    </row>
    <row r="16" spans="1:2" x14ac:dyDescent="0.2">
      <c r="A16" s="2" t="s">
        <v>11</v>
      </c>
      <c r="B16" s="4">
        <f>2*PI()*$B$8^2*$B$7*0.000000001</f>
        <v>2.4033183799961917E-4</v>
      </c>
    </row>
    <row r="18" spans="1:31" x14ac:dyDescent="0.2">
      <c r="A18" t="s">
        <v>4</v>
      </c>
      <c r="B18" s="10">
        <v>1</v>
      </c>
      <c r="C18" s="10">
        <f t="shared" ref="C18:AE18" si="0">B18+1</f>
        <v>2</v>
      </c>
      <c r="D18" s="10">
        <f t="shared" si="0"/>
        <v>3</v>
      </c>
      <c r="E18" s="10">
        <f t="shared" si="0"/>
        <v>4</v>
      </c>
      <c r="F18" s="10">
        <f t="shared" si="0"/>
        <v>5</v>
      </c>
      <c r="G18" s="10">
        <f t="shared" si="0"/>
        <v>6</v>
      </c>
      <c r="H18" s="10">
        <f t="shared" si="0"/>
        <v>7</v>
      </c>
      <c r="I18" s="10">
        <f t="shared" si="0"/>
        <v>8</v>
      </c>
      <c r="J18" s="10">
        <f t="shared" si="0"/>
        <v>9</v>
      </c>
      <c r="K18" s="10">
        <f t="shared" si="0"/>
        <v>10</v>
      </c>
      <c r="L18" s="10">
        <f t="shared" si="0"/>
        <v>11</v>
      </c>
      <c r="M18" s="10">
        <f t="shared" si="0"/>
        <v>12</v>
      </c>
      <c r="N18" s="10">
        <f t="shared" si="0"/>
        <v>13</v>
      </c>
      <c r="O18" s="10">
        <f t="shared" si="0"/>
        <v>14</v>
      </c>
      <c r="P18" s="10">
        <f t="shared" si="0"/>
        <v>15</v>
      </c>
      <c r="Q18" s="10">
        <f t="shared" si="0"/>
        <v>16</v>
      </c>
      <c r="R18" s="10">
        <f t="shared" si="0"/>
        <v>17</v>
      </c>
      <c r="S18" s="10">
        <f t="shared" si="0"/>
        <v>18</v>
      </c>
      <c r="T18" s="10">
        <f t="shared" si="0"/>
        <v>19</v>
      </c>
      <c r="U18" s="10">
        <f t="shared" si="0"/>
        <v>20</v>
      </c>
      <c r="V18" s="10">
        <f t="shared" si="0"/>
        <v>21</v>
      </c>
      <c r="W18" s="10">
        <f t="shared" si="0"/>
        <v>22</v>
      </c>
      <c r="X18" s="10">
        <f t="shared" si="0"/>
        <v>23</v>
      </c>
      <c r="Y18" s="10">
        <f t="shared" si="0"/>
        <v>24</v>
      </c>
      <c r="Z18" s="10">
        <f t="shared" si="0"/>
        <v>25</v>
      </c>
      <c r="AA18" s="10">
        <f t="shared" si="0"/>
        <v>26</v>
      </c>
      <c r="AB18" s="10">
        <f t="shared" si="0"/>
        <v>27</v>
      </c>
      <c r="AC18" s="10">
        <f t="shared" si="0"/>
        <v>28</v>
      </c>
      <c r="AD18" s="10">
        <f t="shared" si="0"/>
        <v>29</v>
      </c>
      <c r="AE18" s="10">
        <f t="shared" si="0"/>
        <v>30</v>
      </c>
    </row>
    <row r="19" spans="1:31" x14ac:dyDescent="0.2">
      <c r="A19" t="s">
        <v>6</v>
      </c>
      <c r="B19" s="7">
        <f>csinterpolate(CSTableU2,'FT240-61 12t'!B18*1000000)</f>
        <v>0.1305305218990753</v>
      </c>
      <c r="C19" s="7">
        <f>csinterpolate(CSTableU2,'FT240-61 12t'!C18*1000000)</f>
        <v>0.29216417496419567</v>
      </c>
      <c r="D19" s="7">
        <f>csinterpolate(CSTableU2,'FT240-61 12t'!D18*1000000)</f>
        <v>0.46795642566441231</v>
      </c>
      <c r="E19" s="7">
        <f>csinterpolate(CSTableU2,'FT240-61 12t'!E18*1000000)</f>
        <v>0.65587769819791408</v>
      </c>
      <c r="F19" s="7">
        <f>csinterpolate(CSTableU2,'FT240-61 12t'!F18*1000000)</f>
        <v>0.84813909731256343</v>
      </c>
      <c r="G19" s="7">
        <f>csinterpolate(CSTableU2,'FT240-61 12t'!G18*1000000)</f>
        <v>1.0507459671455464</v>
      </c>
      <c r="H19" s="7">
        <f>csinterpolate(CSTableU2,'FT240-61 12t'!H18*1000000)</f>
        <v>1.1655675876755502</v>
      </c>
      <c r="I19" s="7">
        <f>csinterpolate(CSTableU2,'FT240-61 12t'!I18*1000000)</f>
        <v>1.4331390403662139</v>
      </c>
      <c r="J19" s="7">
        <f>csinterpolate(CSTableU2,'FT240-61 12t'!J18*1000000)</f>
        <v>1.6580544204904037</v>
      </c>
      <c r="K19" s="7">
        <f>csinterpolate(CSTableU2,'FT240-61 12t'!K18*1000000)</f>
        <v>2.0288590128736232</v>
      </c>
      <c r="L19" s="7">
        <f>csinterpolate(CSTableU2,'FT240-61 12t'!L18*1000000)</f>
        <v>2.5971245875922397</v>
      </c>
      <c r="M19" s="7">
        <f>csinterpolate(CSTableU2,'FT240-61 12t'!M18*1000000)</f>
        <v>3.3621404669626322</v>
      </c>
      <c r="N19" s="7">
        <f>csinterpolate(CSTableU2,'FT240-61 12t'!N18*1000000)</f>
        <v>4.2912951630089635</v>
      </c>
      <c r="O19" s="7">
        <f>csinterpolate(CSTableU2,'FT240-61 12t'!O18*1000000)</f>
        <v>5.8615275999244441</v>
      </c>
      <c r="P19" s="7">
        <f>csinterpolate(CSTableU2,'FT240-61 12t'!P18*1000000)</f>
        <v>7.541506712481894</v>
      </c>
      <c r="Q19" s="7">
        <f>csinterpolate(CSTableU2,'FT240-61 12t'!Q18*1000000)</f>
        <v>10.440076981485154</v>
      </c>
      <c r="R19" s="7">
        <f>csinterpolate(CSTableU2,'FT240-61 12t'!R18*1000000)</f>
        <v>14.356331687547252</v>
      </c>
      <c r="S19" s="7">
        <f>csinterpolate(CSTableU2,'FT240-61 12t'!S18*1000000)</f>
        <v>19.475152489651389</v>
      </c>
      <c r="T19" s="7">
        <f>csinterpolate(CSTableU2,'FT240-61 12t'!T18*1000000)</f>
        <v>26.093784816973535</v>
      </c>
      <c r="U19" s="7">
        <f>csinterpolate(CSTableU2,'FT240-61 12t'!U18*1000000)</f>
        <v>32.812983366032299</v>
      </c>
      <c r="V19" s="7">
        <f>csinterpolate(CSTableU2,'FT240-61 12t'!V18*1000000)</f>
        <v>40.121145117251913</v>
      </c>
      <c r="W19" s="7">
        <f>csinterpolate(CSTableU2,'FT240-61 12t'!W18*1000000)</f>
        <v>47.741408708970091</v>
      </c>
      <c r="X19" s="7">
        <f>csinterpolate(CSTableU2,'FT240-61 12t'!X18*1000000)</f>
        <v>54.92355589129653</v>
      </c>
      <c r="Y19" s="7">
        <f>csinterpolate(CSTableU2,'FT240-61 12t'!Y18*1000000)</f>
        <v>59.636390218978171</v>
      </c>
      <c r="Z19" s="7">
        <f>csinterpolate(CSTableU2,'FT240-61 12t'!Z18*1000000)</f>
        <v>65.439350827392232</v>
      </c>
      <c r="AA19" s="7">
        <f>csinterpolate(CSTableU2,'FT240-61 12t'!AA18*1000000)</f>
        <v>70.197937862249233</v>
      </c>
      <c r="AB19" s="7">
        <f>csinterpolate(CSTableU2,'FT240-61 12t'!AB18*1000000)</f>
        <v>72.74127086191011</v>
      </c>
      <c r="AC19" s="7">
        <f>csinterpolate(CSTableU2,'FT240-61 12t'!AC18*1000000)</f>
        <v>75.418789121876827</v>
      </c>
      <c r="AD19" s="7">
        <f>csinterpolate(CSTableU2,'FT240-61 12t'!AD18*1000000)</f>
        <v>77.47967253407711</v>
      </c>
      <c r="AE19" s="7">
        <f>csinterpolate(CSTableU2,'FT240-61 12t'!AE18*1000000)</f>
        <v>78.324281436852331</v>
      </c>
    </row>
    <row r="20" spans="1:31" x14ac:dyDescent="0.2">
      <c r="A20" t="s">
        <v>5</v>
      </c>
      <c r="B20" s="7">
        <f>csinterpolate(CSTableU1,'FT240-61 12t'!B18*1000000)</f>
        <v>120.33811266602297</v>
      </c>
      <c r="C20" s="7">
        <f>csinterpolate(CSTableU1,'FT240-61 12t'!C18*1000000)</f>
        <v>120.33926483497109</v>
      </c>
      <c r="D20" s="7">
        <f>csinterpolate(CSTableU1,'FT240-61 12t'!D18*1000000)</f>
        <v>120.33143081052972</v>
      </c>
      <c r="E20" s="7">
        <f>csinterpolate(CSTableU1,'FT240-61 12t'!E18*1000000)</f>
        <v>120.83191224512163</v>
      </c>
      <c r="F20" s="7">
        <f>csinterpolate(CSTableU1,'FT240-61 12t'!F18*1000000)</f>
        <v>121.64967363558205</v>
      </c>
      <c r="G20" s="7">
        <f>csinterpolate(CSTableU1,'FT240-61 12t'!G18*1000000)</f>
        <v>122.43529012762203</v>
      </c>
      <c r="H20" s="7">
        <f>csinterpolate(CSTableU1,'FT240-61 12t'!H18*1000000)</f>
        <v>123.3352582402844</v>
      </c>
      <c r="I20" s="7">
        <f>csinterpolate(CSTableU1,'FT240-61 12t'!I18*1000000)</f>
        <v>124.53068774300374</v>
      </c>
      <c r="J20" s="7">
        <f>csinterpolate(CSTableU1,'FT240-61 12t'!J18*1000000)</f>
        <v>125.8779040842777</v>
      </c>
      <c r="K20" s="7">
        <f>csinterpolate(CSTableU1,'FT240-61 12t'!K18*1000000)</f>
        <v>127.23357190462848</v>
      </c>
      <c r="L20" s="7">
        <f>csinterpolate(CSTableU1,'FT240-61 12t'!L18*1000000)</f>
        <v>128.72762986207428</v>
      </c>
      <c r="M20" s="7">
        <f>csinterpolate(CSTableU1,'FT240-61 12t'!M18*1000000)</f>
        <v>130.58691735598651</v>
      </c>
      <c r="N20" s="7">
        <f>csinterpolate(CSTableU1,'FT240-61 12t'!N18*1000000)</f>
        <v>133.03440666309157</v>
      </c>
      <c r="O20" s="7">
        <f>csinterpolate(CSTableU1,'FT240-61 12t'!O18*1000000)</f>
        <v>136.12336259869176</v>
      </c>
      <c r="P20" s="7">
        <f>csinterpolate(CSTableU1,'FT240-61 12t'!P18*1000000)</f>
        <v>139.67793935478795</v>
      </c>
      <c r="Q20" s="7">
        <f>csinterpolate(CSTableU1,'FT240-61 12t'!Q18*1000000)</f>
        <v>143.50601061257916</v>
      </c>
      <c r="R20" s="7">
        <f>csinterpolate(CSTableU1,'FT240-61 12t'!R18*1000000)</f>
        <v>147.31593290901336</v>
      </c>
      <c r="S20" s="7">
        <f>csinterpolate(CSTableU1,'FT240-61 12t'!S18*1000000)</f>
        <v>150.5136760966235</v>
      </c>
      <c r="T20" s="7">
        <f>csinterpolate(CSTableU1,'FT240-61 12t'!T18*1000000)</f>
        <v>152.48288732711956</v>
      </c>
      <c r="U20" s="7">
        <f>csinterpolate(CSTableU1,'FT240-61 12t'!U18*1000000)</f>
        <v>153.39557417739775</v>
      </c>
      <c r="V20" s="7">
        <f>csinterpolate(CSTableU1,'FT240-61 12t'!V18*1000000)</f>
        <v>153.80507483449514</v>
      </c>
      <c r="W20" s="7">
        <f>csinterpolate(CSTableU1,'FT240-61 12t'!W18*1000000)</f>
        <v>152.45141077347637</v>
      </c>
      <c r="X20" s="7">
        <f>csinterpolate(CSTableU1,'FT240-61 12t'!X18*1000000)</f>
        <v>149.01810626281133</v>
      </c>
      <c r="Y20" s="7">
        <f>csinterpolate(CSTableU1,'FT240-61 12t'!Y18*1000000)</f>
        <v>144.70647869465122</v>
      </c>
      <c r="Z20" s="7">
        <f>csinterpolate(CSTableU1,'FT240-61 12t'!Z18*1000000)</f>
        <v>140.25969798892274</v>
      </c>
      <c r="AA20" s="7">
        <f>csinterpolate(CSTableU1,'FT240-61 12t'!AA18*1000000)</f>
        <v>135.75204916835645</v>
      </c>
      <c r="AB20" s="7">
        <f>csinterpolate(CSTableU1,'FT240-61 12t'!AB18*1000000)</f>
        <v>131.21515882395235</v>
      </c>
      <c r="AC20" s="7">
        <f>csinterpolate(CSTableU1,'FT240-61 12t'!AC18*1000000)</f>
        <v>126.69399171567839</v>
      </c>
      <c r="AD20" s="7">
        <f>csinterpolate(CSTableU1,'FT240-61 12t'!AD18*1000000)</f>
        <v>122.24641410480092</v>
      </c>
      <c r="AE20" s="7">
        <f>csinterpolate(CSTableU1,'FT240-61 12t'!AE18*1000000)</f>
        <v>117.93080634469251</v>
      </c>
    </row>
    <row r="21" spans="1:31" x14ac:dyDescent="0.2">
      <c r="A21" t="s">
        <v>12</v>
      </c>
      <c r="B21" s="5">
        <f t="shared" ref="B21:AE21" si="1">B19/$B$13*$B$16*B18*1000000</f>
        <v>0.25096512194443443</v>
      </c>
      <c r="C21" s="5">
        <f t="shared" si="1"/>
        <v>1.1234616506685995</v>
      </c>
      <c r="D21" s="5">
        <f t="shared" si="1"/>
        <v>2.699155869207849</v>
      </c>
      <c r="E21" s="5">
        <f t="shared" si="1"/>
        <v>5.0441053667476545</v>
      </c>
      <c r="F21" s="5">
        <f t="shared" si="1"/>
        <v>8.1533931254586491</v>
      </c>
      <c r="G21" s="5">
        <f t="shared" si="1"/>
        <v>12.121330058629276</v>
      </c>
      <c r="H21" s="5">
        <f t="shared" si="1"/>
        <v>15.686888036895448</v>
      </c>
      <c r="I21" s="5">
        <f t="shared" si="1"/>
        <v>22.043452139534242</v>
      </c>
      <c r="J21" s="5">
        <f t="shared" si="1"/>
        <v>28.690795179349358</v>
      </c>
      <c r="K21" s="5">
        <f t="shared" si="1"/>
        <v>39.007953248480874</v>
      </c>
      <c r="L21" s="5">
        <f t="shared" si="1"/>
        <v>54.927111857204039</v>
      </c>
      <c r="M21" s="5">
        <f t="shared" si="1"/>
        <v>77.570822211650622</v>
      </c>
      <c r="N21" s="5">
        <f t="shared" si="1"/>
        <v>107.25882480818125</v>
      </c>
      <c r="O21" s="5">
        <f t="shared" si="1"/>
        <v>157.77571057643789</v>
      </c>
      <c r="P21" s="5">
        <f t="shared" si="1"/>
        <v>217.49570033966867</v>
      </c>
      <c r="Q21" s="5">
        <f t="shared" si="1"/>
        <v>321.16260989668388</v>
      </c>
      <c r="R21" s="5">
        <f t="shared" si="1"/>
        <v>469.23856707045513</v>
      </c>
      <c r="S21" s="5">
        <f t="shared" si="1"/>
        <v>673.99188381515194</v>
      </c>
      <c r="T21" s="5">
        <f t="shared" si="1"/>
        <v>953.21742434533053</v>
      </c>
      <c r="U21" s="5">
        <f t="shared" si="1"/>
        <v>1261.7607364175155</v>
      </c>
      <c r="V21" s="5">
        <f t="shared" si="1"/>
        <v>1619.9212761780045</v>
      </c>
      <c r="W21" s="5">
        <f t="shared" si="1"/>
        <v>2019.3853686543339</v>
      </c>
      <c r="X21" s="5">
        <f t="shared" si="1"/>
        <v>2428.7777611767397</v>
      </c>
      <c r="Y21" s="5">
        <f t="shared" si="1"/>
        <v>2751.8444684139904</v>
      </c>
      <c r="Z21" s="5">
        <f t="shared" si="1"/>
        <v>3145.4318923698152</v>
      </c>
      <c r="AA21" s="5">
        <f t="shared" si="1"/>
        <v>3509.1262814852221</v>
      </c>
      <c r="AB21" s="5">
        <f t="shared" si="1"/>
        <v>3776.1213581289358</v>
      </c>
      <c r="AC21" s="5">
        <f t="shared" si="1"/>
        <v>4060.1201108980613</v>
      </c>
      <c r="AD21" s="5">
        <f t="shared" si="1"/>
        <v>4320.0330489918206</v>
      </c>
      <c r="AE21" s="5">
        <f t="shared" si="1"/>
        <v>4517.7164442523608</v>
      </c>
    </row>
    <row r="22" spans="1:31" x14ac:dyDescent="0.2">
      <c r="A22" t="s">
        <v>13</v>
      </c>
      <c r="B22" s="5">
        <f t="shared" ref="B22:AE22" si="2">B20/$B$13*$B$16*B18*1000000</f>
        <v>231.36863838744441</v>
      </c>
      <c r="C22" s="5">
        <f t="shared" si="2"/>
        <v>462.74170722098467</v>
      </c>
      <c r="D22" s="5">
        <f t="shared" si="2"/>
        <v>694.06737445964666</v>
      </c>
      <c r="E22" s="5">
        <f t="shared" si="2"/>
        <v>929.27217788412077</v>
      </c>
      <c r="F22" s="5">
        <f t="shared" si="2"/>
        <v>1169.4515862757301</v>
      </c>
      <c r="G22" s="5">
        <f t="shared" si="2"/>
        <v>1412.4047189946255</v>
      </c>
      <c r="H22" s="5">
        <f t="shared" si="2"/>
        <v>1659.9178009705329</v>
      </c>
      <c r="I22" s="5">
        <f t="shared" si="2"/>
        <v>1915.4361006484951</v>
      </c>
      <c r="J22" s="5">
        <f t="shared" si="2"/>
        <v>2178.1776997522247</v>
      </c>
      <c r="K22" s="5">
        <f t="shared" si="2"/>
        <v>2446.2622552876855</v>
      </c>
      <c r="L22" s="5">
        <f t="shared" si="2"/>
        <v>2722.4866139756537</v>
      </c>
      <c r="M22" s="5">
        <f t="shared" si="2"/>
        <v>3012.8826112193865</v>
      </c>
      <c r="N22" s="5">
        <f t="shared" si="2"/>
        <v>3325.1299609350763</v>
      </c>
      <c r="O22" s="5">
        <f t="shared" si="2"/>
        <v>3664.0551279396072</v>
      </c>
      <c r="P22" s="5">
        <f t="shared" si="2"/>
        <v>4028.2867071762635</v>
      </c>
      <c r="Q22" s="5">
        <f t="shared" si="2"/>
        <v>4414.6001016977925</v>
      </c>
      <c r="R22" s="5">
        <f t="shared" si="2"/>
        <v>4815.0404134806404</v>
      </c>
      <c r="S22" s="5">
        <f t="shared" si="2"/>
        <v>5208.9448925348452</v>
      </c>
      <c r="T22" s="5">
        <f t="shared" si="2"/>
        <v>5570.266871371954</v>
      </c>
      <c r="U22" s="5">
        <f t="shared" si="2"/>
        <v>5898.5344452897471</v>
      </c>
      <c r="V22" s="5">
        <f t="shared" si="2"/>
        <v>6209.9950632120563</v>
      </c>
      <c r="W22" s="5">
        <f t="shared" si="2"/>
        <v>6448.4512852011158</v>
      </c>
      <c r="X22" s="5">
        <f t="shared" si="2"/>
        <v>6589.7383486989784</v>
      </c>
      <c r="Y22" s="5">
        <f t="shared" si="2"/>
        <v>6677.2942070665467</v>
      </c>
      <c r="Z22" s="5">
        <f t="shared" si="2"/>
        <v>6741.7742029898582</v>
      </c>
      <c r="AA22" s="5">
        <f t="shared" si="2"/>
        <v>6786.1122136799222</v>
      </c>
      <c r="AB22" s="5">
        <f t="shared" si="2"/>
        <v>6811.5989434116427</v>
      </c>
      <c r="AC22" s="5">
        <f t="shared" si="2"/>
        <v>6820.4863759284026</v>
      </c>
      <c r="AD22" s="5">
        <f t="shared" si="2"/>
        <v>6816.0916506352942</v>
      </c>
      <c r="AE22" s="5">
        <f t="shared" si="2"/>
        <v>6802.2065869433036</v>
      </c>
    </row>
    <row r="23" spans="1:31" x14ac:dyDescent="0.2">
      <c r="A23" t="s">
        <v>14</v>
      </c>
      <c r="B23" s="5" t="str">
        <f t="shared" ref="B23:AE23" si="3">IMDIV(1,COMPLEX(B21,B22))</f>
        <v>4.68817567115675E-06-0.00432210186480351i</v>
      </c>
      <c r="C23" s="5" t="str">
        <f t="shared" si="3"/>
        <v>5.24660541862537E-06-0.00216102004646506i</v>
      </c>
      <c r="D23" s="5" t="str">
        <f t="shared" si="3"/>
        <v>5.60296792168097E-06-0.00144076052774382i</v>
      </c>
      <c r="E23" s="5" t="str">
        <f t="shared" si="3"/>
        <v>5.84097685053788E-06-0.00107607928150198i</v>
      </c>
      <c r="F23" s="5" t="str">
        <f t="shared" si="3"/>
        <v>5.96146197736348E-06-0.000855060103036305i</v>
      </c>
      <c r="G23" s="5" t="str">
        <f t="shared" si="3"/>
        <v>0.0000060757510679349-0.00070796021874503i</v>
      </c>
      <c r="H23" s="5" t="str">
        <f t="shared" si="3"/>
        <v>5.69278585141666E-06-0.000602385670736887i</v>
      </c>
      <c r="I23" s="5" t="str">
        <f t="shared" si="3"/>
        <v>6.00740286170901E-06-0.000522005185014533i</v>
      </c>
      <c r="J23" s="5" t="str">
        <f t="shared" si="3"/>
        <v>6.04617379815703E-06-0.000459019725791736i</v>
      </c>
      <c r="K23" s="5" t="str">
        <f t="shared" si="3"/>
        <v>6.51683491113347E-06-0.000408682997682472i</v>
      </c>
      <c r="L23" s="5" t="str">
        <f t="shared" si="3"/>
        <v>7.40761694386595E-06-0.000367161812977961i</v>
      </c>
      <c r="M23" s="5" t="str">
        <f t="shared" si="3"/>
        <v>8.53977021302779E-06-0.000331688184359304i</v>
      </c>
      <c r="N23" s="5" t="str">
        <f t="shared" si="3"/>
        <v>0.000009690900410072-0.000300427525283781i</v>
      </c>
      <c r="O23" s="5" t="str">
        <f t="shared" si="3"/>
        <v>0.0000117303676425465-0.000272416543435349i</v>
      </c>
      <c r="P23" s="5" t="str">
        <f t="shared" si="3"/>
        <v>0.0000133642853027518-0.000247522929197728i</v>
      </c>
      <c r="Q23" s="5" t="str">
        <f t="shared" si="3"/>
        <v>0.0000163926725831988-0.000225328515284417i</v>
      </c>
      <c r="R23" s="5" t="str">
        <f t="shared" si="3"/>
        <v>0.0000200488184813763-0.000205728765717311i</v>
      </c>
      <c r="S23" s="5" t="str">
        <f t="shared" si="3"/>
        <v>0.0000244311739793674-0.000188816278021173i</v>
      </c>
      <c r="T23" s="5" t="str">
        <f t="shared" si="3"/>
        <v>0.000029847275985653-0.000174416967606067i</v>
      </c>
      <c r="U23" s="5" t="str">
        <f t="shared" si="3"/>
        <v>0.0000346782863556797-0.000162115574426079i</v>
      </c>
      <c r="V23" s="5" t="str">
        <f t="shared" si="3"/>
        <v>0.0000393297575557622-0.000150771277499891i</v>
      </c>
      <c r="W23" s="5" t="str">
        <f t="shared" si="3"/>
        <v>0.0000442261466075219-0.00014122621484616i</v>
      </c>
      <c r="X23" s="5" t="str">
        <f t="shared" si="3"/>
        <v>0.0000492416840031396-0.000133602101689531i</v>
      </c>
      <c r="Y23" s="5" t="str">
        <f t="shared" si="3"/>
        <v>0.0000527588610345831-0.000128018295074899i</v>
      </c>
      <c r="Z23" s="5" t="str">
        <f t="shared" si="3"/>
        <v>0.00005683290356811-0.000121813034351801i</v>
      </c>
      <c r="AA23" s="5" t="str">
        <f t="shared" si="3"/>
        <v>0.0000601235170387428-0.000116269663892893i</v>
      </c>
      <c r="AB23" s="5" t="str">
        <f t="shared" si="3"/>
        <v>0.0000622537062346349-0.000112297047524291i</v>
      </c>
      <c r="AC23" s="5" t="str">
        <f t="shared" si="3"/>
        <v>0.0000644426585872965-0.000108255485778238i</v>
      </c>
      <c r="AD23" s="5" t="str">
        <f t="shared" si="3"/>
        <v>0.0000663377494232933-0.000104666833526093i</v>
      </c>
      <c r="AE23" s="5" t="str">
        <f t="shared" si="3"/>
        <v>0.0000677524234998592-0.000102013038467354i</v>
      </c>
    </row>
    <row r="24" spans="1:31" x14ac:dyDescent="0.2">
      <c r="A24" t="s">
        <v>15</v>
      </c>
      <c r="B24" s="6" t="str">
        <f t="shared" ref="B24:AE24" si="4">COMPLEX(0,2*PI()*B18*1000000*$B$9*0.000000000001)</f>
        <v>0.0000251327412287183i</v>
      </c>
      <c r="C24" s="6" t="str">
        <f t="shared" si="4"/>
        <v>0.0000502654824574367i</v>
      </c>
      <c r="D24" s="6" t="str">
        <f t="shared" si="4"/>
        <v>0.000075398223686155i</v>
      </c>
      <c r="E24" s="6" t="str">
        <f t="shared" si="4"/>
        <v>0.000100530964914873i</v>
      </c>
      <c r="F24" s="6" t="str">
        <f t="shared" si="4"/>
        <v>0.000125663706143592i</v>
      </c>
      <c r="G24" s="6" t="str">
        <f t="shared" si="4"/>
        <v>0.00015079644737231i</v>
      </c>
      <c r="H24" s="6" t="str">
        <f t="shared" si="4"/>
        <v>0.000175929188601028i</v>
      </c>
      <c r="I24" s="6" t="str">
        <f t="shared" si="4"/>
        <v>0.000201061929829747i</v>
      </c>
      <c r="J24" s="6" t="str">
        <f t="shared" si="4"/>
        <v>0.000226194671058465i</v>
      </c>
      <c r="K24" s="6" t="str">
        <f t="shared" si="4"/>
        <v>0.000251327412287183i</v>
      </c>
      <c r="L24" s="6" t="str">
        <f t="shared" si="4"/>
        <v>0.000276460153515902i</v>
      </c>
      <c r="M24" s="6" t="str">
        <f t="shared" si="4"/>
        <v>0.00030159289474462i</v>
      </c>
      <c r="N24" s="6" t="str">
        <f t="shared" si="4"/>
        <v>0.000326725635973338i</v>
      </c>
      <c r="O24" s="6" t="str">
        <f t="shared" si="4"/>
        <v>0.000351858377202057i</v>
      </c>
      <c r="P24" s="6" t="str">
        <f t="shared" si="4"/>
        <v>0.000376991118430775i</v>
      </c>
      <c r="Q24" s="6" t="str">
        <f t="shared" si="4"/>
        <v>0.000402123859659493i</v>
      </c>
      <c r="R24" s="6" t="str">
        <f t="shared" si="4"/>
        <v>0.000427256600888212i</v>
      </c>
      <c r="S24" s="6" t="str">
        <f t="shared" si="4"/>
        <v>0.00045238934211693i</v>
      </c>
      <c r="T24" s="6" t="str">
        <f t="shared" si="4"/>
        <v>0.000477522083345648i</v>
      </c>
      <c r="U24" s="6" t="str">
        <f t="shared" si="4"/>
        <v>0.000502654824574367i</v>
      </c>
      <c r="V24" s="6" t="str">
        <f t="shared" si="4"/>
        <v>0.000527787565803085i</v>
      </c>
      <c r="W24" s="6" t="str">
        <f t="shared" si="4"/>
        <v>0.000552920307031803i</v>
      </c>
      <c r="X24" s="6" t="str">
        <f t="shared" si="4"/>
        <v>0.000578053048260522i</v>
      </c>
      <c r="Y24" s="6" t="str">
        <f t="shared" si="4"/>
        <v>0.00060318578948924i</v>
      </c>
      <c r="Z24" s="6" t="str">
        <f t="shared" si="4"/>
        <v>0.000628318530717959i</v>
      </c>
      <c r="AA24" s="6" t="str">
        <f t="shared" si="4"/>
        <v>0.000653451271946677i</v>
      </c>
      <c r="AB24" s="6" t="str">
        <f t="shared" si="4"/>
        <v>0.000678584013175395i</v>
      </c>
      <c r="AC24" s="6" t="str">
        <f t="shared" si="4"/>
        <v>0.000703716754404114i</v>
      </c>
      <c r="AD24" s="6" t="str">
        <f t="shared" si="4"/>
        <v>0.000728849495632832i</v>
      </c>
      <c r="AE24" s="6" t="str">
        <f t="shared" si="4"/>
        <v>0.00075398223686155i</v>
      </c>
    </row>
    <row r="25" spans="1:31" x14ac:dyDescent="0.2">
      <c r="A25" t="s">
        <v>16</v>
      </c>
      <c r="B25" s="6" t="str">
        <f t="shared" ref="B25:AE25" si="5">IMDIV(1,IMSUM(B23,B24))</f>
        <v>0.253909466992342+232.721897893435i</v>
      </c>
      <c r="C25" s="6" t="str">
        <f t="shared" si="5"/>
        <v>1.17760664101376+473.761297791043i</v>
      </c>
      <c r="D25" s="6" t="str">
        <f t="shared" si="5"/>
        <v>3.00548805255454+732.394000753534i</v>
      </c>
      <c r="E25" s="6" t="str">
        <f t="shared" si="5"/>
        <v>6.1372292854233+1025.02780803736i</v>
      </c>
      <c r="F25" s="6" t="str">
        <f t="shared" si="5"/>
        <v>11.2046047482377+1370.90505030545i</v>
      </c>
      <c r="G25" s="6" t="str">
        <f t="shared" si="5"/>
        <v>19.5696289958697+1794.59101826068i</v>
      </c>
      <c r="H25" s="6" t="str">
        <f t="shared" si="5"/>
        <v>31.2966623065027+2344.48736667369i</v>
      </c>
      <c r="I25" s="6" t="str">
        <f t="shared" si="5"/>
        <v>58.3012836751601+3114.72431513182i</v>
      </c>
      <c r="J25" s="6" t="str">
        <f t="shared" si="5"/>
        <v>111.462407838657+4292.17585734102i</v>
      </c>
      <c r="K25" s="6" t="str">
        <f t="shared" si="5"/>
        <v>262.741175885714+6344.15204661863i</v>
      </c>
      <c r="L25" s="6" t="str">
        <f t="shared" si="5"/>
        <v>894.459990974629+10952.105936174i</v>
      </c>
      <c r="M25" s="6" t="str">
        <f t="shared" si="5"/>
        <v>8726.03500187145+30751.711582188i</v>
      </c>
      <c r="N25" s="6" t="str">
        <f t="shared" si="5"/>
        <v>12337.1723522102-33479.2754424926i</v>
      </c>
      <c r="O25" s="6" t="str">
        <f t="shared" si="5"/>
        <v>1819.05465683729-12319.2249437165i</v>
      </c>
      <c r="P25" s="6" t="str">
        <f t="shared" si="5"/>
        <v>788.89015537641-7642.47227641349i</v>
      </c>
      <c r="Q25" s="6" t="str">
        <f t="shared" si="5"/>
        <v>519.984442961864-5608.04397187477i</v>
      </c>
      <c r="R25" s="6" t="str">
        <f t="shared" si="5"/>
        <v>405.21871065493-4477.43211528982i</v>
      </c>
      <c r="S25" s="6" t="str">
        <f t="shared" si="5"/>
        <v>348.67983494114-3761.6944876023i</v>
      </c>
      <c r="T25" s="6" t="str">
        <f t="shared" si="5"/>
        <v>321.756435645647-3267.50158752201i</v>
      </c>
      <c r="U25" s="6" t="str">
        <f t="shared" si="5"/>
        <v>295.96667464429-2906.37975644207i</v>
      </c>
      <c r="V25" s="6" t="str">
        <f t="shared" si="5"/>
        <v>273.716156138079-2623.85164946629i</v>
      </c>
      <c r="W25" s="6" t="str">
        <f t="shared" si="5"/>
        <v>257.956653853052-2401.27704033831i</v>
      </c>
      <c r="X25" s="6" t="str">
        <f t="shared" si="5"/>
        <v>246.255962990626-2222.68385140842i</v>
      </c>
      <c r="Y25" s="6" t="str">
        <f t="shared" si="5"/>
        <v>230.823837714838-2078.89219871838i</v>
      </c>
      <c r="Z25" s="6" t="str">
        <f t="shared" si="5"/>
        <v>218.775061892117-1949.76438575596i</v>
      </c>
      <c r="AA25" s="6" t="str">
        <f t="shared" si="5"/>
        <v>205.776370135397-1838.53651371681i</v>
      </c>
      <c r="AB25" s="6" t="str">
        <f t="shared" si="5"/>
        <v>191.81164313602-1744.80267823184i</v>
      </c>
      <c r="AC25" s="6" t="str">
        <f t="shared" si="5"/>
        <v>179.642631910608-1659.92887074756i</v>
      </c>
      <c r="AD25" s="6" t="str">
        <f t="shared" si="5"/>
        <v>168.367917075331-1584.20108621511i</v>
      </c>
      <c r="AE25" s="6" t="str">
        <f t="shared" si="5"/>
        <v>157.690578409294-1517.42763858533i</v>
      </c>
    </row>
    <row r="26" spans="1:31" x14ac:dyDescent="0.2">
      <c r="A26" t="s">
        <v>8</v>
      </c>
      <c r="B26" s="5">
        <f t="shared" ref="B26:AE26" si="6">IMREAL(B25)</f>
        <v>0.25390946699234201</v>
      </c>
      <c r="C26" s="5">
        <f t="shared" si="6"/>
        <v>1.17760664101376</v>
      </c>
      <c r="D26" s="5">
        <f t="shared" si="6"/>
        <v>3.00548805255454</v>
      </c>
      <c r="E26" s="5">
        <f t="shared" si="6"/>
        <v>6.1372292854232997</v>
      </c>
      <c r="F26" s="5">
        <f t="shared" si="6"/>
        <v>11.204604748237699</v>
      </c>
      <c r="G26" s="5">
        <f t="shared" si="6"/>
        <v>19.569628995869699</v>
      </c>
      <c r="H26" s="5">
        <f t="shared" si="6"/>
        <v>31.2966623065027</v>
      </c>
      <c r="I26" s="5">
        <f t="shared" si="6"/>
        <v>58.3012836751601</v>
      </c>
      <c r="J26" s="5">
        <f t="shared" si="6"/>
        <v>111.462407838657</v>
      </c>
      <c r="K26" s="5">
        <f t="shared" si="6"/>
        <v>262.74117588571397</v>
      </c>
      <c r="L26" s="5">
        <f t="shared" si="6"/>
        <v>894.45999097462902</v>
      </c>
      <c r="M26" s="5">
        <f t="shared" si="6"/>
        <v>8726.0350018714507</v>
      </c>
      <c r="N26" s="5">
        <f t="shared" si="6"/>
        <v>12337.1723522102</v>
      </c>
      <c r="O26" s="5">
        <f t="shared" si="6"/>
        <v>1819.0546568372899</v>
      </c>
      <c r="P26" s="5">
        <f t="shared" si="6"/>
        <v>788.89015537641001</v>
      </c>
      <c r="Q26" s="5">
        <f t="shared" si="6"/>
        <v>519.98444296186403</v>
      </c>
      <c r="R26" s="5">
        <f t="shared" si="6"/>
        <v>405.21871065493002</v>
      </c>
      <c r="S26" s="5">
        <f t="shared" si="6"/>
        <v>348.67983494113997</v>
      </c>
      <c r="T26" s="5">
        <f t="shared" si="6"/>
        <v>321.756435645647</v>
      </c>
      <c r="U26" s="5">
        <f t="shared" si="6"/>
        <v>295.96667464428998</v>
      </c>
      <c r="V26" s="5">
        <f t="shared" si="6"/>
        <v>273.71615613807899</v>
      </c>
      <c r="W26" s="5">
        <f t="shared" si="6"/>
        <v>257.95665385305199</v>
      </c>
      <c r="X26" s="5">
        <f t="shared" si="6"/>
        <v>246.25596299062599</v>
      </c>
      <c r="Y26" s="5">
        <f t="shared" si="6"/>
        <v>230.82383771483799</v>
      </c>
      <c r="Z26" s="5">
        <f t="shared" si="6"/>
        <v>218.77506189211701</v>
      </c>
      <c r="AA26" s="5">
        <f t="shared" si="6"/>
        <v>205.776370135397</v>
      </c>
      <c r="AB26" s="5">
        <f t="shared" si="6"/>
        <v>191.81164313602</v>
      </c>
      <c r="AC26" s="5">
        <f t="shared" si="6"/>
        <v>179.642631910608</v>
      </c>
      <c r="AD26" s="5">
        <f t="shared" si="6"/>
        <v>168.36791707533101</v>
      </c>
      <c r="AE26" s="5">
        <f t="shared" si="6"/>
        <v>157.69057840929401</v>
      </c>
    </row>
    <row r="27" spans="1:31" x14ac:dyDescent="0.2">
      <c r="A27" t="s">
        <v>9</v>
      </c>
      <c r="B27" s="5">
        <f t="shared" ref="B27:AE27" si="7">IMAGINARY(B25)</f>
        <v>232.721897893435</v>
      </c>
      <c r="C27" s="5">
        <f t="shared" si="7"/>
        <v>473.76129779104298</v>
      </c>
      <c r="D27" s="5">
        <f t="shared" si="7"/>
        <v>732.39400075353399</v>
      </c>
      <c r="E27" s="5">
        <f t="shared" si="7"/>
        <v>1025.02780803736</v>
      </c>
      <c r="F27" s="5">
        <f t="shared" si="7"/>
        <v>1370.90505030545</v>
      </c>
      <c r="G27" s="5">
        <f t="shared" si="7"/>
        <v>1794.5910182606799</v>
      </c>
      <c r="H27" s="5">
        <f t="shared" si="7"/>
        <v>2344.4873666736898</v>
      </c>
      <c r="I27" s="5">
        <f t="shared" si="7"/>
        <v>3114.7243151318198</v>
      </c>
      <c r="J27" s="5">
        <f t="shared" si="7"/>
        <v>4292.1758573410198</v>
      </c>
      <c r="K27" s="5">
        <f t="shared" si="7"/>
        <v>6344.1520466186303</v>
      </c>
      <c r="L27" s="5">
        <f t="shared" si="7"/>
        <v>10952.105936174001</v>
      </c>
      <c r="M27" s="5">
        <f t="shared" si="7"/>
        <v>30751.711582188</v>
      </c>
      <c r="N27" s="5">
        <f t="shared" si="7"/>
        <v>-33479.275442492602</v>
      </c>
      <c r="O27" s="5">
        <f t="shared" si="7"/>
        <v>-12319.224943716499</v>
      </c>
      <c r="P27" s="5">
        <f t="shared" si="7"/>
        <v>-7642.4722764134904</v>
      </c>
      <c r="Q27" s="5">
        <f t="shared" si="7"/>
        <v>-5608.0439718747702</v>
      </c>
      <c r="R27" s="5">
        <f t="shared" si="7"/>
        <v>-4477.4321152898201</v>
      </c>
      <c r="S27" s="5">
        <f t="shared" si="7"/>
        <v>-3761.6944876022999</v>
      </c>
      <c r="T27" s="5">
        <f t="shared" si="7"/>
        <v>-3267.5015875220101</v>
      </c>
      <c r="U27" s="5">
        <f t="shared" si="7"/>
        <v>-2906.3797564420702</v>
      </c>
      <c r="V27" s="5">
        <f t="shared" si="7"/>
        <v>-2623.8516494662899</v>
      </c>
      <c r="W27" s="5">
        <f t="shared" si="7"/>
        <v>-2401.2770403383101</v>
      </c>
      <c r="X27" s="5">
        <f t="shared" si="7"/>
        <v>-2222.6838514084202</v>
      </c>
      <c r="Y27" s="5">
        <f t="shared" si="7"/>
        <v>-2078.8921987183799</v>
      </c>
      <c r="Z27" s="5">
        <f t="shared" si="7"/>
        <v>-1949.7643857559599</v>
      </c>
      <c r="AA27" s="5">
        <f t="shared" si="7"/>
        <v>-1838.5365137168101</v>
      </c>
      <c r="AB27" s="5">
        <f t="shared" si="7"/>
        <v>-1744.80267823184</v>
      </c>
      <c r="AC27" s="5">
        <f t="shared" si="7"/>
        <v>-1659.92887074756</v>
      </c>
      <c r="AD27" s="5">
        <f t="shared" si="7"/>
        <v>-1584.2010862151101</v>
      </c>
      <c r="AE27" s="5">
        <f t="shared" si="7"/>
        <v>-1517.42763858533</v>
      </c>
    </row>
    <row r="28" spans="1:31" x14ac:dyDescent="0.2">
      <c r="A28" t="s">
        <v>17</v>
      </c>
      <c r="B28" s="5">
        <f t="shared" ref="B28:AE28" si="8">IMABS(B25)</f>
        <v>232.72203640639577</v>
      </c>
      <c r="C28" s="5">
        <f t="shared" si="8"/>
        <v>473.76276135008152</v>
      </c>
      <c r="D28" s="5">
        <f t="shared" si="8"/>
        <v>732.40016746188815</v>
      </c>
      <c r="E28" s="5">
        <f t="shared" si="8"/>
        <v>1025.0461808295161</v>
      </c>
      <c r="F28" s="5">
        <f t="shared" si="8"/>
        <v>1370.9508379663193</v>
      </c>
      <c r="G28" s="5">
        <f t="shared" si="8"/>
        <v>1794.697716385949</v>
      </c>
      <c r="H28" s="5">
        <f t="shared" si="8"/>
        <v>2344.69624761163</v>
      </c>
      <c r="I28" s="5">
        <f t="shared" si="8"/>
        <v>3115.2699078814267</v>
      </c>
      <c r="J28" s="5">
        <f t="shared" si="8"/>
        <v>4293.6228826833767</v>
      </c>
      <c r="K28" s="5">
        <f t="shared" si="8"/>
        <v>6349.590389633111</v>
      </c>
      <c r="L28" s="5">
        <f t="shared" si="8"/>
        <v>10988.570567304561</v>
      </c>
      <c r="M28" s="5">
        <f t="shared" si="8"/>
        <v>31965.785647907378</v>
      </c>
      <c r="N28" s="5">
        <f t="shared" si="8"/>
        <v>35680.074352535026</v>
      </c>
      <c r="O28" s="5">
        <f t="shared" si="8"/>
        <v>12452.801414077405</v>
      </c>
      <c r="P28" s="5">
        <f t="shared" si="8"/>
        <v>7683.0807735568296</v>
      </c>
      <c r="Q28" s="5">
        <f t="shared" si="8"/>
        <v>5632.0991656222914</v>
      </c>
      <c r="R28" s="5">
        <f t="shared" si="8"/>
        <v>4495.7313699211963</v>
      </c>
      <c r="S28" s="5">
        <f t="shared" si="8"/>
        <v>3777.8198799508837</v>
      </c>
      <c r="T28" s="5">
        <f t="shared" si="8"/>
        <v>3283.3053206088293</v>
      </c>
      <c r="U28" s="5">
        <f t="shared" si="8"/>
        <v>2921.4105430692666</v>
      </c>
      <c r="V28" s="5">
        <f t="shared" si="8"/>
        <v>2638.0898416350369</v>
      </c>
      <c r="W28" s="5">
        <f t="shared" si="8"/>
        <v>2415.0927642065799</v>
      </c>
      <c r="X28" s="5">
        <f t="shared" si="8"/>
        <v>2236.2838600276591</v>
      </c>
      <c r="Y28" s="5">
        <f t="shared" si="8"/>
        <v>2091.6673774645778</v>
      </c>
      <c r="Z28" s="5">
        <f t="shared" si="8"/>
        <v>1961.9999204047424</v>
      </c>
      <c r="AA28" s="5">
        <f t="shared" si="8"/>
        <v>1850.0163314890119</v>
      </c>
      <c r="AB28" s="5">
        <f t="shared" si="8"/>
        <v>1755.3142432076206</v>
      </c>
      <c r="AC28" s="5">
        <f t="shared" si="8"/>
        <v>1669.6213136939286</v>
      </c>
      <c r="AD28" s="5">
        <f t="shared" si="8"/>
        <v>1593.1229824045035</v>
      </c>
      <c r="AE28" s="5">
        <f t="shared" si="8"/>
        <v>1525.59921239548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27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35"/>
  <sheetViews>
    <sheetView workbookViewId="0">
      <selection activeCell="E7" sqref="E7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28</v>
      </c>
    </row>
    <row r="3" spans="1:2" x14ac:dyDescent="0.2">
      <c r="A3" s="8" t="s">
        <v>30</v>
      </c>
    </row>
    <row r="4" spans="1:2" x14ac:dyDescent="0.2">
      <c r="A4" s="12" t="s">
        <v>29</v>
      </c>
    </row>
    <row r="6" spans="1:2" x14ac:dyDescent="0.2">
      <c r="A6" s="8" t="s">
        <v>18</v>
      </c>
    </row>
    <row r="7" spans="1:2" x14ac:dyDescent="0.2">
      <c r="A7" t="s">
        <v>3</v>
      </c>
      <c r="B7" s="3">
        <v>340</v>
      </c>
    </row>
    <row r="8" spans="1:2" x14ac:dyDescent="0.2">
      <c r="A8" t="s">
        <v>7</v>
      </c>
      <c r="B8" s="3">
        <v>10</v>
      </c>
    </row>
    <row r="9" spans="1:2" x14ac:dyDescent="0.2">
      <c r="A9" t="s">
        <v>10</v>
      </c>
      <c r="B9" s="3">
        <v>4</v>
      </c>
    </row>
    <row r="11" spans="1:2" x14ac:dyDescent="0.2">
      <c r="A11" s="8" t="s">
        <v>19</v>
      </c>
    </row>
    <row r="12" spans="1:2" x14ac:dyDescent="0.2">
      <c r="A12" t="s">
        <v>20</v>
      </c>
      <c r="B12" t="str">
        <f>Mix!B1</f>
        <v>#61</v>
      </c>
    </row>
    <row r="13" spans="1:2" x14ac:dyDescent="0.2">
      <c r="A13" t="s">
        <v>31</v>
      </c>
      <c r="B13">
        <f>Mix!B2</f>
        <v>125</v>
      </c>
    </row>
    <row r="15" spans="1:2" x14ac:dyDescent="0.2">
      <c r="A15" s="8" t="s">
        <v>22</v>
      </c>
    </row>
    <row r="16" spans="1:2" x14ac:dyDescent="0.2">
      <c r="A16" s="2" t="s">
        <v>11</v>
      </c>
      <c r="B16" s="4">
        <f>2*PI()*$B$8^2*$B$7*0.000000001</f>
        <v>2.1362830044410595E-4</v>
      </c>
    </row>
    <row r="18" spans="1:31" x14ac:dyDescent="0.2">
      <c r="A18" t="s">
        <v>4</v>
      </c>
      <c r="B18" s="10">
        <v>1</v>
      </c>
      <c r="C18" s="10">
        <f t="shared" ref="C18:AE18" si="0">B18+1</f>
        <v>2</v>
      </c>
      <c r="D18" s="10">
        <f t="shared" si="0"/>
        <v>3</v>
      </c>
      <c r="E18" s="10">
        <f t="shared" si="0"/>
        <v>4</v>
      </c>
      <c r="F18" s="10">
        <f t="shared" si="0"/>
        <v>5</v>
      </c>
      <c r="G18" s="10">
        <f t="shared" si="0"/>
        <v>6</v>
      </c>
      <c r="H18" s="10">
        <f t="shared" si="0"/>
        <v>7</v>
      </c>
      <c r="I18" s="10">
        <f t="shared" si="0"/>
        <v>8</v>
      </c>
      <c r="J18" s="10">
        <f t="shared" si="0"/>
        <v>9</v>
      </c>
      <c r="K18" s="10">
        <f t="shared" si="0"/>
        <v>10</v>
      </c>
      <c r="L18" s="10">
        <f t="shared" si="0"/>
        <v>11</v>
      </c>
      <c r="M18" s="10">
        <f t="shared" si="0"/>
        <v>12</v>
      </c>
      <c r="N18" s="10">
        <f t="shared" si="0"/>
        <v>13</v>
      </c>
      <c r="O18" s="10">
        <f t="shared" si="0"/>
        <v>14</v>
      </c>
      <c r="P18" s="10">
        <f t="shared" si="0"/>
        <v>15</v>
      </c>
      <c r="Q18" s="10">
        <f t="shared" si="0"/>
        <v>16</v>
      </c>
      <c r="R18" s="10">
        <f t="shared" si="0"/>
        <v>17</v>
      </c>
      <c r="S18" s="10">
        <f t="shared" si="0"/>
        <v>18</v>
      </c>
      <c r="T18" s="10">
        <f t="shared" si="0"/>
        <v>19</v>
      </c>
      <c r="U18" s="10">
        <f t="shared" si="0"/>
        <v>20</v>
      </c>
      <c r="V18" s="10">
        <f t="shared" si="0"/>
        <v>21</v>
      </c>
      <c r="W18" s="10">
        <f t="shared" si="0"/>
        <v>22</v>
      </c>
      <c r="X18" s="10">
        <f t="shared" si="0"/>
        <v>23</v>
      </c>
      <c r="Y18" s="10">
        <f t="shared" si="0"/>
        <v>24</v>
      </c>
      <c r="Z18" s="10">
        <f t="shared" si="0"/>
        <v>25</v>
      </c>
      <c r="AA18" s="10">
        <f t="shared" si="0"/>
        <v>26</v>
      </c>
      <c r="AB18" s="10">
        <f t="shared" si="0"/>
        <v>27</v>
      </c>
      <c r="AC18" s="10">
        <f t="shared" si="0"/>
        <v>28</v>
      </c>
      <c r="AD18" s="10">
        <f t="shared" si="0"/>
        <v>29</v>
      </c>
      <c r="AE18" s="10">
        <f t="shared" si="0"/>
        <v>30</v>
      </c>
    </row>
    <row r="19" spans="1:31" x14ac:dyDescent="0.2">
      <c r="A19" t="s">
        <v>6</v>
      </c>
      <c r="B19" s="7">
        <f>csinterpolate(CSTableU2,'FT240-61x2 12t'!B18*1000000)</f>
        <v>0.1305305218990753</v>
      </c>
      <c r="C19" s="7">
        <f>csinterpolate(CSTableU2,'FT240-61x2 12t'!C18*1000000)</f>
        <v>0.29216417496419567</v>
      </c>
      <c r="D19" s="7">
        <f>csinterpolate(CSTableU2,'FT240-61x2 12t'!D18*1000000)</f>
        <v>0.46795642566441231</v>
      </c>
      <c r="E19" s="7">
        <f>csinterpolate(CSTableU2,'FT240-61x2 12t'!E18*1000000)</f>
        <v>0.65587769819791408</v>
      </c>
      <c r="F19" s="7">
        <f>csinterpolate(CSTableU2,'FT240-61x2 12t'!F18*1000000)</f>
        <v>0.84813909731256343</v>
      </c>
      <c r="G19" s="7">
        <f>csinterpolate(CSTableU2,'FT240-61x2 12t'!G18*1000000)</f>
        <v>1.0507459671455464</v>
      </c>
      <c r="H19" s="7">
        <f>csinterpolate(CSTableU2,'FT240-61x2 12t'!H18*1000000)</f>
        <v>1.1655675876755502</v>
      </c>
      <c r="I19" s="7">
        <f>csinterpolate(CSTableU2,'FT240-61x2 12t'!I18*1000000)</f>
        <v>1.4331390403662139</v>
      </c>
      <c r="J19" s="7">
        <f>csinterpolate(CSTableU2,'FT240-61x2 12t'!J18*1000000)</f>
        <v>1.6580544204904037</v>
      </c>
      <c r="K19" s="7">
        <f>csinterpolate(CSTableU2,'FT240-61x2 12t'!K18*1000000)</f>
        <v>2.0288590128736232</v>
      </c>
      <c r="L19" s="7">
        <f>csinterpolate(CSTableU2,'FT240-61x2 12t'!L18*1000000)</f>
        <v>2.5971245875922397</v>
      </c>
      <c r="M19" s="7">
        <f>csinterpolate(CSTableU2,'FT240-61x2 12t'!M18*1000000)</f>
        <v>3.3621404669626322</v>
      </c>
      <c r="N19" s="7">
        <f>csinterpolate(CSTableU2,'FT240-61x2 12t'!N18*1000000)</f>
        <v>4.2912951630089635</v>
      </c>
      <c r="O19" s="7">
        <f>csinterpolate(CSTableU2,'FT240-61x2 12t'!O18*1000000)</f>
        <v>5.8615275999244441</v>
      </c>
      <c r="P19" s="7">
        <f>csinterpolate(CSTableU2,'FT240-61x2 12t'!P18*1000000)</f>
        <v>7.541506712481894</v>
      </c>
      <c r="Q19" s="7">
        <f>csinterpolate(CSTableU2,'FT240-61x2 12t'!Q18*1000000)</f>
        <v>10.440076981485154</v>
      </c>
      <c r="R19" s="7">
        <f>csinterpolate(CSTableU2,'FT240-61x2 12t'!R18*1000000)</f>
        <v>14.356331687547252</v>
      </c>
      <c r="S19" s="7">
        <f>csinterpolate(CSTableU2,'FT240-61x2 12t'!S18*1000000)</f>
        <v>19.475152489651389</v>
      </c>
      <c r="T19" s="7">
        <f>csinterpolate(CSTableU2,'FT240-61x2 12t'!T18*1000000)</f>
        <v>26.093784816973535</v>
      </c>
      <c r="U19" s="7">
        <f>csinterpolate(CSTableU2,'FT240-61x2 12t'!U18*1000000)</f>
        <v>32.812983366032299</v>
      </c>
      <c r="V19" s="7">
        <f>csinterpolate(CSTableU2,'FT240-61x2 12t'!V18*1000000)</f>
        <v>40.121145117251913</v>
      </c>
      <c r="W19" s="7">
        <f>csinterpolate(CSTableU2,'FT240-61x2 12t'!W18*1000000)</f>
        <v>47.741408708970091</v>
      </c>
      <c r="X19" s="7">
        <f>csinterpolate(CSTableU2,'FT240-61x2 12t'!X18*1000000)</f>
        <v>54.92355589129653</v>
      </c>
      <c r="Y19" s="7">
        <f>csinterpolate(CSTableU2,'FT240-61x2 12t'!Y18*1000000)</f>
        <v>59.636390218978171</v>
      </c>
      <c r="Z19" s="7">
        <f>csinterpolate(CSTableU2,'FT240-61x2 12t'!Z18*1000000)</f>
        <v>65.439350827392232</v>
      </c>
      <c r="AA19" s="7">
        <f>csinterpolate(CSTableU2,'FT240-61x2 12t'!AA18*1000000)</f>
        <v>70.197937862249233</v>
      </c>
      <c r="AB19" s="7">
        <f>csinterpolate(CSTableU2,'FT240-61x2 12t'!AB18*1000000)</f>
        <v>72.74127086191011</v>
      </c>
      <c r="AC19" s="7">
        <f>csinterpolate(CSTableU2,'FT240-61x2 12t'!AC18*1000000)</f>
        <v>75.418789121876827</v>
      </c>
      <c r="AD19" s="7">
        <f>csinterpolate(CSTableU2,'FT240-61x2 12t'!AD18*1000000)</f>
        <v>77.47967253407711</v>
      </c>
      <c r="AE19" s="7">
        <f>csinterpolate(CSTableU2,'FT240-61x2 12t'!AE18*1000000)</f>
        <v>78.324281436852331</v>
      </c>
    </row>
    <row r="20" spans="1:31" x14ac:dyDescent="0.2">
      <c r="A20" t="s">
        <v>5</v>
      </c>
      <c r="B20" s="7">
        <f>csinterpolate(CSTableU1,'FT240-61x2 12t'!B18*1000000)</f>
        <v>120.33811266602297</v>
      </c>
      <c r="C20" s="7">
        <f>csinterpolate(CSTableU1,'FT240-61x2 12t'!C18*1000000)</f>
        <v>120.33926483497109</v>
      </c>
      <c r="D20" s="7">
        <f>csinterpolate(CSTableU1,'FT240-61x2 12t'!D18*1000000)</f>
        <v>120.33143081052972</v>
      </c>
      <c r="E20" s="7">
        <f>csinterpolate(CSTableU1,'FT240-61x2 12t'!E18*1000000)</f>
        <v>120.83191224512163</v>
      </c>
      <c r="F20" s="7">
        <f>csinterpolate(CSTableU1,'FT240-61x2 12t'!F18*1000000)</f>
        <v>121.64967363558205</v>
      </c>
      <c r="G20" s="7">
        <f>csinterpolate(CSTableU1,'FT240-61x2 12t'!G18*1000000)</f>
        <v>122.43529012762203</v>
      </c>
      <c r="H20" s="7">
        <f>csinterpolate(CSTableU1,'FT240-61x2 12t'!H18*1000000)</f>
        <v>123.3352582402844</v>
      </c>
      <c r="I20" s="7">
        <f>csinterpolate(CSTableU1,'FT240-61x2 12t'!I18*1000000)</f>
        <v>124.53068774300374</v>
      </c>
      <c r="J20" s="7">
        <f>csinterpolate(CSTableU1,'FT240-61x2 12t'!J18*1000000)</f>
        <v>125.8779040842777</v>
      </c>
      <c r="K20" s="7">
        <f>csinterpolate(CSTableU1,'FT240-61x2 12t'!K18*1000000)</f>
        <v>127.23357190462848</v>
      </c>
      <c r="L20" s="7">
        <f>csinterpolate(CSTableU1,'FT240-61x2 12t'!L18*1000000)</f>
        <v>128.72762986207428</v>
      </c>
      <c r="M20" s="7">
        <f>csinterpolate(CSTableU1,'FT240-61x2 12t'!M18*1000000)</f>
        <v>130.58691735598651</v>
      </c>
      <c r="N20" s="7">
        <f>csinterpolate(CSTableU1,'FT240-61x2 12t'!N18*1000000)</f>
        <v>133.03440666309157</v>
      </c>
      <c r="O20" s="7">
        <f>csinterpolate(CSTableU1,'FT240-61x2 12t'!O18*1000000)</f>
        <v>136.12336259869176</v>
      </c>
      <c r="P20" s="7">
        <f>csinterpolate(CSTableU1,'FT240-61x2 12t'!P18*1000000)</f>
        <v>139.67793935478795</v>
      </c>
      <c r="Q20" s="7">
        <f>csinterpolate(CSTableU1,'FT240-61x2 12t'!Q18*1000000)</f>
        <v>143.50601061257916</v>
      </c>
      <c r="R20" s="7">
        <f>csinterpolate(CSTableU1,'FT240-61x2 12t'!R18*1000000)</f>
        <v>147.31593290901336</v>
      </c>
      <c r="S20" s="7">
        <f>csinterpolate(CSTableU1,'FT240-61x2 12t'!S18*1000000)</f>
        <v>150.5136760966235</v>
      </c>
      <c r="T20" s="7">
        <f>csinterpolate(CSTableU1,'FT240-61x2 12t'!T18*1000000)</f>
        <v>152.48288732711956</v>
      </c>
      <c r="U20" s="7">
        <f>csinterpolate(CSTableU1,'FT240-61x2 12t'!U18*1000000)</f>
        <v>153.39557417739775</v>
      </c>
      <c r="V20" s="7">
        <f>csinterpolate(CSTableU1,'FT240-61x2 12t'!V18*1000000)</f>
        <v>153.80507483449514</v>
      </c>
      <c r="W20" s="7">
        <f>csinterpolate(CSTableU1,'FT240-61x2 12t'!W18*1000000)</f>
        <v>152.45141077347637</v>
      </c>
      <c r="X20" s="7">
        <f>csinterpolate(CSTableU1,'FT240-61x2 12t'!X18*1000000)</f>
        <v>149.01810626281133</v>
      </c>
      <c r="Y20" s="7">
        <f>csinterpolate(CSTableU1,'FT240-61x2 12t'!Y18*1000000)</f>
        <v>144.70647869465122</v>
      </c>
      <c r="Z20" s="7">
        <f>csinterpolate(CSTableU1,'FT240-61x2 12t'!Z18*1000000)</f>
        <v>140.25969798892274</v>
      </c>
      <c r="AA20" s="7">
        <f>csinterpolate(CSTableU1,'FT240-61x2 12t'!AA18*1000000)</f>
        <v>135.75204916835645</v>
      </c>
      <c r="AB20" s="7">
        <f>csinterpolate(CSTableU1,'FT240-61x2 12t'!AB18*1000000)</f>
        <v>131.21515882395235</v>
      </c>
      <c r="AC20" s="7">
        <f>csinterpolate(CSTableU1,'FT240-61x2 12t'!AC18*1000000)</f>
        <v>126.69399171567839</v>
      </c>
      <c r="AD20" s="7">
        <f>csinterpolate(CSTableU1,'FT240-61x2 12t'!AD18*1000000)</f>
        <v>122.24641410480092</v>
      </c>
      <c r="AE20" s="7">
        <f>csinterpolate(CSTableU1,'FT240-61x2 12t'!AE18*1000000)</f>
        <v>117.93080634469251</v>
      </c>
    </row>
    <row r="21" spans="1:31" x14ac:dyDescent="0.2">
      <c r="A21" t="s">
        <v>12</v>
      </c>
      <c r="B21" s="5">
        <f t="shared" ref="B21:AE21" si="1">B19/$B$13*$B$16*B18*1000000</f>
        <v>0.22308010839505285</v>
      </c>
      <c r="C21" s="5">
        <f t="shared" si="1"/>
        <v>0.99863257837208852</v>
      </c>
      <c r="D21" s="5">
        <f t="shared" si="1"/>
        <v>2.3992496615180881</v>
      </c>
      <c r="E21" s="5">
        <f t="shared" si="1"/>
        <v>4.4836492148868041</v>
      </c>
      <c r="F21" s="5">
        <f t="shared" si="1"/>
        <v>7.2474605559632446</v>
      </c>
      <c r="G21" s="5">
        <f t="shared" si="1"/>
        <v>10.77451560767047</v>
      </c>
      <c r="H21" s="5">
        <f t="shared" si="1"/>
        <v>13.943900477240399</v>
      </c>
      <c r="I21" s="5">
        <f t="shared" si="1"/>
        <v>19.594179679585999</v>
      </c>
      <c r="J21" s="5">
        <f t="shared" si="1"/>
        <v>25.502929048310541</v>
      </c>
      <c r="K21" s="5">
        <f t="shared" si="1"/>
        <v>34.673736220871888</v>
      </c>
      <c r="L21" s="5">
        <f t="shared" si="1"/>
        <v>48.824099428625814</v>
      </c>
      <c r="M21" s="5">
        <f t="shared" si="1"/>
        <v>68.951841965911655</v>
      </c>
      <c r="N21" s="5">
        <f t="shared" si="1"/>
        <v>95.341177607272229</v>
      </c>
      <c r="O21" s="5">
        <f t="shared" si="1"/>
        <v>140.24507606794478</v>
      </c>
      <c r="P21" s="5">
        <f t="shared" si="1"/>
        <v>193.32951141303886</v>
      </c>
      <c r="Q21" s="5">
        <f t="shared" si="1"/>
        <v>285.47787546371904</v>
      </c>
      <c r="R21" s="5">
        <f t="shared" si="1"/>
        <v>417.10094850707128</v>
      </c>
      <c r="S21" s="5">
        <f t="shared" si="1"/>
        <v>599.10389672457961</v>
      </c>
      <c r="T21" s="5">
        <f t="shared" si="1"/>
        <v>847.30437719584938</v>
      </c>
      <c r="U21" s="5">
        <f t="shared" si="1"/>
        <v>1121.5650990377917</v>
      </c>
      <c r="V21" s="5">
        <f t="shared" si="1"/>
        <v>1439.9300232693374</v>
      </c>
      <c r="W21" s="5">
        <f t="shared" si="1"/>
        <v>1795.0092165816304</v>
      </c>
      <c r="X21" s="5">
        <f t="shared" si="1"/>
        <v>2158.9135654904353</v>
      </c>
      <c r="Y21" s="5">
        <f t="shared" si="1"/>
        <v>2446.0839719235478</v>
      </c>
      <c r="Z21" s="5">
        <f t="shared" si="1"/>
        <v>2795.9394598842805</v>
      </c>
      <c r="AA21" s="5">
        <f t="shared" si="1"/>
        <v>3119.2233613201975</v>
      </c>
      <c r="AB21" s="5">
        <f t="shared" si="1"/>
        <v>3356.5523183368323</v>
      </c>
      <c r="AC21" s="5">
        <f t="shared" si="1"/>
        <v>3608.9956541316101</v>
      </c>
      <c r="AD21" s="5">
        <f t="shared" si="1"/>
        <v>3840.0293768816182</v>
      </c>
      <c r="AE21" s="5">
        <f t="shared" si="1"/>
        <v>4015.7479504465437</v>
      </c>
    </row>
    <row r="22" spans="1:31" x14ac:dyDescent="0.2">
      <c r="A22" t="s">
        <v>13</v>
      </c>
      <c r="B22" s="5">
        <f t="shared" ref="B22:AE22" si="2">B20/$B$13*$B$16*B18*1000000</f>
        <v>205.66101189995061</v>
      </c>
      <c r="C22" s="5">
        <f t="shared" si="2"/>
        <v>411.32596197420861</v>
      </c>
      <c r="D22" s="5">
        <f t="shared" si="2"/>
        <v>616.94877729746383</v>
      </c>
      <c r="E22" s="5">
        <f t="shared" si="2"/>
        <v>826.01971367477404</v>
      </c>
      <c r="F22" s="5">
        <f t="shared" si="2"/>
        <v>1039.5125211339823</v>
      </c>
      <c r="G22" s="5">
        <f t="shared" si="2"/>
        <v>1255.4708613285561</v>
      </c>
      <c r="H22" s="5">
        <f t="shared" si="2"/>
        <v>1475.4824897515848</v>
      </c>
      <c r="I22" s="5">
        <f t="shared" si="2"/>
        <v>1702.6098672431069</v>
      </c>
      <c r="J22" s="5">
        <f t="shared" si="2"/>
        <v>1936.1579553353108</v>
      </c>
      <c r="K22" s="5">
        <f t="shared" si="2"/>
        <v>2174.4553380334983</v>
      </c>
      <c r="L22" s="5">
        <f t="shared" si="2"/>
        <v>2419.9881013116928</v>
      </c>
      <c r="M22" s="5">
        <f t="shared" si="2"/>
        <v>2678.1178766394551</v>
      </c>
      <c r="N22" s="5">
        <f t="shared" si="2"/>
        <v>2955.671076386735</v>
      </c>
      <c r="O22" s="5">
        <f t="shared" si="2"/>
        <v>3256.9378915018733</v>
      </c>
      <c r="P22" s="5">
        <f t="shared" si="2"/>
        <v>3580.6992952677901</v>
      </c>
      <c r="Q22" s="5">
        <f t="shared" si="2"/>
        <v>3924.0889792869275</v>
      </c>
      <c r="R22" s="5">
        <f t="shared" si="2"/>
        <v>4280.0359230939021</v>
      </c>
      <c r="S22" s="5">
        <f t="shared" si="2"/>
        <v>4630.1732378087527</v>
      </c>
      <c r="T22" s="5">
        <f t="shared" si="2"/>
        <v>4951.3483301084034</v>
      </c>
      <c r="U22" s="5">
        <f t="shared" si="2"/>
        <v>5243.1417291464422</v>
      </c>
      <c r="V22" s="5">
        <f t="shared" si="2"/>
        <v>5519.9956117440506</v>
      </c>
      <c r="W22" s="5">
        <f t="shared" si="2"/>
        <v>5731.9566979565479</v>
      </c>
      <c r="X22" s="5">
        <f t="shared" si="2"/>
        <v>5857.545198843537</v>
      </c>
      <c r="Y22" s="5">
        <f t="shared" si="2"/>
        <v>5935.3726285035973</v>
      </c>
      <c r="Z22" s="5">
        <f t="shared" si="2"/>
        <v>5992.6881804354298</v>
      </c>
      <c r="AA22" s="5">
        <f t="shared" si="2"/>
        <v>6032.099745493264</v>
      </c>
      <c r="AB22" s="5">
        <f t="shared" si="2"/>
        <v>6054.7546163659044</v>
      </c>
      <c r="AC22" s="5">
        <f t="shared" si="2"/>
        <v>6062.6545563808022</v>
      </c>
      <c r="AD22" s="5">
        <f t="shared" si="2"/>
        <v>6058.7481338980406</v>
      </c>
      <c r="AE22" s="5">
        <f t="shared" si="2"/>
        <v>6046.4058550607151</v>
      </c>
    </row>
    <row r="23" spans="1:31" x14ac:dyDescent="0.2">
      <c r="A23" t="s">
        <v>14</v>
      </c>
      <c r="B23" s="5" t="str">
        <f t="shared" ref="B23:AE23" si="3">IMDIV(1,COMPLEX(B21,B22))</f>
        <v>5.27419763005132E-06-0.00486236459790393i</v>
      </c>
      <c r="C23" s="5" t="str">
        <f t="shared" si="3"/>
        <v>5.90243109595354E-06-0.0024311475522732i</v>
      </c>
      <c r="D23" s="5" t="str">
        <f t="shared" si="3"/>
        <v>6.30333891189109E-06-0.0016208555937118i</v>
      </c>
      <c r="E23" s="5" t="str">
        <f t="shared" si="3"/>
        <v>6.57109895685512E-06-0.00121058919168972i</v>
      </c>
      <c r="F23" s="5" t="str">
        <f t="shared" si="3"/>
        <v>6.70664472453394E-06-0.000961942615915845i</v>
      </c>
      <c r="G23" s="5" t="str">
        <f t="shared" si="3"/>
        <v>6.83521995142677E-06-0.000796455246088159i</v>
      </c>
      <c r="H23" s="5" t="str">
        <f t="shared" si="3"/>
        <v>6.40438408284378E-06-0.000677683879578999i</v>
      </c>
      <c r="I23" s="5" t="str">
        <f t="shared" si="3"/>
        <v>6.75832821942266E-06-0.000587255833141349i</v>
      </c>
      <c r="J23" s="5" t="str">
        <f t="shared" si="3"/>
        <v>6.80194552292661E-06-0.000516397191515702i</v>
      </c>
      <c r="K23" s="5" t="str">
        <f t="shared" si="3"/>
        <v>7.33143927502516E-06-0.000459768372392782i</v>
      </c>
      <c r="L23" s="5" t="str">
        <f t="shared" si="3"/>
        <v>8.33356906184919E-06-0.000413057039600206i</v>
      </c>
      <c r="M23" s="5" t="str">
        <f t="shared" si="3"/>
        <v>9.60724148965625E-06-0.000373149207404216i</v>
      </c>
      <c r="N23" s="5" t="str">
        <f t="shared" si="3"/>
        <v>0.0000109022629613311-0.000337980965944255i</v>
      </c>
      <c r="O23" s="5" t="str">
        <f t="shared" si="3"/>
        <v>0.0000131966635978648-0.000306468611364768i</v>
      </c>
      <c r="P23" s="5" t="str">
        <f t="shared" si="3"/>
        <v>0.0000150348209655958-0.000278463295347444i</v>
      </c>
      <c r="Q23" s="5" t="str">
        <f t="shared" si="3"/>
        <v>0.0000184417566560986-0.000253494579694968i</v>
      </c>
      <c r="R23" s="5" t="str">
        <f t="shared" si="3"/>
        <v>0.0000225549207915483-0.000231444861431975i</v>
      </c>
      <c r="S23" s="5" t="str">
        <f t="shared" si="3"/>
        <v>0.0000274850707267884-0.00021241831277382i</v>
      </c>
      <c r="T23" s="5" t="str">
        <f t="shared" si="3"/>
        <v>0.0000335781854838596-0.000196219088556826i</v>
      </c>
      <c r="U23" s="5" t="str">
        <f t="shared" si="3"/>
        <v>0.0000390130721501396-0.000182380021229339i</v>
      </c>
      <c r="V23" s="5" t="str">
        <f t="shared" si="3"/>
        <v>0.0000442459772502328-0.000169617687187377i</v>
      </c>
      <c r="W23" s="5" t="str">
        <f t="shared" si="3"/>
        <v>0.0000497544149334623-0.00015887949170193i</v>
      </c>
      <c r="X23" s="5" t="str">
        <f t="shared" si="3"/>
        <v>0.0000553968945035321-0.000150302364400722i</v>
      </c>
      <c r="Y23" s="5" t="str">
        <f t="shared" si="3"/>
        <v>0.0000593537186639061-0.000144020581959261i</v>
      </c>
      <c r="Z23" s="5" t="str">
        <f t="shared" si="3"/>
        <v>0.0000639370165141237-0.000137039663645776i</v>
      </c>
      <c r="AA23" s="5" t="str">
        <f t="shared" si="3"/>
        <v>0.0000676389566685858-0.000130803371879505i</v>
      </c>
      <c r="AB23" s="5" t="str">
        <f t="shared" si="3"/>
        <v>0.0000700354195139642-0.000126334178464828i</v>
      </c>
      <c r="AC23" s="5" t="str">
        <f t="shared" si="3"/>
        <v>0.0000724979909107086-0.000121787421500517i</v>
      </c>
      <c r="AD23" s="5" t="str">
        <f t="shared" si="3"/>
        <v>0.000074629968101205-0.000117750187716854i</v>
      </c>
      <c r="AE23" s="5" t="str">
        <f t="shared" si="3"/>
        <v>0.0000762214764373414-0.000114764668275773i</v>
      </c>
    </row>
    <row r="24" spans="1:31" x14ac:dyDescent="0.2">
      <c r="A24" t="s">
        <v>15</v>
      </c>
      <c r="B24" s="6" t="str">
        <f t="shared" ref="B24:AE24" si="4">COMPLEX(0,2*PI()*B18*1000000*$B$9*0.000000000001)</f>
        <v>0.0000251327412287183i</v>
      </c>
      <c r="C24" s="6" t="str">
        <f t="shared" si="4"/>
        <v>0.0000502654824574367i</v>
      </c>
      <c r="D24" s="6" t="str">
        <f t="shared" si="4"/>
        <v>0.000075398223686155i</v>
      </c>
      <c r="E24" s="6" t="str">
        <f t="shared" si="4"/>
        <v>0.000100530964914873i</v>
      </c>
      <c r="F24" s="6" t="str">
        <f t="shared" si="4"/>
        <v>0.000125663706143592i</v>
      </c>
      <c r="G24" s="6" t="str">
        <f t="shared" si="4"/>
        <v>0.00015079644737231i</v>
      </c>
      <c r="H24" s="6" t="str">
        <f t="shared" si="4"/>
        <v>0.000175929188601028i</v>
      </c>
      <c r="I24" s="6" t="str">
        <f t="shared" si="4"/>
        <v>0.000201061929829747i</v>
      </c>
      <c r="J24" s="6" t="str">
        <f t="shared" si="4"/>
        <v>0.000226194671058465i</v>
      </c>
      <c r="K24" s="6" t="str">
        <f t="shared" si="4"/>
        <v>0.000251327412287183i</v>
      </c>
      <c r="L24" s="6" t="str">
        <f t="shared" si="4"/>
        <v>0.000276460153515902i</v>
      </c>
      <c r="M24" s="6" t="str">
        <f t="shared" si="4"/>
        <v>0.00030159289474462i</v>
      </c>
      <c r="N24" s="6" t="str">
        <f t="shared" si="4"/>
        <v>0.000326725635973338i</v>
      </c>
      <c r="O24" s="6" t="str">
        <f t="shared" si="4"/>
        <v>0.000351858377202057i</v>
      </c>
      <c r="P24" s="6" t="str">
        <f t="shared" si="4"/>
        <v>0.000376991118430775i</v>
      </c>
      <c r="Q24" s="6" t="str">
        <f t="shared" si="4"/>
        <v>0.000402123859659493i</v>
      </c>
      <c r="R24" s="6" t="str">
        <f t="shared" si="4"/>
        <v>0.000427256600888212i</v>
      </c>
      <c r="S24" s="6" t="str">
        <f t="shared" si="4"/>
        <v>0.00045238934211693i</v>
      </c>
      <c r="T24" s="6" t="str">
        <f t="shared" si="4"/>
        <v>0.000477522083345648i</v>
      </c>
      <c r="U24" s="6" t="str">
        <f t="shared" si="4"/>
        <v>0.000502654824574367i</v>
      </c>
      <c r="V24" s="6" t="str">
        <f t="shared" si="4"/>
        <v>0.000527787565803085i</v>
      </c>
      <c r="W24" s="6" t="str">
        <f t="shared" si="4"/>
        <v>0.000552920307031803i</v>
      </c>
      <c r="X24" s="6" t="str">
        <f t="shared" si="4"/>
        <v>0.000578053048260522i</v>
      </c>
      <c r="Y24" s="6" t="str">
        <f t="shared" si="4"/>
        <v>0.00060318578948924i</v>
      </c>
      <c r="Z24" s="6" t="str">
        <f t="shared" si="4"/>
        <v>0.000628318530717959i</v>
      </c>
      <c r="AA24" s="6" t="str">
        <f t="shared" si="4"/>
        <v>0.000653451271946677i</v>
      </c>
      <c r="AB24" s="6" t="str">
        <f t="shared" si="4"/>
        <v>0.000678584013175395i</v>
      </c>
      <c r="AC24" s="6" t="str">
        <f t="shared" si="4"/>
        <v>0.000703716754404114i</v>
      </c>
      <c r="AD24" s="6" t="str">
        <f t="shared" si="4"/>
        <v>0.000728849495632832i</v>
      </c>
      <c r="AE24" s="6" t="str">
        <f t="shared" si="4"/>
        <v>0.00075398223686155i</v>
      </c>
    </row>
    <row r="25" spans="1:31" x14ac:dyDescent="0.2">
      <c r="A25" t="s">
        <v>16</v>
      </c>
      <c r="B25" s="6" t="str">
        <f t="shared" ref="B25:AE25" si="5">IMDIV(1,IMSUM(B23,B24))</f>
        <v>0.225404236420366+206.729559550375i</v>
      </c>
      <c r="C25" s="6" t="str">
        <f t="shared" si="5"/>
        <v>1.04124394268413+420.009821908885i</v>
      </c>
      <c r="D25" s="6" t="str">
        <f t="shared" si="5"/>
        <v>2.63906066768125+647.046877190545i</v>
      </c>
      <c r="E25" s="6" t="str">
        <f t="shared" si="5"/>
        <v>5.33250498075147+900.822078934877i</v>
      </c>
      <c r="F25" s="6" t="str">
        <f t="shared" si="5"/>
        <v>9.5890389234377+1195.69640946106i</v>
      </c>
      <c r="G25" s="6" t="str">
        <f t="shared" si="5"/>
        <v>16.3944811647264+1548.63209810495i</v>
      </c>
      <c r="H25" s="6" t="str">
        <f t="shared" si="5"/>
        <v>25.434531211256+1992.68113576451i</v>
      </c>
      <c r="I25" s="6" t="str">
        <f t="shared" si="5"/>
        <v>45.2997153297441+2588.58009171871i</v>
      </c>
      <c r="J25" s="6" t="str">
        <f t="shared" si="5"/>
        <v>80.7220656753297+3443.97743800455i</v>
      </c>
      <c r="K25" s="6" t="str">
        <f t="shared" si="5"/>
        <v>168.533472407169+4791.59377588383i</v>
      </c>
      <c r="L25" s="6" t="str">
        <f t="shared" si="5"/>
        <v>444.975379457521+7293.66382722358i</v>
      </c>
      <c r="M25" s="6" t="str">
        <f t="shared" si="5"/>
        <v>1843.0787569875+13727.5533183226i</v>
      </c>
      <c r="N25" s="6" t="str">
        <f t="shared" si="5"/>
        <v>44400.844932097+45838.7549879143i</v>
      </c>
      <c r="O25" s="6" t="str">
        <f t="shared" si="5"/>
        <v>5906.17854650754-20314.2301257548i</v>
      </c>
      <c r="P25" s="6" t="str">
        <f t="shared" si="5"/>
        <v>1513.50486434112-9918.46459966498i</v>
      </c>
      <c r="Q25" s="6" t="str">
        <f t="shared" si="5"/>
        <v>822.163655056525-6626.1362376042i</v>
      </c>
      <c r="R25" s="6" t="str">
        <f t="shared" si="5"/>
        <v>580.549869792709-5040.07444299248i</v>
      </c>
      <c r="S25" s="6" t="str">
        <f t="shared" si="5"/>
        <v>471.106491997517-4113.21152994812i</v>
      </c>
      <c r="T25" s="6" t="str">
        <f t="shared" si="5"/>
        <v>418.373517189338-3504.94589358513i</v>
      </c>
      <c r="U25" s="6" t="str">
        <f t="shared" si="5"/>
        <v>374.772652664676-3076.66715323889i</v>
      </c>
      <c r="V25" s="6" t="str">
        <f t="shared" si="5"/>
        <v>339.717697543091-2750.00472482448i</v>
      </c>
      <c r="W25" s="6" t="str">
        <f t="shared" si="5"/>
        <v>315.413076229975-2497.98185526999i</v>
      </c>
      <c r="X25" s="6" t="str">
        <f t="shared" si="5"/>
        <v>297.769588625487-2299.24703015766i</v>
      </c>
      <c r="Y25" s="6" t="str">
        <f t="shared" si="5"/>
        <v>276.893778519782-2142.07284968501i</v>
      </c>
      <c r="Z25" s="6" t="str">
        <f t="shared" si="5"/>
        <v>260.496535157937-2001.60172691746i</v>
      </c>
      <c r="AA25" s="6" t="str">
        <f t="shared" si="5"/>
        <v>243.536998305341-1881.81644161973i</v>
      </c>
      <c r="AB25" s="6" t="str">
        <f t="shared" si="5"/>
        <v>226.004665252622-1782.1131064217i</v>
      </c>
      <c r="AC25" s="6" t="str">
        <f t="shared" si="5"/>
        <v>210.81266143139-1692.15822250159i</v>
      </c>
      <c r="AD25" s="6" t="str">
        <f t="shared" si="5"/>
        <v>196.90661201979-1612.34819457776i</v>
      </c>
      <c r="AE25" s="6" t="str">
        <f t="shared" si="5"/>
        <v>183.928222474647-1542.48063222965i</v>
      </c>
    </row>
    <row r="26" spans="1:31" x14ac:dyDescent="0.2">
      <c r="A26" t="s">
        <v>8</v>
      </c>
      <c r="B26" s="5">
        <f t="shared" ref="B26:AE26" si="6">IMREAL(B25)</f>
        <v>0.225404236420366</v>
      </c>
      <c r="C26" s="5">
        <f t="shared" si="6"/>
        <v>1.04124394268413</v>
      </c>
      <c r="D26" s="5">
        <f t="shared" si="6"/>
        <v>2.63906066768125</v>
      </c>
      <c r="E26" s="5">
        <f t="shared" si="6"/>
        <v>5.3325049807514704</v>
      </c>
      <c r="F26" s="5">
        <f t="shared" si="6"/>
        <v>9.5890389234377</v>
      </c>
      <c r="G26" s="5">
        <f t="shared" si="6"/>
        <v>16.3944811647264</v>
      </c>
      <c r="H26" s="5">
        <f t="shared" si="6"/>
        <v>25.434531211256001</v>
      </c>
      <c r="I26" s="5">
        <f t="shared" si="6"/>
        <v>45.299715329744103</v>
      </c>
      <c r="J26" s="5">
        <f t="shared" si="6"/>
        <v>80.722065675329702</v>
      </c>
      <c r="K26" s="5">
        <f t="shared" si="6"/>
        <v>168.533472407169</v>
      </c>
      <c r="L26" s="5">
        <f t="shared" si="6"/>
        <v>444.975379457521</v>
      </c>
      <c r="M26" s="5">
        <f t="shared" si="6"/>
        <v>1843.0787569874999</v>
      </c>
      <c r="N26" s="5">
        <f t="shared" si="6"/>
        <v>44400.844932097003</v>
      </c>
      <c r="O26" s="5">
        <f t="shared" si="6"/>
        <v>5906.17854650754</v>
      </c>
      <c r="P26" s="5">
        <f t="shared" si="6"/>
        <v>1513.5048643411201</v>
      </c>
      <c r="Q26" s="5">
        <f t="shared" si="6"/>
        <v>822.16365505652504</v>
      </c>
      <c r="R26" s="5">
        <f t="shared" si="6"/>
        <v>580.54986979270905</v>
      </c>
      <c r="S26" s="5">
        <f t="shared" si="6"/>
        <v>471.10649199751703</v>
      </c>
      <c r="T26" s="5">
        <f t="shared" si="6"/>
        <v>418.37351718933797</v>
      </c>
      <c r="U26" s="5">
        <f t="shared" si="6"/>
        <v>374.772652664676</v>
      </c>
      <c r="V26" s="5">
        <f t="shared" si="6"/>
        <v>339.71769754309099</v>
      </c>
      <c r="W26" s="5">
        <f t="shared" si="6"/>
        <v>315.41307622997499</v>
      </c>
      <c r="X26" s="5">
        <f t="shared" si="6"/>
        <v>297.76958862548702</v>
      </c>
      <c r="Y26" s="5">
        <f t="shared" si="6"/>
        <v>276.89377851978202</v>
      </c>
      <c r="Z26" s="5">
        <f t="shared" si="6"/>
        <v>260.49653515793699</v>
      </c>
      <c r="AA26" s="5">
        <f t="shared" si="6"/>
        <v>243.536998305341</v>
      </c>
      <c r="AB26" s="5">
        <f t="shared" si="6"/>
        <v>226.004665252622</v>
      </c>
      <c r="AC26" s="5">
        <f t="shared" si="6"/>
        <v>210.81266143139001</v>
      </c>
      <c r="AD26" s="5">
        <f t="shared" si="6"/>
        <v>196.90661201979</v>
      </c>
      <c r="AE26" s="5">
        <f t="shared" si="6"/>
        <v>183.92822247464699</v>
      </c>
    </row>
    <row r="27" spans="1:31" x14ac:dyDescent="0.2">
      <c r="A27" t="s">
        <v>9</v>
      </c>
      <c r="B27" s="5">
        <f t="shared" ref="B27:AE27" si="7">IMAGINARY(B25)</f>
        <v>206.729559550375</v>
      </c>
      <c r="C27" s="5">
        <f t="shared" si="7"/>
        <v>420.00982190888499</v>
      </c>
      <c r="D27" s="5">
        <f t="shared" si="7"/>
        <v>647.04687719054505</v>
      </c>
      <c r="E27" s="5">
        <f t="shared" si="7"/>
        <v>900.82207893487703</v>
      </c>
      <c r="F27" s="5">
        <f t="shared" si="7"/>
        <v>1195.6964094610601</v>
      </c>
      <c r="G27" s="5">
        <f t="shared" si="7"/>
        <v>1548.63209810495</v>
      </c>
      <c r="H27" s="5">
        <f t="shared" si="7"/>
        <v>1992.6811357645099</v>
      </c>
      <c r="I27" s="5">
        <f t="shared" si="7"/>
        <v>2588.5800917187098</v>
      </c>
      <c r="J27" s="5">
        <f t="shared" si="7"/>
        <v>3443.9774380045501</v>
      </c>
      <c r="K27" s="5">
        <f t="shared" si="7"/>
        <v>4791.5937758838299</v>
      </c>
      <c r="L27" s="5">
        <f t="shared" si="7"/>
        <v>7293.6638272235796</v>
      </c>
      <c r="M27" s="5">
        <f t="shared" si="7"/>
        <v>13727.5533183226</v>
      </c>
      <c r="N27" s="5">
        <f t="shared" si="7"/>
        <v>45838.754987914297</v>
      </c>
      <c r="O27" s="5">
        <f t="shared" si="7"/>
        <v>-20314.230125754799</v>
      </c>
      <c r="P27" s="5">
        <f t="shared" si="7"/>
        <v>-9918.4645996649797</v>
      </c>
      <c r="Q27" s="5">
        <f t="shared" si="7"/>
        <v>-6626.1362376041998</v>
      </c>
      <c r="R27" s="5">
        <f t="shared" si="7"/>
        <v>-5040.0744429924798</v>
      </c>
      <c r="S27" s="5">
        <f t="shared" si="7"/>
        <v>-4113.2115299481202</v>
      </c>
      <c r="T27" s="5">
        <f t="shared" si="7"/>
        <v>-3504.9458935851299</v>
      </c>
      <c r="U27" s="5">
        <f t="shared" si="7"/>
        <v>-3076.66715323889</v>
      </c>
      <c r="V27" s="5">
        <f t="shared" si="7"/>
        <v>-2750.00472482448</v>
      </c>
      <c r="W27" s="5">
        <f t="shared" si="7"/>
        <v>-2497.9818552699899</v>
      </c>
      <c r="X27" s="5">
        <f t="shared" si="7"/>
        <v>-2299.24703015766</v>
      </c>
      <c r="Y27" s="5">
        <f t="shared" si="7"/>
        <v>-2142.0728496850102</v>
      </c>
      <c r="Z27" s="5">
        <f t="shared" si="7"/>
        <v>-2001.6017269174599</v>
      </c>
      <c r="AA27" s="5">
        <f t="shared" si="7"/>
        <v>-1881.8164416197301</v>
      </c>
      <c r="AB27" s="5">
        <f t="shared" si="7"/>
        <v>-1782.1131064217</v>
      </c>
      <c r="AC27" s="5">
        <f t="shared" si="7"/>
        <v>-1692.15822250159</v>
      </c>
      <c r="AD27" s="5">
        <f t="shared" si="7"/>
        <v>-1612.3481945777601</v>
      </c>
      <c r="AE27" s="5">
        <f t="shared" si="7"/>
        <v>-1542.4806322296499</v>
      </c>
    </row>
    <row r="28" spans="1:31" x14ac:dyDescent="0.2">
      <c r="A28" t="s">
        <v>17</v>
      </c>
      <c r="B28" s="5">
        <f t="shared" ref="B28:AE28" si="8">IMABS(B25)</f>
        <v>206.72968243327281</v>
      </c>
      <c r="C28" s="5">
        <f t="shared" si="8"/>
        <v>420.01111257784771</v>
      </c>
      <c r="D28" s="5">
        <f t="shared" si="8"/>
        <v>647.05225903573194</v>
      </c>
      <c r="E28" s="5">
        <f t="shared" si="8"/>
        <v>900.83786194071763</v>
      </c>
      <c r="F28" s="5">
        <f t="shared" si="8"/>
        <v>1195.7348590994352</v>
      </c>
      <c r="G28" s="5">
        <f t="shared" si="8"/>
        <v>1548.7188751654057</v>
      </c>
      <c r="H28" s="5">
        <f t="shared" si="8"/>
        <v>1992.8434520076264</v>
      </c>
      <c r="I28" s="5">
        <f t="shared" si="8"/>
        <v>2588.9764300687252</v>
      </c>
      <c r="J28" s="5">
        <f t="shared" si="8"/>
        <v>3444.9233148752787</v>
      </c>
      <c r="K28" s="5">
        <f t="shared" si="8"/>
        <v>4794.5567516101291</v>
      </c>
      <c r="L28" s="5">
        <f t="shared" si="8"/>
        <v>7307.2248571446798</v>
      </c>
      <c r="M28" s="5">
        <f t="shared" si="8"/>
        <v>13850.727757480776</v>
      </c>
      <c r="N28" s="5">
        <f t="shared" si="8"/>
        <v>63817.133197333162</v>
      </c>
      <c r="O28" s="5">
        <f t="shared" si="8"/>
        <v>21155.398616555296</v>
      </c>
      <c r="P28" s="5">
        <f t="shared" si="8"/>
        <v>10033.276483242731</v>
      </c>
      <c r="Q28" s="5">
        <f t="shared" si="8"/>
        <v>6676.9479940304645</v>
      </c>
      <c r="R28" s="5">
        <f t="shared" si="8"/>
        <v>5073.400096801186</v>
      </c>
      <c r="S28" s="5">
        <f t="shared" si="8"/>
        <v>4140.1027060811384</v>
      </c>
      <c r="T28" s="5">
        <f t="shared" si="8"/>
        <v>3529.8274910885716</v>
      </c>
      <c r="U28" s="5">
        <f t="shared" si="8"/>
        <v>3099.4088650909571</v>
      </c>
      <c r="V28" s="5">
        <f t="shared" si="8"/>
        <v>2770.9085334202109</v>
      </c>
      <c r="W28" s="5">
        <f t="shared" si="8"/>
        <v>2517.8162677040109</v>
      </c>
      <c r="X28" s="5">
        <f t="shared" si="8"/>
        <v>2318.448540209381</v>
      </c>
      <c r="Y28" s="5">
        <f t="shared" si="8"/>
        <v>2159.8949645620783</v>
      </c>
      <c r="Z28" s="5">
        <f t="shared" si="8"/>
        <v>2018.4815872403315</v>
      </c>
      <c r="AA28" s="5">
        <f t="shared" si="8"/>
        <v>1897.5097864026729</v>
      </c>
      <c r="AB28" s="5">
        <f t="shared" si="8"/>
        <v>1796.3867158259523</v>
      </c>
      <c r="AC28" s="5">
        <f t="shared" si="8"/>
        <v>1705.2394049515528</v>
      </c>
      <c r="AD28" s="5">
        <f t="shared" si="8"/>
        <v>1624.3272190095427</v>
      </c>
      <c r="AE28" s="5">
        <f t="shared" si="8"/>
        <v>1553.40789615164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27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35"/>
  <sheetViews>
    <sheetView workbookViewId="0">
      <selection activeCell="B9" sqref="B9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28</v>
      </c>
    </row>
    <row r="3" spans="1:2" x14ac:dyDescent="0.2">
      <c r="A3" s="8" t="s">
        <v>30</v>
      </c>
    </row>
    <row r="4" spans="1:2" x14ac:dyDescent="0.2">
      <c r="A4" s="12" t="s">
        <v>29</v>
      </c>
    </row>
    <row r="6" spans="1:2" x14ac:dyDescent="0.2">
      <c r="A6" s="8" t="s">
        <v>18</v>
      </c>
    </row>
    <row r="7" spans="1:2" x14ac:dyDescent="0.2">
      <c r="A7" t="s">
        <v>3</v>
      </c>
      <c r="B7" s="3">
        <f>170*3</f>
        <v>510</v>
      </c>
    </row>
    <row r="8" spans="1:2" x14ac:dyDescent="0.2">
      <c r="A8" t="s">
        <v>7</v>
      </c>
      <c r="B8" s="3">
        <v>12</v>
      </c>
    </row>
    <row r="9" spans="1:2" x14ac:dyDescent="0.2">
      <c r="A9" t="s">
        <v>10</v>
      </c>
      <c r="B9" s="3">
        <v>25</v>
      </c>
    </row>
    <row r="11" spans="1:2" x14ac:dyDescent="0.2">
      <c r="A11" s="8" t="s">
        <v>19</v>
      </c>
    </row>
    <row r="12" spans="1:2" x14ac:dyDescent="0.2">
      <c r="A12" t="s">
        <v>20</v>
      </c>
      <c r="B12" t="str">
        <f>Mix!B1</f>
        <v>#61</v>
      </c>
    </row>
    <row r="13" spans="1:2" x14ac:dyDescent="0.2">
      <c r="A13" t="s">
        <v>31</v>
      </c>
      <c r="B13">
        <f>Mix!B2</f>
        <v>125</v>
      </c>
    </row>
    <row r="15" spans="1:2" x14ac:dyDescent="0.2">
      <c r="A15" s="8" t="s">
        <v>22</v>
      </c>
    </row>
    <row r="16" spans="1:2" x14ac:dyDescent="0.2">
      <c r="A16" s="2" t="s">
        <v>11</v>
      </c>
      <c r="B16" s="4">
        <f>2*PI()*$B$8^2*$B$7*0.000000001</f>
        <v>4.6143712895926881E-4</v>
      </c>
    </row>
    <row r="18" spans="1:31" x14ac:dyDescent="0.2">
      <c r="A18" t="s">
        <v>4</v>
      </c>
      <c r="B18" s="10">
        <v>1</v>
      </c>
      <c r="C18" s="10">
        <f t="shared" ref="C18:AE18" si="0">B18+1</f>
        <v>2</v>
      </c>
      <c r="D18" s="10">
        <f t="shared" si="0"/>
        <v>3</v>
      </c>
      <c r="E18" s="10">
        <f t="shared" si="0"/>
        <v>4</v>
      </c>
      <c r="F18" s="10">
        <f t="shared" si="0"/>
        <v>5</v>
      </c>
      <c r="G18" s="10">
        <f t="shared" si="0"/>
        <v>6</v>
      </c>
      <c r="H18" s="10">
        <f t="shared" si="0"/>
        <v>7</v>
      </c>
      <c r="I18" s="10">
        <f t="shared" si="0"/>
        <v>8</v>
      </c>
      <c r="J18" s="10">
        <f t="shared" si="0"/>
        <v>9</v>
      </c>
      <c r="K18" s="10">
        <f t="shared" si="0"/>
        <v>10</v>
      </c>
      <c r="L18" s="10">
        <f t="shared" si="0"/>
        <v>11</v>
      </c>
      <c r="M18" s="10">
        <f t="shared" si="0"/>
        <v>12</v>
      </c>
      <c r="N18" s="10">
        <f t="shared" si="0"/>
        <v>13</v>
      </c>
      <c r="O18" s="10">
        <f t="shared" si="0"/>
        <v>14</v>
      </c>
      <c r="P18" s="10">
        <f t="shared" si="0"/>
        <v>15</v>
      </c>
      <c r="Q18" s="10">
        <f t="shared" si="0"/>
        <v>16</v>
      </c>
      <c r="R18" s="10">
        <f t="shared" si="0"/>
        <v>17</v>
      </c>
      <c r="S18" s="10">
        <f t="shared" si="0"/>
        <v>18</v>
      </c>
      <c r="T18" s="10">
        <f t="shared" si="0"/>
        <v>19</v>
      </c>
      <c r="U18" s="10">
        <f t="shared" si="0"/>
        <v>20</v>
      </c>
      <c r="V18" s="10">
        <f t="shared" si="0"/>
        <v>21</v>
      </c>
      <c r="W18" s="10">
        <f t="shared" si="0"/>
        <v>22</v>
      </c>
      <c r="X18" s="10">
        <f t="shared" si="0"/>
        <v>23</v>
      </c>
      <c r="Y18" s="10">
        <f t="shared" si="0"/>
        <v>24</v>
      </c>
      <c r="Z18" s="10">
        <f t="shared" si="0"/>
        <v>25</v>
      </c>
      <c r="AA18" s="10">
        <f t="shared" si="0"/>
        <v>26</v>
      </c>
      <c r="AB18" s="10">
        <f t="shared" si="0"/>
        <v>27</v>
      </c>
      <c r="AC18" s="10">
        <f t="shared" si="0"/>
        <v>28</v>
      </c>
      <c r="AD18" s="10">
        <f t="shared" si="0"/>
        <v>29</v>
      </c>
      <c r="AE18" s="10">
        <f t="shared" si="0"/>
        <v>30</v>
      </c>
    </row>
    <row r="19" spans="1:31" x14ac:dyDescent="0.2">
      <c r="A19" t="s">
        <v>6</v>
      </c>
      <c r="B19" s="7">
        <f>csinterpolate(CSTableU2,'FT240-61x3 13t'!B18*1000000)</f>
        <v>0.1305305218990753</v>
      </c>
      <c r="C19" s="7">
        <f>csinterpolate(CSTableU2,'FT240-61x3 13t'!C18*1000000)</f>
        <v>0.29216417496419567</v>
      </c>
      <c r="D19" s="7">
        <f>csinterpolate(CSTableU2,'FT240-61x3 13t'!D18*1000000)</f>
        <v>0.46795642566441231</v>
      </c>
      <c r="E19" s="7">
        <f>csinterpolate(CSTableU2,'FT240-61x3 13t'!E18*1000000)</f>
        <v>0.65587769819791408</v>
      </c>
      <c r="F19" s="7">
        <f>csinterpolate(CSTableU2,'FT240-61x3 13t'!F18*1000000)</f>
        <v>0.84813909731256343</v>
      </c>
      <c r="G19" s="7">
        <f>csinterpolate(CSTableU2,'FT240-61x3 13t'!G18*1000000)</f>
        <v>1.0507459671455464</v>
      </c>
      <c r="H19" s="7">
        <f>csinterpolate(CSTableU2,'FT240-61x3 13t'!H18*1000000)</f>
        <v>1.1655675876755502</v>
      </c>
      <c r="I19" s="7">
        <f>csinterpolate(CSTableU2,'FT240-61x3 13t'!I18*1000000)</f>
        <v>1.4331390403662139</v>
      </c>
      <c r="J19" s="7">
        <f>csinterpolate(CSTableU2,'FT240-61x3 13t'!J18*1000000)</f>
        <v>1.6580544204904037</v>
      </c>
      <c r="K19" s="7">
        <f>csinterpolate(CSTableU2,'FT240-61x3 13t'!K18*1000000)</f>
        <v>2.0288590128736232</v>
      </c>
      <c r="L19" s="7">
        <f>csinterpolate(CSTableU2,'FT240-61x3 13t'!L18*1000000)</f>
        <v>2.5971245875922397</v>
      </c>
      <c r="M19" s="7">
        <f>csinterpolate(CSTableU2,'FT240-61x3 13t'!M18*1000000)</f>
        <v>3.3621404669626322</v>
      </c>
      <c r="N19" s="7">
        <f>csinterpolate(CSTableU2,'FT240-61x3 13t'!N18*1000000)</f>
        <v>4.2912951630089635</v>
      </c>
      <c r="O19" s="7">
        <f>csinterpolate(CSTableU2,'FT240-61x3 13t'!O18*1000000)</f>
        <v>5.8615275999244441</v>
      </c>
      <c r="P19" s="7">
        <f>csinterpolate(CSTableU2,'FT240-61x3 13t'!P18*1000000)</f>
        <v>7.541506712481894</v>
      </c>
      <c r="Q19" s="7">
        <f>csinterpolate(CSTableU2,'FT240-61x3 13t'!Q18*1000000)</f>
        <v>10.440076981485154</v>
      </c>
      <c r="R19" s="7">
        <f>csinterpolate(CSTableU2,'FT240-61x3 13t'!R18*1000000)</f>
        <v>14.356331687547252</v>
      </c>
      <c r="S19" s="7">
        <f>csinterpolate(CSTableU2,'FT240-61x3 13t'!S18*1000000)</f>
        <v>19.475152489651389</v>
      </c>
      <c r="T19" s="7">
        <f>csinterpolate(CSTableU2,'FT240-61x3 13t'!T18*1000000)</f>
        <v>26.093784816973535</v>
      </c>
      <c r="U19" s="7">
        <f>csinterpolate(CSTableU2,'FT240-61x3 13t'!U18*1000000)</f>
        <v>32.812983366032299</v>
      </c>
      <c r="V19" s="7">
        <f>csinterpolate(CSTableU2,'FT240-61x3 13t'!V18*1000000)</f>
        <v>40.121145117251913</v>
      </c>
      <c r="W19" s="7">
        <f>csinterpolate(CSTableU2,'FT240-61x3 13t'!W18*1000000)</f>
        <v>47.741408708970091</v>
      </c>
      <c r="X19" s="7">
        <f>csinterpolate(CSTableU2,'FT240-61x3 13t'!X18*1000000)</f>
        <v>54.92355589129653</v>
      </c>
      <c r="Y19" s="7">
        <f>csinterpolate(CSTableU2,'FT240-61x3 13t'!Y18*1000000)</f>
        <v>59.636390218978171</v>
      </c>
      <c r="Z19" s="7">
        <f>csinterpolate(CSTableU2,'FT240-61x3 13t'!Z18*1000000)</f>
        <v>65.439350827392232</v>
      </c>
      <c r="AA19" s="7">
        <f>csinterpolate(CSTableU2,'FT240-61x3 13t'!AA18*1000000)</f>
        <v>70.197937862249233</v>
      </c>
      <c r="AB19" s="7">
        <f>csinterpolate(CSTableU2,'FT240-61x3 13t'!AB18*1000000)</f>
        <v>72.74127086191011</v>
      </c>
      <c r="AC19" s="7">
        <f>csinterpolate(CSTableU2,'FT240-61x3 13t'!AC18*1000000)</f>
        <v>75.418789121876827</v>
      </c>
      <c r="AD19" s="7">
        <f>csinterpolate(CSTableU2,'FT240-61x3 13t'!AD18*1000000)</f>
        <v>77.47967253407711</v>
      </c>
      <c r="AE19" s="7">
        <f>csinterpolate(CSTableU2,'FT240-61x3 13t'!AE18*1000000)</f>
        <v>78.324281436852331</v>
      </c>
    </row>
    <row r="20" spans="1:31" x14ac:dyDescent="0.2">
      <c r="A20" t="s">
        <v>5</v>
      </c>
      <c r="B20" s="7">
        <f>csinterpolate(CSTableU1,'FT240-61x3 13t'!B18*1000000)</f>
        <v>120.33811266602297</v>
      </c>
      <c r="C20" s="7">
        <f>csinterpolate(CSTableU1,'FT240-61x3 13t'!C18*1000000)</f>
        <v>120.33926483497109</v>
      </c>
      <c r="D20" s="7">
        <f>csinterpolate(CSTableU1,'FT240-61x3 13t'!D18*1000000)</f>
        <v>120.33143081052972</v>
      </c>
      <c r="E20" s="7">
        <f>csinterpolate(CSTableU1,'FT240-61x3 13t'!E18*1000000)</f>
        <v>120.83191224512163</v>
      </c>
      <c r="F20" s="7">
        <f>csinterpolate(CSTableU1,'FT240-61x3 13t'!F18*1000000)</f>
        <v>121.64967363558205</v>
      </c>
      <c r="G20" s="7">
        <f>csinterpolate(CSTableU1,'FT240-61x3 13t'!G18*1000000)</f>
        <v>122.43529012762203</v>
      </c>
      <c r="H20" s="7">
        <f>csinterpolate(CSTableU1,'FT240-61x3 13t'!H18*1000000)</f>
        <v>123.3352582402844</v>
      </c>
      <c r="I20" s="7">
        <f>csinterpolate(CSTableU1,'FT240-61x3 13t'!I18*1000000)</f>
        <v>124.53068774300374</v>
      </c>
      <c r="J20" s="7">
        <f>csinterpolate(CSTableU1,'FT240-61x3 13t'!J18*1000000)</f>
        <v>125.8779040842777</v>
      </c>
      <c r="K20" s="7">
        <f>csinterpolate(CSTableU1,'FT240-61x3 13t'!K18*1000000)</f>
        <v>127.23357190462848</v>
      </c>
      <c r="L20" s="7">
        <f>csinterpolate(CSTableU1,'FT240-61x3 13t'!L18*1000000)</f>
        <v>128.72762986207428</v>
      </c>
      <c r="M20" s="7">
        <f>csinterpolate(CSTableU1,'FT240-61x3 13t'!M18*1000000)</f>
        <v>130.58691735598651</v>
      </c>
      <c r="N20" s="7">
        <f>csinterpolate(CSTableU1,'FT240-61x3 13t'!N18*1000000)</f>
        <v>133.03440666309157</v>
      </c>
      <c r="O20" s="7">
        <f>csinterpolate(CSTableU1,'FT240-61x3 13t'!O18*1000000)</f>
        <v>136.12336259869176</v>
      </c>
      <c r="P20" s="7">
        <f>csinterpolate(CSTableU1,'FT240-61x3 13t'!P18*1000000)</f>
        <v>139.67793935478795</v>
      </c>
      <c r="Q20" s="7">
        <f>csinterpolate(CSTableU1,'FT240-61x3 13t'!Q18*1000000)</f>
        <v>143.50601061257916</v>
      </c>
      <c r="R20" s="7">
        <f>csinterpolate(CSTableU1,'FT240-61x3 13t'!R18*1000000)</f>
        <v>147.31593290901336</v>
      </c>
      <c r="S20" s="7">
        <f>csinterpolate(CSTableU1,'FT240-61x3 13t'!S18*1000000)</f>
        <v>150.5136760966235</v>
      </c>
      <c r="T20" s="7">
        <f>csinterpolate(CSTableU1,'FT240-61x3 13t'!T18*1000000)</f>
        <v>152.48288732711956</v>
      </c>
      <c r="U20" s="7">
        <f>csinterpolate(CSTableU1,'FT240-61x3 13t'!U18*1000000)</f>
        <v>153.39557417739775</v>
      </c>
      <c r="V20" s="7">
        <f>csinterpolate(CSTableU1,'FT240-61x3 13t'!V18*1000000)</f>
        <v>153.80507483449514</v>
      </c>
      <c r="W20" s="7">
        <f>csinterpolate(CSTableU1,'FT240-61x3 13t'!W18*1000000)</f>
        <v>152.45141077347637</v>
      </c>
      <c r="X20" s="7">
        <f>csinterpolate(CSTableU1,'FT240-61x3 13t'!X18*1000000)</f>
        <v>149.01810626281133</v>
      </c>
      <c r="Y20" s="7">
        <f>csinterpolate(CSTableU1,'FT240-61x3 13t'!Y18*1000000)</f>
        <v>144.70647869465122</v>
      </c>
      <c r="Z20" s="7">
        <f>csinterpolate(CSTableU1,'FT240-61x3 13t'!Z18*1000000)</f>
        <v>140.25969798892274</v>
      </c>
      <c r="AA20" s="7">
        <f>csinterpolate(CSTableU1,'FT240-61x3 13t'!AA18*1000000)</f>
        <v>135.75204916835645</v>
      </c>
      <c r="AB20" s="7">
        <f>csinterpolate(CSTableU1,'FT240-61x3 13t'!AB18*1000000)</f>
        <v>131.21515882395235</v>
      </c>
      <c r="AC20" s="7">
        <f>csinterpolate(CSTableU1,'FT240-61x3 13t'!AC18*1000000)</f>
        <v>126.69399171567839</v>
      </c>
      <c r="AD20" s="7">
        <f>csinterpolate(CSTableU1,'FT240-61x3 13t'!AD18*1000000)</f>
        <v>122.24641410480092</v>
      </c>
      <c r="AE20" s="7">
        <f>csinterpolate(CSTableU1,'FT240-61x3 13t'!AE18*1000000)</f>
        <v>117.93080634469251</v>
      </c>
    </row>
    <row r="21" spans="1:31" x14ac:dyDescent="0.2">
      <c r="A21" t="s">
        <v>12</v>
      </c>
      <c r="B21" s="5">
        <f t="shared" ref="B21:AE21" si="1">B19/$B$13*$B$16*B18*1000000</f>
        <v>0.48185303413331421</v>
      </c>
      <c r="C21" s="5">
        <f t="shared" si="1"/>
        <v>2.157046369283711</v>
      </c>
      <c r="D21" s="5">
        <f t="shared" si="1"/>
        <v>5.1823792688790693</v>
      </c>
      <c r="E21" s="5">
        <f t="shared" si="1"/>
        <v>9.6846823041554977</v>
      </c>
      <c r="F21" s="5">
        <f t="shared" si="1"/>
        <v>15.654514800880605</v>
      </c>
      <c r="G21" s="5">
        <f t="shared" si="1"/>
        <v>23.272953712568214</v>
      </c>
      <c r="H21" s="5">
        <f t="shared" si="1"/>
        <v>30.118825030839258</v>
      </c>
      <c r="I21" s="5">
        <f t="shared" si="1"/>
        <v>42.323428107905748</v>
      </c>
      <c r="J21" s="5">
        <f t="shared" si="1"/>
        <v>55.086326744350771</v>
      </c>
      <c r="K21" s="5">
        <f t="shared" si="1"/>
        <v>74.895270237083281</v>
      </c>
      <c r="L21" s="5">
        <f t="shared" si="1"/>
        <v>105.46005476583176</v>
      </c>
      <c r="M21" s="5">
        <f t="shared" si="1"/>
        <v>148.93597864636919</v>
      </c>
      <c r="N21" s="5">
        <f t="shared" si="1"/>
        <v>205.93694363170798</v>
      </c>
      <c r="O21" s="5">
        <f t="shared" si="1"/>
        <v>302.9293643067607</v>
      </c>
      <c r="P21" s="5">
        <f t="shared" si="1"/>
        <v>417.59174465216387</v>
      </c>
      <c r="Q21" s="5">
        <f t="shared" si="1"/>
        <v>616.63221100163298</v>
      </c>
      <c r="R21" s="5">
        <f t="shared" si="1"/>
        <v>900.93804877527396</v>
      </c>
      <c r="S21" s="5">
        <f t="shared" si="1"/>
        <v>1294.0644169250916</v>
      </c>
      <c r="T21" s="5">
        <f t="shared" si="1"/>
        <v>1830.1774547430346</v>
      </c>
      <c r="U21" s="5">
        <f t="shared" si="1"/>
        <v>2422.5806139216297</v>
      </c>
      <c r="V21" s="5">
        <f t="shared" si="1"/>
        <v>3110.2488502617689</v>
      </c>
      <c r="W21" s="5">
        <f t="shared" si="1"/>
        <v>3877.2199078163217</v>
      </c>
      <c r="X21" s="5">
        <f t="shared" si="1"/>
        <v>4663.25330145934</v>
      </c>
      <c r="Y21" s="5">
        <f t="shared" si="1"/>
        <v>5283.5413793548614</v>
      </c>
      <c r="Z21" s="5">
        <f t="shared" si="1"/>
        <v>6039.2292333500445</v>
      </c>
      <c r="AA21" s="5">
        <f t="shared" si="1"/>
        <v>6737.5224604516279</v>
      </c>
      <c r="AB21" s="5">
        <f t="shared" si="1"/>
        <v>7250.1530076075578</v>
      </c>
      <c r="AC21" s="5">
        <f t="shared" si="1"/>
        <v>7795.4306129242759</v>
      </c>
      <c r="AD21" s="5">
        <f t="shared" si="1"/>
        <v>8294.4634540642946</v>
      </c>
      <c r="AE21" s="5">
        <f t="shared" si="1"/>
        <v>8674.0155729645339</v>
      </c>
    </row>
    <row r="22" spans="1:31" x14ac:dyDescent="0.2">
      <c r="A22" t="s">
        <v>13</v>
      </c>
      <c r="B22" s="5">
        <f t="shared" ref="B22:AE22" si="2">B20/$B$13*$B$16*B18*1000000</f>
        <v>444.22778570389329</v>
      </c>
      <c r="C22" s="5">
        <f t="shared" si="2"/>
        <v>888.46407786429063</v>
      </c>
      <c r="D22" s="5">
        <f t="shared" si="2"/>
        <v>1332.6093589625216</v>
      </c>
      <c r="E22" s="5">
        <f t="shared" si="2"/>
        <v>1784.2025815375116</v>
      </c>
      <c r="F22" s="5">
        <f t="shared" si="2"/>
        <v>2245.3470456494015</v>
      </c>
      <c r="G22" s="5">
        <f t="shared" si="2"/>
        <v>2711.8170604696807</v>
      </c>
      <c r="H22" s="5">
        <f t="shared" si="2"/>
        <v>3187.0421778634231</v>
      </c>
      <c r="I22" s="5">
        <f t="shared" si="2"/>
        <v>3677.6373132451104</v>
      </c>
      <c r="J22" s="5">
        <f t="shared" si="2"/>
        <v>4182.1011835242707</v>
      </c>
      <c r="K22" s="5">
        <f t="shared" si="2"/>
        <v>4696.8235301523564</v>
      </c>
      <c r="L22" s="5">
        <f t="shared" si="2"/>
        <v>5227.1742988332553</v>
      </c>
      <c r="M22" s="5">
        <f t="shared" si="2"/>
        <v>5784.7346135412217</v>
      </c>
      <c r="N22" s="5">
        <f t="shared" si="2"/>
        <v>6384.2495249953472</v>
      </c>
      <c r="O22" s="5">
        <f t="shared" si="2"/>
        <v>7034.985845644047</v>
      </c>
      <c r="P22" s="5">
        <f t="shared" si="2"/>
        <v>7734.3104777784256</v>
      </c>
      <c r="Q22" s="5">
        <f t="shared" si="2"/>
        <v>8476.0321952597624</v>
      </c>
      <c r="R22" s="5">
        <f t="shared" si="2"/>
        <v>9244.8775938828276</v>
      </c>
      <c r="S22" s="5">
        <f t="shared" si="2"/>
        <v>10001.174193666904</v>
      </c>
      <c r="T22" s="5">
        <f t="shared" si="2"/>
        <v>10694.912393034152</v>
      </c>
      <c r="U22" s="5">
        <f t="shared" si="2"/>
        <v>11325.186134956315</v>
      </c>
      <c r="V22" s="5">
        <f t="shared" si="2"/>
        <v>11923.190521367147</v>
      </c>
      <c r="W22" s="5">
        <f t="shared" si="2"/>
        <v>12381.026467586142</v>
      </c>
      <c r="X22" s="5">
        <f t="shared" si="2"/>
        <v>12652.297629502038</v>
      </c>
      <c r="Y22" s="5">
        <f t="shared" si="2"/>
        <v>12820.404877567769</v>
      </c>
      <c r="Z22" s="5">
        <f t="shared" si="2"/>
        <v>12944.206469740528</v>
      </c>
      <c r="AA22" s="5">
        <f t="shared" si="2"/>
        <v>13029.335450265451</v>
      </c>
      <c r="AB22" s="5">
        <f t="shared" si="2"/>
        <v>13078.269971350353</v>
      </c>
      <c r="AC22" s="5">
        <f t="shared" si="2"/>
        <v>13095.333841782531</v>
      </c>
      <c r="AD22" s="5">
        <f t="shared" si="2"/>
        <v>13086.895969219766</v>
      </c>
      <c r="AE22" s="5">
        <f t="shared" si="2"/>
        <v>13060.236646931144</v>
      </c>
    </row>
    <row r="23" spans="1:31" x14ac:dyDescent="0.2">
      <c r="A23" t="s">
        <v>14</v>
      </c>
      <c r="B23" s="5" t="str">
        <f t="shared" ref="B23:AE23" si="3">IMDIV(1,COMPLEX(B21,B22))</f>
        <v>2.44175816206081E-06-0.00225109472125183i</v>
      </c>
      <c r="C23" s="5" t="str">
        <f t="shared" si="3"/>
        <v>2.73260698886738E-06-0.00112553127420055i</v>
      </c>
      <c r="D23" s="5" t="str">
        <f t="shared" si="3"/>
        <v>2.91821245920885E-06-0.000750396108199908i</v>
      </c>
      <c r="E23" s="5" t="str">
        <f t="shared" si="3"/>
        <v>3.04217544298849E-06-0.000560457959115613i</v>
      </c>
      <c r="F23" s="5" t="str">
        <f t="shared" si="3"/>
        <v>3.10492811321015E-06-0.000445343803664743i</v>
      </c>
      <c r="G23" s="5" t="str">
        <f t="shared" si="3"/>
        <v>3.16445368121611E-06-0.000368729280596371i</v>
      </c>
      <c r="H23" s="5" t="str">
        <f t="shared" si="3"/>
        <v>2.96499263094618E-06-0.000313742536842128i</v>
      </c>
      <c r="I23" s="5" t="str">
        <f t="shared" si="3"/>
        <v>3.12885565714013E-06-0.000271877700528403i</v>
      </c>
      <c r="J23" s="5" t="str">
        <f t="shared" si="3"/>
        <v>3.14904885320677E-06-0.000239072773849862i</v>
      </c>
      <c r="K23" s="5" t="str">
        <f t="shared" si="3"/>
        <v>3.39418484954869E-06-0.000212855727959621i</v>
      </c>
      <c r="L23" s="5" t="str">
        <f t="shared" si="3"/>
        <v>3.85813382493018E-06-0.000191230110926021i</v>
      </c>
      <c r="M23" s="5" t="str">
        <f t="shared" si="3"/>
        <v>4.44779698595198E-06-0.000172754262687138i</v>
      </c>
      <c r="N23" s="5" t="str">
        <f t="shared" si="3"/>
        <v>5.04734396357919E-06-0.000156472669418636i</v>
      </c>
      <c r="O23" s="5" t="str">
        <f t="shared" si="3"/>
        <v>6.10956648049296E-06-0.000141883616372578i</v>
      </c>
      <c r="P23" s="5" t="str">
        <f t="shared" si="3"/>
        <v>6.96056526184987E-06-0.000128918192290483i</v>
      </c>
      <c r="Q23" s="5" t="str">
        <f t="shared" si="3"/>
        <v>8.53785030374938E-06-0.000117358601710634i</v>
      </c>
      <c r="R23" s="5" t="str">
        <f t="shared" si="3"/>
        <v>0.0000104420929590502-0.0001071503988111i</v>
      </c>
      <c r="S23" s="5" t="str">
        <f t="shared" si="3"/>
        <v>0.0000127245697809205-0.0000983418114693612i</v>
      </c>
      <c r="T23" s="5" t="str">
        <f t="shared" si="3"/>
        <v>0.0000155454562425274-0.0000908421706281597i</v>
      </c>
      <c r="U23" s="5" t="str">
        <f t="shared" si="3"/>
        <v>0.0000180616074769165-0.0000844351950135829i</v>
      </c>
      <c r="V23" s="5" t="str">
        <f t="shared" si="3"/>
        <v>0.0000204842487269597-0.0000785267070311935i</v>
      </c>
      <c r="W23" s="5" t="str">
        <f t="shared" si="3"/>
        <v>0.0000230344513580846-0.0000735553202323751i</v>
      </c>
      <c r="X23" s="5" t="str">
        <f t="shared" si="3"/>
        <v>0.000025646710418302-0.0000695844279632975i</v>
      </c>
      <c r="Y23" s="5" t="str">
        <f t="shared" si="3"/>
        <v>0.0000274785734555119-0.0000666761953515099i</v>
      </c>
      <c r="Z23" s="5" t="str">
        <f t="shared" si="3"/>
        <v>0.0000296004706083907-0.0000634442887248964i</v>
      </c>
      <c r="AA23" s="5" t="str">
        <f t="shared" si="3"/>
        <v>0.0000313143317910117-0.0000605571166108818i</v>
      </c>
      <c r="AB23" s="5" t="str">
        <f t="shared" si="3"/>
        <v>0.0000324238053305388-0.0000584880455855684i</v>
      </c>
      <c r="AC23" s="5" t="str">
        <f t="shared" si="3"/>
        <v>0.0000335638846808837-0.0000563830655094988i</v>
      </c>
      <c r="AD23" s="5" t="str">
        <f t="shared" si="3"/>
        <v>0.0000345509111579651-0.0000545139757948399i</v>
      </c>
      <c r="AE23" s="5" t="str">
        <f t="shared" si="3"/>
        <v>0.0000352877205728435-0.0000531317908684136i</v>
      </c>
    </row>
    <row r="24" spans="1:31" x14ac:dyDescent="0.2">
      <c r="A24" t="s">
        <v>15</v>
      </c>
      <c r="B24" s="6" t="str">
        <f t="shared" ref="B24:AE24" si="4">COMPLEX(0,2*PI()*B18*1000000*$B$9*0.000000000001)</f>
        <v>0.00015707963267949i</v>
      </c>
      <c r="C24" s="6" t="str">
        <f t="shared" si="4"/>
        <v>0.000314159265358979i</v>
      </c>
      <c r="D24" s="6" t="str">
        <f t="shared" si="4"/>
        <v>0.000471238898038469i</v>
      </c>
      <c r="E24" s="6" t="str">
        <f t="shared" si="4"/>
        <v>0.000628318530717959i</v>
      </c>
      <c r="F24" s="6" t="str">
        <f t="shared" si="4"/>
        <v>0.000785398163397448i</v>
      </c>
      <c r="G24" s="6" t="str">
        <f t="shared" si="4"/>
        <v>0.000942477796076938i</v>
      </c>
      <c r="H24" s="6" t="str">
        <f t="shared" si="4"/>
        <v>0.00109955742875643i</v>
      </c>
      <c r="I24" s="6" t="str">
        <f t="shared" si="4"/>
        <v>0.00125663706143592i</v>
      </c>
      <c r="J24" s="6" t="str">
        <f t="shared" si="4"/>
        <v>0.00141371669411541i</v>
      </c>
      <c r="K24" s="6" t="str">
        <f t="shared" si="4"/>
        <v>0.0015707963267949i</v>
      </c>
      <c r="L24" s="6" t="str">
        <f t="shared" si="4"/>
        <v>0.00172787595947439i</v>
      </c>
      <c r="M24" s="6" t="str">
        <f t="shared" si="4"/>
        <v>0.00188495559215388i</v>
      </c>
      <c r="N24" s="6" t="str">
        <f t="shared" si="4"/>
        <v>0.00204203522483337i</v>
      </c>
      <c r="O24" s="6" t="str">
        <f t="shared" si="4"/>
        <v>0.00219911485751285i</v>
      </c>
      <c r="P24" s="6" t="str">
        <f t="shared" si="4"/>
        <v>0.00235619449019234i</v>
      </c>
      <c r="Q24" s="6" t="str">
        <f t="shared" si="4"/>
        <v>0.00251327412287183i</v>
      </c>
      <c r="R24" s="6" t="str">
        <f t="shared" si="4"/>
        <v>0.00267035375555132i</v>
      </c>
      <c r="S24" s="6" t="str">
        <f t="shared" si="4"/>
        <v>0.00282743338823081i</v>
      </c>
      <c r="T24" s="6" t="str">
        <f t="shared" si="4"/>
        <v>0.0029845130209103i</v>
      </c>
      <c r="U24" s="6" t="str">
        <f t="shared" si="4"/>
        <v>0.00314159265358979i</v>
      </c>
      <c r="V24" s="6" t="str">
        <f t="shared" si="4"/>
        <v>0.00329867228626928i</v>
      </c>
      <c r="W24" s="6" t="str">
        <f t="shared" si="4"/>
        <v>0.00345575191894877i</v>
      </c>
      <c r="X24" s="6" t="str">
        <f t="shared" si="4"/>
        <v>0.00361283155162826i</v>
      </c>
      <c r="Y24" s="6" t="str">
        <f t="shared" si="4"/>
        <v>0.00376991118430775i</v>
      </c>
      <c r="Z24" s="6" t="str">
        <f t="shared" si="4"/>
        <v>0.00392699081698724i</v>
      </c>
      <c r="AA24" s="6" t="str">
        <f t="shared" si="4"/>
        <v>0.00408407044966673i</v>
      </c>
      <c r="AB24" s="6" t="str">
        <f t="shared" si="4"/>
        <v>0.00424115008234622i</v>
      </c>
      <c r="AC24" s="6" t="str">
        <f t="shared" si="4"/>
        <v>0.00439822971502571i</v>
      </c>
      <c r="AD24" s="6" t="str">
        <f t="shared" si="4"/>
        <v>0.0045553093477052i</v>
      </c>
      <c r="AE24" s="6" t="str">
        <f t="shared" si="4"/>
        <v>0.00471238898038469i</v>
      </c>
    </row>
    <row r="25" spans="1:31" x14ac:dyDescent="0.2">
      <c r="A25" t="s">
        <v>16</v>
      </c>
      <c r="B25" s="6" t="str">
        <f t="shared" ref="B25:AE25" si="5">IMDIV(1,IMSUM(B23,B24))</f>
        <v>0.556855411158548+477.550828430532i</v>
      </c>
      <c r="C25" s="6" t="str">
        <f t="shared" si="5"/>
        <v>4.15080380840235+1232.46629978304i</v>
      </c>
      <c r="D25" s="6" t="str">
        <f t="shared" si="5"/>
        <v>37.4430960408829+3581.81947911135i</v>
      </c>
      <c r="E25" s="6" t="str">
        <f t="shared" si="5"/>
        <v>659.291230554867-14706.5416167836i</v>
      </c>
      <c r="F25" s="6" t="str">
        <f t="shared" si="5"/>
        <v>26.8484148634463-2940.46116152684i</v>
      </c>
      <c r="G25" s="6" t="str">
        <f t="shared" si="5"/>
        <v>9.61263346199181-1742.87088207817i</v>
      </c>
      <c r="H25" s="6" t="str">
        <f t="shared" si="5"/>
        <v>4.80149991841811-1272.54621142657i</v>
      </c>
      <c r="I25" s="6" t="str">
        <f t="shared" si="5"/>
        <v>3.22642005514741-1015.46625977315i</v>
      </c>
      <c r="J25" s="6" t="str">
        <f t="shared" si="5"/>
        <v>2.2822531045269-851.315701568022i</v>
      </c>
      <c r="K25" s="6" t="str">
        <f t="shared" si="5"/>
        <v>1.84065007043656-736.404636072537i</v>
      </c>
      <c r="L25" s="6" t="str">
        <f t="shared" si="5"/>
        <v>1.63390565541496-650.763933093622i</v>
      </c>
      <c r="M25" s="6" t="str">
        <f t="shared" si="5"/>
        <v>1.5171634295228-584.03952546662i</v>
      </c>
      <c r="N25" s="6" t="str">
        <f t="shared" si="5"/>
        <v>1.41963892791933-530.341903387065i</v>
      </c>
      <c r="O25" s="6" t="str">
        <f t="shared" si="5"/>
        <v>1.44357829224968-486.085939375578i</v>
      </c>
      <c r="P25" s="6" t="str">
        <f t="shared" si="5"/>
        <v>1.40311115488296-448.974487132669i</v>
      </c>
      <c r="Q25" s="6" t="str">
        <f t="shared" si="5"/>
        <v>1.48730493554451-417.371686430936i</v>
      </c>
      <c r="R25" s="6" t="str">
        <f t="shared" si="5"/>
        <v>1.58933051264401-390.130342734407i</v>
      </c>
      <c r="S25" s="6" t="str">
        <f t="shared" si="5"/>
        <v>1.70843102058223-366.414329759104i</v>
      </c>
      <c r="T25" s="6" t="str">
        <f t="shared" si="5"/>
        <v>1.85649028084848-345.571833062518i</v>
      </c>
      <c r="U25" s="6" t="str">
        <f t="shared" si="5"/>
        <v>1.93243825436014-327.089824651846i</v>
      </c>
      <c r="V25" s="6" t="str">
        <f t="shared" si="5"/>
        <v>1.97538364871358-310.532400211113i</v>
      </c>
      <c r="W25" s="6" t="str">
        <f t="shared" si="5"/>
        <v>2.01353893708-295.65212726392i</v>
      </c>
      <c r="X25" s="6" t="str">
        <f t="shared" si="5"/>
        <v>2.04270677312468-282.212212806829i</v>
      </c>
      <c r="Y25" s="6" t="str">
        <f t="shared" si="5"/>
        <v>2.00358480525876-270.019306722307i</v>
      </c>
      <c r="Z25" s="6" t="str">
        <f t="shared" si="5"/>
        <v>1.98290008191103-258.814355646996i</v>
      </c>
      <c r="AA25" s="6" t="str">
        <f t="shared" si="5"/>
        <v>1.93422037439789-248.523951186211i</v>
      </c>
      <c r="AB25" s="6" t="str">
        <f t="shared" si="5"/>
        <v>1.85324286579226-239.067823798768i</v>
      </c>
      <c r="AC25" s="6" t="str">
        <f t="shared" si="5"/>
        <v>1.78031687171553-230.302985427005i</v>
      </c>
      <c r="AD25" s="6" t="str">
        <f t="shared" si="5"/>
        <v>1.70551434227689-222.169858946744i</v>
      </c>
      <c r="AE25" s="6" t="str">
        <f t="shared" si="5"/>
        <v>1.62541898137323-214.614176036285i</v>
      </c>
    </row>
    <row r="26" spans="1:31" x14ac:dyDescent="0.2">
      <c r="A26" t="s">
        <v>8</v>
      </c>
      <c r="B26" s="5">
        <f t="shared" ref="B26:AE26" si="6">IMREAL(B25)</f>
        <v>0.55685541115854797</v>
      </c>
      <c r="C26" s="5">
        <f t="shared" si="6"/>
        <v>4.1508038084023502</v>
      </c>
      <c r="D26" s="5">
        <f t="shared" si="6"/>
        <v>37.443096040882899</v>
      </c>
      <c r="E26" s="5">
        <f t="shared" si="6"/>
        <v>659.29123055486696</v>
      </c>
      <c r="F26" s="5">
        <f t="shared" si="6"/>
        <v>26.848414863446301</v>
      </c>
      <c r="G26" s="5">
        <f t="shared" si="6"/>
        <v>9.6126334619918108</v>
      </c>
      <c r="H26" s="5">
        <f t="shared" si="6"/>
        <v>4.8014999184181102</v>
      </c>
      <c r="I26" s="5">
        <f t="shared" si="6"/>
        <v>3.2264200551474098</v>
      </c>
      <c r="J26" s="5">
        <f t="shared" si="6"/>
        <v>2.2822531045268999</v>
      </c>
      <c r="K26" s="5">
        <f t="shared" si="6"/>
        <v>1.84065007043656</v>
      </c>
      <c r="L26" s="5">
        <f t="shared" si="6"/>
        <v>1.63390565541496</v>
      </c>
      <c r="M26" s="5">
        <f t="shared" si="6"/>
        <v>1.5171634295228</v>
      </c>
      <c r="N26" s="5">
        <f t="shared" si="6"/>
        <v>1.41963892791933</v>
      </c>
      <c r="O26" s="5">
        <f t="shared" si="6"/>
        <v>1.44357829224968</v>
      </c>
      <c r="P26" s="5">
        <f t="shared" si="6"/>
        <v>1.40311115488296</v>
      </c>
      <c r="Q26" s="5">
        <f t="shared" si="6"/>
        <v>1.48730493554451</v>
      </c>
      <c r="R26" s="5">
        <f t="shared" si="6"/>
        <v>1.58933051264401</v>
      </c>
      <c r="S26" s="5">
        <f t="shared" si="6"/>
        <v>1.70843102058223</v>
      </c>
      <c r="T26" s="5">
        <f t="shared" si="6"/>
        <v>1.85649028084848</v>
      </c>
      <c r="U26" s="5">
        <f t="shared" si="6"/>
        <v>1.9324382543601399</v>
      </c>
      <c r="V26" s="5">
        <f t="shared" si="6"/>
        <v>1.9753836487135801</v>
      </c>
      <c r="W26" s="5">
        <f t="shared" si="6"/>
        <v>2.0135389370799999</v>
      </c>
      <c r="X26" s="5">
        <f t="shared" si="6"/>
        <v>2.0427067731246802</v>
      </c>
      <c r="Y26" s="5">
        <f t="shared" si="6"/>
        <v>2.0035848052587601</v>
      </c>
      <c r="Z26" s="5">
        <f t="shared" si="6"/>
        <v>1.9829000819110301</v>
      </c>
      <c r="AA26" s="5">
        <f t="shared" si="6"/>
        <v>1.9342203743978901</v>
      </c>
      <c r="AB26" s="5">
        <f t="shared" si="6"/>
        <v>1.8532428657922599</v>
      </c>
      <c r="AC26" s="5">
        <f t="shared" si="6"/>
        <v>1.78031687171553</v>
      </c>
      <c r="AD26" s="5">
        <f t="shared" si="6"/>
        <v>1.7055143422768899</v>
      </c>
      <c r="AE26" s="5">
        <f t="shared" si="6"/>
        <v>1.62541898137323</v>
      </c>
    </row>
    <row r="27" spans="1:31" x14ac:dyDescent="0.2">
      <c r="A27" t="s">
        <v>9</v>
      </c>
      <c r="B27" s="5">
        <f t="shared" ref="B27:AE27" si="7">IMAGINARY(B25)</f>
        <v>477.55082843053202</v>
      </c>
      <c r="C27" s="5">
        <f t="shared" si="7"/>
        <v>1232.4662997830401</v>
      </c>
      <c r="D27" s="5">
        <f t="shared" si="7"/>
        <v>3581.8194791113501</v>
      </c>
      <c r="E27" s="5">
        <f t="shared" si="7"/>
        <v>-14706.541616783599</v>
      </c>
      <c r="F27" s="5">
        <f t="shared" si="7"/>
        <v>-2940.46116152684</v>
      </c>
      <c r="G27" s="5">
        <f t="shared" si="7"/>
        <v>-1742.8708820781701</v>
      </c>
      <c r="H27" s="5">
        <f t="shared" si="7"/>
        <v>-1272.5462114265699</v>
      </c>
      <c r="I27" s="5">
        <f t="shared" si="7"/>
        <v>-1015.46625977315</v>
      </c>
      <c r="J27" s="5">
        <f t="shared" si="7"/>
        <v>-851.31570156802195</v>
      </c>
      <c r="K27" s="5">
        <f t="shared" si="7"/>
        <v>-736.40463607253696</v>
      </c>
      <c r="L27" s="5">
        <f t="shared" si="7"/>
        <v>-650.76393309362197</v>
      </c>
      <c r="M27" s="5">
        <f t="shared" si="7"/>
        <v>-584.03952546662003</v>
      </c>
      <c r="N27" s="5">
        <f t="shared" si="7"/>
        <v>-530.34190338706503</v>
      </c>
      <c r="O27" s="5">
        <f t="shared" si="7"/>
        <v>-486.08593937557799</v>
      </c>
      <c r="P27" s="5">
        <f t="shared" si="7"/>
        <v>-448.97448713266903</v>
      </c>
      <c r="Q27" s="5">
        <f t="shared" si="7"/>
        <v>-417.37168643093599</v>
      </c>
      <c r="R27" s="5">
        <f t="shared" si="7"/>
        <v>-390.13034273440701</v>
      </c>
      <c r="S27" s="5">
        <f t="shared" si="7"/>
        <v>-366.41432975910402</v>
      </c>
      <c r="T27" s="5">
        <f t="shared" si="7"/>
        <v>-345.57183306251801</v>
      </c>
      <c r="U27" s="5">
        <f t="shared" si="7"/>
        <v>-327.08982465184602</v>
      </c>
      <c r="V27" s="5">
        <f t="shared" si="7"/>
        <v>-310.53240021111299</v>
      </c>
      <c r="W27" s="5">
        <f t="shared" si="7"/>
        <v>-295.65212726392002</v>
      </c>
      <c r="X27" s="5">
        <f t="shared" si="7"/>
        <v>-282.21221280682897</v>
      </c>
      <c r="Y27" s="5">
        <f t="shared" si="7"/>
        <v>-270.01930672230702</v>
      </c>
      <c r="Z27" s="5">
        <f t="shared" si="7"/>
        <v>-258.81435564699598</v>
      </c>
      <c r="AA27" s="5">
        <f t="shared" si="7"/>
        <v>-248.52395118621101</v>
      </c>
      <c r="AB27" s="5">
        <f t="shared" si="7"/>
        <v>-239.06782379876799</v>
      </c>
      <c r="AC27" s="5">
        <f t="shared" si="7"/>
        <v>-230.30298542700501</v>
      </c>
      <c r="AD27" s="5">
        <f t="shared" si="7"/>
        <v>-222.169858946744</v>
      </c>
      <c r="AE27" s="5">
        <f t="shared" si="7"/>
        <v>-214.61417603628499</v>
      </c>
    </row>
    <row r="28" spans="1:31" x14ac:dyDescent="0.2">
      <c r="A28" t="s">
        <v>17</v>
      </c>
      <c r="B28" s="5">
        <f t="shared" ref="B28:AE28" si="8">IMABS(B25)</f>
        <v>477.55115309528503</v>
      </c>
      <c r="C28" s="5">
        <f t="shared" si="8"/>
        <v>1232.4732894765525</v>
      </c>
      <c r="D28" s="5">
        <f t="shared" si="8"/>
        <v>3582.0151823216252</v>
      </c>
      <c r="E28" s="5">
        <f t="shared" si="8"/>
        <v>14721.31214440053</v>
      </c>
      <c r="F28" s="5">
        <f t="shared" si="8"/>
        <v>2940.5837311371447</v>
      </c>
      <c r="G28" s="5">
        <f t="shared" si="8"/>
        <v>1742.8973906452477</v>
      </c>
      <c r="H28" s="5">
        <f t="shared" si="8"/>
        <v>1272.555269769287</v>
      </c>
      <c r="I28" s="5">
        <f t="shared" si="8"/>
        <v>1015.4713853792447</v>
      </c>
      <c r="J28" s="5">
        <f t="shared" si="8"/>
        <v>851.31876075620846</v>
      </c>
      <c r="K28" s="5">
        <f t="shared" si="8"/>
        <v>736.40693642972121</v>
      </c>
      <c r="L28" s="5">
        <f t="shared" si="8"/>
        <v>650.76598425484019</v>
      </c>
      <c r="M28" s="5">
        <f t="shared" si="8"/>
        <v>584.04149603615201</v>
      </c>
      <c r="N28" s="5">
        <f t="shared" si="8"/>
        <v>530.34380345479735</v>
      </c>
      <c r="O28" s="5">
        <f t="shared" si="8"/>
        <v>486.0880829406579</v>
      </c>
      <c r="P28" s="5">
        <f t="shared" si="8"/>
        <v>448.97667959144178</v>
      </c>
      <c r="Q28" s="5">
        <f t="shared" si="8"/>
        <v>417.37433642975083</v>
      </c>
      <c r="R28" s="5">
        <f t="shared" si="8"/>
        <v>390.13358006398823</v>
      </c>
      <c r="S28" s="5">
        <f t="shared" si="8"/>
        <v>366.41831257371064</v>
      </c>
      <c r="T28" s="5">
        <f t="shared" si="8"/>
        <v>345.57681977000675</v>
      </c>
      <c r="U28" s="5">
        <f t="shared" si="8"/>
        <v>327.09553299973737</v>
      </c>
      <c r="V28" s="5">
        <f t="shared" si="8"/>
        <v>310.53868313212513</v>
      </c>
      <c r="W28" s="5">
        <f t="shared" si="8"/>
        <v>295.65898378830349</v>
      </c>
      <c r="X28" s="5">
        <f t="shared" si="8"/>
        <v>282.21960546405683</v>
      </c>
      <c r="Y28" s="5">
        <f t="shared" si="8"/>
        <v>270.02674007376964</v>
      </c>
      <c r="Z28" s="5">
        <f t="shared" si="8"/>
        <v>258.82195150663813</v>
      </c>
      <c r="AA28" s="5">
        <f t="shared" si="8"/>
        <v>248.53147792918088</v>
      </c>
      <c r="AB28" s="5">
        <f t="shared" si="8"/>
        <v>239.0750068179407</v>
      </c>
      <c r="AC28" s="5">
        <f t="shared" si="8"/>
        <v>230.30986653800787</v>
      </c>
      <c r="AD28" s="5">
        <f t="shared" si="8"/>
        <v>222.17640514597369</v>
      </c>
      <c r="AE28" s="5">
        <f t="shared" si="8"/>
        <v>214.62033114921459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27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67"/>
  <sheetViews>
    <sheetView workbookViewId="0">
      <selection activeCell="U6" sqref="U6:U8"/>
    </sheetView>
  </sheetViews>
  <sheetFormatPr defaultRowHeight="12.75" x14ac:dyDescent="0.2"/>
  <cols>
    <col min="5" max="5" width="10" bestFit="1" customWidth="1"/>
    <col min="6" max="6" width="9.28515625" bestFit="1" customWidth="1"/>
    <col min="7" max="7" width="13.140625" bestFit="1" customWidth="1"/>
  </cols>
  <sheetData>
    <row r="1" spans="1:21" x14ac:dyDescent="0.2">
      <c r="A1" t="s">
        <v>20</v>
      </c>
      <c r="B1" t="s">
        <v>21</v>
      </c>
    </row>
    <row r="2" spans="1:21" x14ac:dyDescent="0.2">
      <c r="A2" t="s">
        <v>31</v>
      </c>
      <c r="B2">
        <v>125</v>
      </c>
    </row>
    <row r="5" spans="1:21" x14ac:dyDescent="0.2">
      <c r="A5" t="s">
        <v>0</v>
      </c>
      <c r="E5" s="14" t="s">
        <v>2</v>
      </c>
      <c r="F5" s="14"/>
      <c r="G5" s="14"/>
      <c r="J5" t="s">
        <v>1</v>
      </c>
      <c r="N5" s="14" t="s">
        <v>2</v>
      </c>
      <c r="O5" s="14"/>
      <c r="P5" s="14"/>
    </row>
    <row r="6" spans="1:21" x14ac:dyDescent="0.2">
      <c r="A6">
        <v>996454</v>
      </c>
      <c r="B6">
        <v>120.33799999999999</v>
      </c>
      <c r="E6">
        <f t="array" ref="E6:G36">cstable(A6:A36,B6:B36)</f>
        <v>996454</v>
      </c>
      <c r="F6">
        <v>120.33799999999999</v>
      </c>
      <c r="G6">
        <v>0</v>
      </c>
      <c r="J6">
        <v>996454</v>
      </c>
      <c r="K6">
        <v>0.129968</v>
      </c>
      <c r="N6">
        <f t="array" ref="N6:P67">cstable(Mix!J6:J67,Mix!K6:K67)</f>
        <v>996454</v>
      </c>
      <c r="O6">
        <v>0.129968</v>
      </c>
      <c r="P6">
        <v>0</v>
      </c>
      <c r="S6">
        <v>1000000</v>
      </c>
      <c r="T6">
        <f>csinterpolate(CSTableU1,S6)</f>
        <v>120.33811266602297</v>
      </c>
      <c r="U6">
        <f>csinterp1($A$6:$A$36,$B$6:$B$36,S6)</f>
        <v>120.33811266602297</v>
      </c>
    </row>
    <row r="7" spans="1:21" x14ac:dyDescent="0.2">
      <c r="A7" s="1">
        <v>2020710</v>
      </c>
      <c r="B7">
        <v>120.33799999999999</v>
      </c>
      <c r="E7">
        <v>2020710</v>
      </c>
      <c r="F7">
        <v>120.33799999999999</v>
      </c>
      <c r="G7">
        <v>-1.8442692631826962E-13</v>
      </c>
      <c r="J7" s="1">
        <v>2020710</v>
      </c>
      <c r="K7">
        <v>0.29563899999999999</v>
      </c>
      <c r="N7">
        <v>2020710</v>
      </c>
      <c r="O7">
        <v>0.29563899999999999</v>
      </c>
      <c r="P7">
        <v>1.8232054462018611E-14</v>
      </c>
      <c r="S7">
        <v>5000000</v>
      </c>
      <c r="T7">
        <f>csinterpolate(CSTableU1,S7)</f>
        <v>121.64967363558205</v>
      </c>
      <c r="U7">
        <f>csinterp1($A$6:$A$36,$B$6:$B$36,S7)</f>
        <v>121.64967363558205</v>
      </c>
    </row>
    <row r="8" spans="1:21" x14ac:dyDescent="0.2">
      <c r="A8" s="1">
        <v>3031650</v>
      </c>
      <c r="B8">
        <v>120.33799999999999</v>
      </c>
      <c r="E8">
        <v>3031650</v>
      </c>
      <c r="F8">
        <v>120.33799999999999</v>
      </c>
      <c r="G8">
        <v>7.4256621112081241E-13</v>
      </c>
      <c r="J8" s="1">
        <v>3031650</v>
      </c>
      <c r="K8">
        <v>0.47375499999999998</v>
      </c>
      <c r="N8">
        <v>3031650</v>
      </c>
      <c r="O8">
        <v>0.47375499999999998</v>
      </c>
      <c r="P8">
        <v>1.2298933888231766E-14</v>
      </c>
      <c r="S8">
        <v>20000000</v>
      </c>
      <c r="T8">
        <f>csinterpolate(CSTableU1,S8)</f>
        <v>153.39557417739775</v>
      </c>
      <c r="U8">
        <f>csinterp1($A$6:$A$36,$B$6:$B$36,S8)</f>
        <v>153.39557417739775</v>
      </c>
    </row>
    <row r="9" spans="1:21" x14ac:dyDescent="0.2">
      <c r="A9" s="1">
        <v>5107370</v>
      </c>
      <c r="B9">
        <v>121.738</v>
      </c>
      <c r="E9">
        <v>5107370</v>
      </c>
      <c r="F9">
        <v>121.738</v>
      </c>
      <c r="G9">
        <v>-1.6903325175939806E-13</v>
      </c>
      <c r="J9" s="1">
        <v>5107370</v>
      </c>
      <c r="K9">
        <v>0.86869700000000005</v>
      </c>
      <c r="N9">
        <v>5107370</v>
      </c>
      <c r="O9">
        <v>0.86869700000000005</v>
      </c>
      <c r="P9">
        <v>-4.7611980233192369E-15</v>
      </c>
    </row>
    <row r="10" spans="1:21" x14ac:dyDescent="0.2">
      <c r="A10" s="1">
        <v>6824080</v>
      </c>
      <c r="B10">
        <v>123.155</v>
      </c>
      <c r="E10">
        <v>6824080</v>
      </c>
      <c r="F10">
        <v>123.155</v>
      </c>
      <c r="G10">
        <v>3.7655851876114121E-13</v>
      </c>
      <c r="J10" s="1">
        <v>5822490</v>
      </c>
      <c r="K10">
        <v>1.0116400000000001</v>
      </c>
      <c r="N10">
        <v>5822490</v>
      </c>
      <c r="O10">
        <v>1.0116400000000001</v>
      </c>
      <c r="P10">
        <v>8.217067594588535E-14</v>
      </c>
    </row>
    <row r="11" spans="1:21" x14ac:dyDescent="0.2">
      <c r="A11" s="1">
        <v>9118010</v>
      </c>
      <c r="B11">
        <v>126.038</v>
      </c>
      <c r="E11">
        <v>9118010</v>
      </c>
      <c r="F11">
        <v>126.038</v>
      </c>
      <c r="G11">
        <v>-6.1913809040024733E-14</v>
      </c>
      <c r="J11" s="1">
        <v>6242660</v>
      </c>
      <c r="K11">
        <v>1.0969899999999999</v>
      </c>
      <c r="N11">
        <v>6242660</v>
      </c>
      <c r="O11">
        <v>1.0969899999999999</v>
      </c>
      <c r="P11">
        <v>-3.8960008016719521E-13</v>
      </c>
    </row>
    <row r="12" spans="1:21" x14ac:dyDescent="0.2">
      <c r="A12" s="1">
        <v>12614600</v>
      </c>
      <c r="B12">
        <v>132.00899999999999</v>
      </c>
      <c r="E12">
        <v>12614600</v>
      </c>
      <c r="F12">
        <v>132.00899999999999</v>
      </c>
      <c r="G12">
        <v>7.3169553421303158E-13</v>
      </c>
      <c r="J12" s="1">
        <v>6824080</v>
      </c>
      <c r="K12">
        <v>1.14116</v>
      </c>
      <c r="N12">
        <v>6824080</v>
      </c>
      <c r="O12">
        <v>1.14116</v>
      </c>
      <c r="P12">
        <v>-2.9348636849370464E-14</v>
      </c>
    </row>
    <row r="13" spans="1:21" x14ac:dyDescent="0.2">
      <c r="A13" s="1">
        <v>15907600</v>
      </c>
      <c r="B13">
        <v>143.14599999999999</v>
      </c>
      <c r="E13">
        <v>15907600</v>
      </c>
      <c r="F13">
        <v>143.14599999999999</v>
      </c>
      <c r="G13">
        <v>9.9245113375173559E-14</v>
      </c>
      <c r="J13" s="1">
        <v>6929550</v>
      </c>
      <c r="K13">
        <v>1.1489499999999999</v>
      </c>
      <c r="N13">
        <v>6929550</v>
      </c>
      <c r="O13">
        <v>1.1489499999999999</v>
      </c>
      <c r="P13">
        <v>2.4100120194197589E-12</v>
      </c>
    </row>
    <row r="14" spans="1:21" x14ac:dyDescent="0.2">
      <c r="A14" s="1">
        <v>18496200</v>
      </c>
      <c r="B14">
        <v>151.672</v>
      </c>
      <c r="E14">
        <v>18496200</v>
      </c>
      <c r="F14">
        <v>151.672</v>
      </c>
      <c r="G14">
        <v>-1.5865776140154069E-12</v>
      </c>
      <c r="J14" s="1">
        <v>7344700</v>
      </c>
      <c r="K14">
        <v>1.32009</v>
      </c>
      <c r="N14">
        <v>7344700</v>
      </c>
      <c r="O14">
        <v>1.32009</v>
      </c>
      <c r="P14">
        <v>-1.1466830314436532E-12</v>
      </c>
    </row>
    <row r="15" spans="1:21" x14ac:dyDescent="0.2">
      <c r="A15" s="1">
        <v>20059700</v>
      </c>
      <c r="B15">
        <v>153.43700000000001</v>
      </c>
      <c r="E15">
        <v>20059700</v>
      </c>
      <c r="F15">
        <v>153.43700000000001</v>
      </c>
      <c r="G15">
        <v>-4.5037735520011215E-14</v>
      </c>
      <c r="J15" s="1">
        <v>8344860</v>
      </c>
      <c r="K15">
        <v>1.4649700000000001</v>
      </c>
      <c r="N15">
        <v>8344860</v>
      </c>
      <c r="O15">
        <v>1.4649700000000001</v>
      </c>
      <c r="P15">
        <v>6.4092657574516646E-13</v>
      </c>
    </row>
    <row r="16" spans="1:21" x14ac:dyDescent="0.2">
      <c r="A16" s="1">
        <v>21504400</v>
      </c>
      <c r="B16">
        <v>153.43700000000001</v>
      </c>
      <c r="E16">
        <v>21504400</v>
      </c>
      <c r="F16">
        <v>153.43700000000001</v>
      </c>
      <c r="G16">
        <v>-2.7837516292889604E-12</v>
      </c>
      <c r="J16" s="1">
        <v>9118010</v>
      </c>
      <c r="K16">
        <v>1.69699</v>
      </c>
      <c r="N16">
        <v>9118010</v>
      </c>
      <c r="O16">
        <v>1.69699</v>
      </c>
      <c r="P16">
        <v>-2.5197621969423595E-13</v>
      </c>
    </row>
    <row r="17" spans="1:16" x14ac:dyDescent="0.2">
      <c r="A17" s="1">
        <v>23591800</v>
      </c>
      <c r="B17">
        <v>146.49700000000001</v>
      </c>
      <c r="E17">
        <v>23591800</v>
      </c>
      <c r="F17">
        <v>146.49700000000001</v>
      </c>
      <c r="G17">
        <v>-1.0453996282927147E-13</v>
      </c>
      <c r="J17" s="1">
        <v>9265050</v>
      </c>
      <c r="K17">
        <v>1.7426299999999999</v>
      </c>
      <c r="N17">
        <v>9265050</v>
      </c>
      <c r="O17">
        <v>1.7426299999999999</v>
      </c>
      <c r="P17">
        <v>2.0380821190287669E-13</v>
      </c>
    </row>
    <row r="18" spans="1:16" x14ac:dyDescent="0.2">
      <c r="A18" s="1">
        <v>26486800</v>
      </c>
      <c r="B18">
        <v>133.54499999999999</v>
      </c>
      <c r="E18">
        <v>26486800</v>
      </c>
      <c r="F18">
        <v>133.54499999999999</v>
      </c>
      <c r="G18">
        <v>-1.4763160257227508E-14</v>
      </c>
      <c r="J18" s="1">
        <v>10287500</v>
      </c>
      <c r="K18">
        <v>2.1711200000000002</v>
      </c>
      <c r="N18">
        <v>10287500</v>
      </c>
      <c r="O18">
        <v>2.1711200000000002</v>
      </c>
      <c r="P18">
        <v>2.0782099576175291E-13</v>
      </c>
    </row>
    <row r="19" spans="1:16" x14ac:dyDescent="0.2">
      <c r="A19" s="1">
        <v>30081900</v>
      </c>
      <c r="B19">
        <v>117.58499999999999</v>
      </c>
      <c r="E19">
        <v>30081900</v>
      </c>
      <c r="F19">
        <v>117.58499999999999</v>
      </c>
      <c r="G19">
        <v>1.9513793182878286E-13</v>
      </c>
      <c r="J19" s="1">
        <v>11424100</v>
      </c>
      <c r="K19">
        <v>2.8994200000000001</v>
      </c>
      <c r="N19">
        <v>11424100</v>
      </c>
      <c r="O19">
        <v>2.8994200000000001</v>
      </c>
      <c r="P19">
        <v>1.9739491816365099E-13</v>
      </c>
    </row>
    <row r="20" spans="1:16" x14ac:dyDescent="0.2">
      <c r="A20" s="1">
        <v>35782100</v>
      </c>
      <c r="B20">
        <v>96.588300000000004</v>
      </c>
      <c r="E20">
        <v>35782100</v>
      </c>
      <c r="F20">
        <v>96.588300000000004</v>
      </c>
      <c r="G20">
        <v>1.685177195505397E-13</v>
      </c>
      <c r="J20" s="1">
        <v>12614600</v>
      </c>
      <c r="K20">
        <v>3.8958599999999999</v>
      </c>
      <c r="N20">
        <v>12614600</v>
      </c>
      <c r="O20">
        <v>3.8958599999999999</v>
      </c>
      <c r="P20">
        <v>1.8822403036440848E-14</v>
      </c>
    </row>
    <row r="21" spans="1:16" x14ac:dyDescent="0.2">
      <c r="A21" s="1">
        <v>45095700</v>
      </c>
      <c r="B21">
        <v>73.168099999999995</v>
      </c>
      <c r="E21">
        <v>45095700</v>
      </c>
      <c r="F21">
        <v>73.168099999999995</v>
      </c>
      <c r="G21">
        <v>9.0272658158124875E-14</v>
      </c>
      <c r="J21" s="1">
        <v>12835500</v>
      </c>
      <c r="K21">
        <v>4.1026600000000002</v>
      </c>
      <c r="N21">
        <v>12835500</v>
      </c>
      <c r="O21">
        <v>4.1026600000000002</v>
      </c>
      <c r="P21">
        <v>1.3894684761153437E-12</v>
      </c>
    </row>
    <row r="22" spans="1:16" x14ac:dyDescent="0.2">
      <c r="A22" s="1">
        <v>54264000</v>
      </c>
      <c r="B22">
        <v>58.727899999999998</v>
      </c>
      <c r="E22">
        <v>54264000</v>
      </c>
      <c r="F22">
        <v>58.727899999999998</v>
      </c>
      <c r="G22">
        <v>7.9767470718871725E-14</v>
      </c>
      <c r="J22" s="1">
        <v>14091500</v>
      </c>
      <c r="K22">
        <v>6.0102799999999998</v>
      </c>
      <c r="N22">
        <v>14091500</v>
      </c>
      <c r="O22">
        <v>6.0102799999999998</v>
      </c>
      <c r="P22">
        <v>-4.8770440706333458E-13</v>
      </c>
    </row>
    <row r="23" spans="1:16" x14ac:dyDescent="0.2">
      <c r="A23" s="1">
        <v>66830100</v>
      </c>
      <c r="B23">
        <v>48.241100000000003</v>
      </c>
      <c r="E23">
        <v>66830100</v>
      </c>
      <c r="F23">
        <v>48.241100000000003</v>
      </c>
      <c r="G23">
        <v>1.1766132393715344E-14</v>
      </c>
      <c r="J23" s="1">
        <v>15290500</v>
      </c>
      <c r="K23">
        <v>8.21434</v>
      </c>
      <c r="N23">
        <v>15290500</v>
      </c>
      <c r="O23">
        <v>8.21434</v>
      </c>
      <c r="P23">
        <v>2.1402110762951601E-12</v>
      </c>
    </row>
    <row r="24" spans="1:16" x14ac:dyDescent="0.2">
      <c r="A24" s="1">
        <v>85215100</v>
      </c>
      <c r="B24">
        <v>38.720399999999998</v>
      </c>
      <c r="E24">
        <v>85215100</v>
      </c>
      <c r="F24">
        <v>38.720399999999998</v>
      </c>
      <c r="G24">
        <v>9.2119363432782419E-15</v>
      </c>
      <c r="J24" s="1">
        <v>15907600</v>
      </c>
      <c r="K24">
        <v>10.121700000000001</v>
      </c>
      <c r="N24">
        <v>15907600</v>
      </c>
      <c r="O24">
        <v>10.121700000000001</v>
      </c>
      <c r="P24">
        <v>5.2934256944582552E-13</v>
      </c>
    </row>
    <row r="25" spans="1:16" x14ac:dyDescent="0.2">
      <c r="A25" s="1">
        <v>108656000</v>
      </c>
      <c r="B25">
        <v>30.7211</v>
      </c>
      <c r="E25">
        <v>108656000</v>
      </c>
      <c r="F25">
        <v>30.7211</v>
      </c>
      <c r="G25">
        <v>3.1001319525018532E-15</v>
      </c>
      <c r="J25" s="1">
        <v>16401800</v>
      </c>
      <c r="K25">
        <v>11.895300000000001</v>
      </c>
      <c r="N25">
        <v>16401800</v>
      </c>
      <c r="O25">
        <v>11.895300000000001</v>
      </c>
      <c r="P25">
        <v>9.9286911887648158E-13</v>
      </c>
    </row>
    <row r="26" spans="1:16" x14ac:dyDescent="0.2">
      <c r="A26" s="1">
        <v>133812000</v>
      </c>
      <c r="B26">
        <v>24.658100000000001</v>
      </c>
      <c r="E26">
        <v>133812000</v>
      </c>
      <c r="F26">
        <v>24.658100000000001</v>
      </c>
      <c r="G26">
        <v>3.3462287420731495E-15</v>
      </c>
      <c r="J26" s="1">
        <v>17593900</v>
      </c>
      <c r="K26">
        <v>17.225899999999999</v>
      </c>
      <c r="N26">
        <v>17593900</v>
      </c>
      <c r="O26">
        <v>17.225899999999999</v>
      </c>
      <c r="P26">
        <v>1.4147255268844332E-12</v>
      </c>
    </row>
    <row r="27" spans="1:16" x14ac:dyDescent="0.2">
      <c r="A27" s="1">
        <v>164790000</v>
      </c>
      <c r="B27">
        <v>19.564</v>
      </c>
      <c r="E27">
        <v>164790000</v>
      </c>
      <c r="F27">
        <v>19.564</v>
      </c>
      <c r="G27">
        <v>1.8658355585251702E-16</v>
      </c>
      <c r="J27" s="1">
        <v>18496200</v>
      </c>
      <c r="K27">
        <v>22.612500000000001</v>
      </c>
      <c r="N27">
        <v>18496200</v>
      </c>
      <c r="O27">
        <v>22.612500000000001</v>
      </c>
      <c r="P27">
        <v>2.0834522246735997E-12</v>
      </c>
    </row>
    <row r="28" spans="1:16" x14ac:dyDescent="0.2">
      <c r="A28" s="1">
        <v>198278000</v>
      </c>
      <c r="B28">
        <v>14.992699999999999</v>
      </c>
      <c r="E28">
        <v>198278000</v>
      </c>
      <c r="F28">
        <v>14.992699999999999</v>
      </c>
      <c r="G28">
        <v>1.1916297423989892E-15</v>
      </c>
      <c r="J28" s="1">
        <v>18873100</v>
      </c>
      <c r="K28">
        <v>25.235399999999998</v>
      </c>
      <c r="N28">
        <v>18873100</v>
      </c>
      <c r="O28">
        <v>25.235399999999998</v>
      </c>
      <c r="P28">
        <v>-1.7805724970825483E-12</v>
      </c>
    </row>
    <row r="29" spans="1:16" x14ac:dyDescent="0.2">
      <c r="A29" s="1">
        <v>238553000</v>
      </c>
      <c r="B29">
        <v>10.969900000000001</v>
      </c>
      <c r="E29">
        <v>238553000</v>
      </c>
      <c r="F29">
        <v>10.969900000000001</v>
      </c>
      <c r="G29">
        <v>9.3579616217986352E-16</v>
      </c>
      <c r="J29" s="1">
        <v>20059700</v>
      </c>
      <c r="K29">
        <v>33.262500000000003</v>
      </c>
      <c r="N29">
        <v>20059700</v>
      </c>
      <c r="O29">
        <v>33.262500000000003</v>
      </c>
      <c r="P29">
        <v>3.0477800962482313E-12</v>
      </c>
    </row>
    <row r="30" spans="1:16" x14ac:dyDescent="0.2">
      <c r="A30" s="1">
        <v>280448000</v>
      </c>
      <c r="B30">
        <v>8.3099399999999992</v>
      </c>
      <c r="E30">
        <v>280448000</v>
      </c>
      <c r="F30">
        <v>8.3099399999999992</v>
      </c>
      <c r="G30">
        <v>3.9554916499232926E-16</v>
      </c>
      <c r="J30" s="1">
        <v>20480800</v>
      </c>
      <c r="K30">
        <v>36.543799999999997</v>
      </c>
      <c r="N30">
        <v>20480800</v>
      </c>
      <c r="O30">
        <v>36.543799999999997</v>
      </c>
      <c r="P30">
        <v>-3.6154843963008043E-12</v>
      </c>
    </row>
    <row r="31" spans="1:16" x14ac:dyDescent="0.2">
      <c r="A31" s="1">
        <v>333518000</v>
      </c>
      <c r="B31">
        <v>6.0102799999999998</v>
      </c>
      <c r="E31">
        <v>333518000</v>
      </c>
      <c r="F31">
        <v>6.0102799999999998</v>
      </c>
      <c r="G31">
        <v>1.2472850108592194E-16</v>
      </c>
      <c r="J31" s="1">
        <v>21504400</v>
      </c>
      <c r="K31">
        <v>43.638500000000001</v>
      </c>
      <c r="N31">
        <v>21504400</v>
      </c>
      <c r="O31">
        <v>43.638500000000001</v>
      </c>
      <c r="P31">
        <v>3.9045015594295761E-12</v>
      </c>
    </row>
    <row r="32" spans="1:16" x14ac:dyDescent="0.2">
      <c r="A32" s="1">
        <v>383077000</v>
      </c>
      <c r="B32">
        <v>4.34701</v>
      </c>
      <c r="E32">
        <v>383077000</v>
      </c>
      <c r="F32">
        <v>4.34701</v>
      </c>
      <c r="G32">
        <v>2.4281545036028204E-16</v>
      </c>
      <c r="J32" s="1">
        <v>22747200</v>
      </c>
      <c r="K32">
        <v>53.535699999999999</v>
      </c>
      <c r="N32">
        <v>22747200</v>
      </c>
      <c r="O32">
        <v>53.535699999999999</v>
      </c>
      <c r="P32">
        <v>-6.2781496683231609E-12</v>
      </c>
    </row>
    <row r="33" spans="1:16" x14ac:dyDescent="0.2">
      <c r="A33" s="1">
        <v>445077000</v>
      </c>
      <c r="B33">
        <v>2.9331700000000001</v>
      </c>
      <c r="E33">
        <v>445077000</v>
      </c>
      <c r="F33">
        <v>2.9331700000000001</v>
      </c>
      <c r="G33">
        <v>6.7537526762966921E-17</v>
      </c>
      <c r="J33" s="1">
        <v>23591800</v>
      </c>
      <c r="K33">
        <v>57.564300000000003</v>
      </c>
      <c r="N33">
        <v>23591800</v>
      </c>
      <c r="O33">
        <v>57.564300000000003</v>
      </c>
      <c r="P33">
        <v>2.598523401878486E-12</v>
      </c>
    </row>
    <row r="34" spans="1:16" x14ac:dyDescent="0.2">
      <c r="A34" s="1">
        <v>493734000</v>
      </c>
      <c r="B34">
        <v>2.0970499999999999</v>
      </c>
      <c r="E34">
        <v>493734000</v>
      </c>
      <c r="F34">
        <v>2.0970499999999999</v>
      </c>
      <c r="G34">
        <v>7.6410393149225742E-17</v>
      </c>
      <c r="J34" s="1">
        <v>26153600</v>
      </c>
      <c r="K34">
        <v>70.671800000000005</v>
      </c>
      <c r="N34">
        <v>26153600</v>
      </c>
      <c r="O34">
        <v>70.671800000000005</v>
      </c>
      <c r="P34">
        <v>-4.0286394149101068E-12</v>
      </c>
    </row>
    <row r="35" spans="1:16" x14ac:dyDescent="0.2">
      <c r="A35" s="1">
        <v>541366000</v>
      </c>
      <c r="B35">
        <v>1.4481200000000001</v>
      </c>
      <c r="E35">
        <v>541366000</v>
      </c>
      <c r="F35">
        <v>1.4481200000000001</v>
      </c>
      <c r="G35">
        <v>7.0534244548321119E-17</v>
      </c>
      <c r="J35" s="1">
        <v>26486800</v>
      </c>
      <c r="K35">
        <v>71.468900000000005</v>
      </c>
      <c r="N35">
        <v>26486800</v>
      </c>
      <c r="O35">
        <v>71.468900000000005</v>
      </c>
      <c r="P35">
        <v>9.7043388407095908E-13</v>
      </c>
    </row>
    <row r="36" spans="1:16" x14ac:dyDescent="0.2">
      <c r="A36" s="1">
        <v>580016000</v>
      </c>
      <c r="B36">
        <v>1.0234099999999999</v>
      </c>
      <c r="E36">
        <v>580016000</v>
      </c>
      <c r="F36">
        <v>1.0234099999999999</v>
      </c>
      <c r="G36">
        <v>0</v>
      </c>
      <c r="J36" s="1">
        <v>29033700</v>
      </c>
      <c r="K36">
        <v>77.525999999999996</v>
      </c>
      <c r="N36">
        <v>29033700</v>
      </c>
      <c r="O36">
        <v>77.525999999999996</v>
      </c>
      <c r="P36">
        <v>-1.7007911473516933E-12</v>
      </c>
    </row>
    <row r="37" spans="1:16" x14ac:dyDescent="0.2">
      <c r="J37" s="1">
        <v>30081900</v>
      </c>
      <c r="K37">
        <v>78.374799999999993</v>
      </c>
      <c r="N37">
        <v>30081900</v>
      </c>
      <c r="O37">
        <v>78.374799999999993</v>
      </c>
      <c r="P37">
        <v>3.3075574047674288E-13</v>
      </c>
    </row>
    <row r="38" spans="1:16" x14ac:dyDescent="0.2">
      <c r="J38" s="1">
        <v>33757600</v>
      </c>
      <c r="K38">
        <v>81.198400000000007</v>
      </c>
      <c r="N38">
        <v>33757600</v>
      </c>
      <c r="O38">
        <v>81.198400000000007</v>
      </c>
      <c r="P38">
        <v>-4.3302726255224461E-13</v>
      </c>
    </row>
    <row r="39" spans="1:16" x14ac:dyDescent="0.2">
      <c r="J39" s="1">
        <v>35782100</v>
      </c>
      <c r="K39">
        <v>81.628699999999995</v>
      </c>
      <c r="N39">
        <v>35782100</v>
      </c>
      <c r="O39">
        <v>81.628699999999995</v>
      </c>
      <c r="P39">
        <v>1.912184300712261E-13</v>
      </c>
    </row>
    <row r="40" spans="1:16" x14ac:dyDescent="0.2">
      <c r="J40" s="1">
        <v>38348600</v>
      </c>
      <c r="K40">
        <v>82.1434</v>
      </c>
      <c r="N40">
        <v>38348600</v>
      </c>
      <c r="O40">
        <v>82.1434</v>
      </c>
      <c r="P40">
        <v>-3.705859491359712E-13</v>
      </c>
    </row>
    <row r="41" spans="1:16" x14ac:dyDescent="0.2">
      <c r="J41" s="1">
        <v>45095700</v>
      </c>
      <c r="K41">
        <v>77.828199999999995</v>
      </c>
      <c r="N41">
        <v>45095700</v>
      </c>
      <c r="O41">
        <v>77.828199999999995</v>
      </c>
      <c r="P41">
        <v>2.0328164171741764E-13</v>
      </c>
    </row>
    <row r="42" spans="1:16" x14ac:dyDescent="0.2">
      <c r="J42" s="1">
        <v>45625800</v>
      </c>
      <c r="K42">
        <v>77.525999999999996</v>
      </c>
      <c r="N42">
        <v>45625800</v>
      </c>
      <c r="O42">
        <v>77.525999999999996</v>
      </c>
      <c r="P42">
        <v>-7.803543309623353E-14</v>
      </c>
    </row>
    <row r="43" spans="1:16" x14ac:dyDescent="0.2">
      <c r="J43" s="1">
        <v>54264000</v>
      </c>
      <c r="K43">
        <v>71.418300000000002</v>
      </c>
      <c r="N43">
        <v>54264000</v>
      </c>
      <c r="O43">
        <v>71.418300000000002</v>
      </c>
      <c r="P43">
        <v>5.8031704550133814E-14</v>
      </c>
    </row>
    <row r="44" spans="1:16" x14ac:dyDescent="0.2">
      <c r="J44" s="1">
        <v>56855500</v>
      </c>
      <c r="K44">
        <v>69.858800000000002</v>
      </c>
      <c r="N44">
        <v>56855500</v>
      </c>
      <c r="O44">
        <v>69.858800000000002</v>
      </c>
      <c r="P44">
        <v>9.3396296692078574E-16</v>
      </c>
    </row>
    <row r="45" spans="1:16" x14ac:dyDescent="0.2">
      <c r="J45" s="1">
        <v>66830100</v>
      </c>
      <c r="K45">
        <v>64.439300000000003</v>
      </c>
      <c r="N45">
        <v>66830100</v>
      </c>
      <c r="O45">
        <v>64.439300000000003</v>
      </c>
      <c r="P45">
        <v>1.772583823684464E-14</v>
      </c>
    </row>
    <row r="46" spans="1:16" x14ac:dyDescent="0.2">
      <c r="J46" s="1">
        <v>71673600</v>
      </c>
      <c r="K46">
        <v>62.225700000000003</v>
      </c>
      <c r="N46">
        <v>71673600</v>
      </c>
      <c r="O46">
        <v>62.225700000000003</v>
      </c>
      <c r="P46">
        <v>-3.4709025076697207E-15</v>
      </c>
    </row>
    <row r="47" spans="1:16" x14ac:dyDescent="0.2">
      <c r="J47" s="1">
        <v>85215100</v>
      </c>
      <c r="K47">
        <v>56.297400000000003</v>
      </c>
      <c r="N47">
        <v>85215100</v>
      </c>
      <c r="O47">
        <v>56.297400000000003</v>
      </c>
      <c r="P47">
        <v>1.1608315764446942E-14</v>
      </c>
    </row>
    <row r="48" spans="1:16" x14ac:dyDescent="0.2">
      <c r="J48" s="1">
        <v>89310800</v>
      </c>
      <c r="K48">
        <v>54.789000000000001</v>
      </c>
      <c r="N48">
        <v>89310800</v>
      </c>
      <c r="O48">
        <v>54.789000000000001</v>
      </c>
      <c r="P48">
        <v>1.3311020483006992E-14</v>
      </c>
    </row>
    <row r="49" spans="10:16" x14ac:dyDescent="0.2">
      <c r="J49" s="1">
        <v>108656000</v>
      </c>
      <c r="K49">
        <v>49.857599999999998</v>
      </c>
      <c r="N49">
        <v>108656000</v>
      </c>
      <c r="O49">
        <v>49.857599999999998</v>
      </c>
      <c r="P49">
        <v>4.470199484791967E-16</v>
      </c>
    </row>
    <row r="50" spans="10:16" x14ac:dyDescent="0.2">
      <c r="J50" s="1">
        <v>122096000</v>
      </c>
      <c r="K50">
        <v>47.137500000000003</v>
      </c>
      <c r="N50">
        <v>122096000</v>
      </c>
      <c r="O50">
        <v>47.137500000000003</v>
      </c>
      <c r="P50">
        <v>2.1093527851612942E-15</v>
      </c>
    </row>
    <row r="51" spans="10:16" x14ac:dyDescent="0.2">
      <c r="J51" s="1">
        <v>133812000</v>
      </c>
      <c r="K51">
        <v>45.028300000000002</v>
      </c>
      <c r="N51">
        <v>133812000</v>
      </c>
      <c r="O51">
        <v>45.028300000000002</v>
      </c>
      <c r="P51">
        <v>1.8805712915199372E-15</v>
      </c>
    </row>
    <row r="52" spans="10:16" x14ac:dyDescent="0.2">
      <c r="J52" s="1">
        <v>164790000</v>
      </c>
      <c r="K52">
        <v>40.5794</v>
      </c>
      <c r="N52">
        <v>164790000</v>
      </c>
      <c r="O52">
        <v>40.5794</v>
      </c>
      <c r="P52">
        <v>1.0711969541968728E-15</v>
      </c>
    </row>
    <row r="53" spans="10:16" x14ac:dyDescent="0.2">
      <c r="J53" s="1">
        <v>164992000</v>
      </c>
      <c r="K53">
        <v>40.554600000000001</v>
      </c>
      <c r="N53">
        <v>164992000</v>
      </c>
      <c r="O53">
        <v>40.554600000000001</v>
      </c>
      <c r="P53">
        <v>-4.4671301128391329E-18</v>
      </c>
    </row>
    <row r="54" spans="10:16" x14ac:dyDescent="0.2">
      <c r="J54" s="1">
        <v>198278000</v>
      </c>
      <c r="K54">
        <v>36.736499999999999</v>
      </c>
      <c r="N54">
        <v>198278000</v>
      </c>
      <c r="O54">
        <v>36.736499999999999</v>
      </c>
      <c r="P54">
        <v>1.4565035741858646E-15</v>
      </c>
    </row>
    <row r="55" spans="10:16" x14ac:dyDescent="0.2">
      <c r="J55" s="1">
        <v>222955000</v>
      </c>
      <c r="K55">
        <v>34.489600000000003</v>
      </c>
      <c r="N55">
        <v>222955000</v>
      </c>
      <c r="O55">
        <v>34.489600000000003</v>
      </c>
      <c r="P55">
        <v>-1.0851006258261039E-15</v>
      </c>
    </row>
    <row r="56" spans="10:16" x14ac:dyDescent="0.2">
      <c r="J56" s="1">
        <v>238553000</v>
      </c>
      <c r="K56">
        <v>32.970199999999998</v>
      </c>
      <c r="N56">
        <v>238553000</v>
      </c>
      <c r="O56">
        <v>32.970199999999998</v>
      </c>
      <c r="P56">
        <v>8.5379871954587528E-16</v>
      </c>
    </row>
    <row r="57" spans="10:16" x14ac:dyDescent="0.2">
      <c r="J57" s="1">
        <v>280448000</v>
      </c>
      <c r="K57">
        <v>29.6008</v>
      </c>
      <c r="N57">
        <v>280448000</v>
      </c>
      <c r="O57">
        <v>29.6008</v>
      </c>
      <c r="P57">
        <v>4.9315708015719182E-16</v>
      </c>
    </row>
    <row r="58" spans="10:16" x14ac:dyDescent="0.2">
      <c r="J58" s="1">
        <v>315541000</v>
      </c>
      <c r="K58">
        <v>27.3644</v>
      </c>
      <c r="N58">
        <v>315541000</v>
      </c>
      <c r="O58">
        <v>27.3644</v>
      </c>
      <c r="P58">
        <v>-3.2832403897529428E-16</v>
      </c>
    </row>
    <row r="59" spans="10:16" x14ac:dyDescent="0.2">
      <c r="J59" s="1">
        <v>333518000</v>
      </c>
      <c r="K59">
        <v>26.1904</v>
      </c>
      <c r="N59">
        <v>333518000</v>
      </c>
      <c r="O59">
        <v>26.1904</v>
      </c>
      <c r="P59">
        <v>4.4917370792340165E-16</v>
      </c>
    </row>
    <row r="60" spans="10:16" x14ac:dyDescent="0.2">
      <c r="J60" s="1">
        <v>383077000</v>
      </c>
      <c r="K60">
        <v>23.470800000000001</v>
      </c>
      <c r="N60">
        <v>383077000</v>
      </c>
      <c r="O60">
        <v>23.470800000000001</v>
      </c>
      <c r="P60">
        <v>1.5757908833200527E-16</v>
      </c>
    </row>
    <row r="61" spans="10:16" x14ac:dyDescent="0.2">
      <c r="J61" s="1">
        <v>416582000</v>
      </c>
      <c r="K61">
        <v>21.963899999999999</v>
      </c>
      <c r="N61">
        <v>416582000</v>
      </c>
      <c r="O61">
        <v>21.963899999999999</v>
      </c>
      <c r="P61">
        <v>3.2726097070426572E-16</v>
      </c>
    </row>
    <row r="62" spans="10:16" x14ac:dyDescent="0.2">
      <c r="J62" s="1">
        <v>445077000</v>
      </c>
      <c r="K62">
        <v>20.913799999999998</v>
      </c>
      <c r="N62">
        <v>445077000</v>
      </c>
      <c r="O62">
        <v>20.913799999999998</v>
      </c>
      <c r="P62">
        <v>1.0106114271752342E-16</v>
      </c>
    </row>
    <row r="63" spans="10:16" x14ac:dyDescent="0.2">
      <c r="J63" s="1">
        <v>493734000</v>
      </c>
      <c r="K63">
        <v>19.3674</v>
      </c>
      <c r="N63">
        <v>493734000</v>
      </c>
      <c r="O63">
        <v>19.3674</v>
      </c>
      <c r="P63">
        <v>1.1309995242429845E-16</v>
      </c>
    </row>
    <row r="64" spans="10:16" x14ac:dyDescent="0.2">
      <c r="J64" s="1">
        <v>541366000</v>
      </c>
      <c r="K64">
        <v>18.090699999999998</v>
      </c>
      <c r="N64">
        <v>541366000</v>
      </c>
      <c r="O64">
        <v>18.090699999999998</v>
      </c>
      <c r="P64">
        <v>6.6585070264410498E-17</v>
      </c>
    </row>
    <row r="65" spans="10:16" x14ac:dyDescent="0.2">
      <c r="J65" s="1">
        <v>569427000</v>
      </c>
      <c r="K65">
        <v>17.426300000000001</v>
      </c>
      <c r="N65">
        <v>569427000</v>
      </c>
      <c r="O65">
        <v>17.426300000000001</v>
      </c>
      <c r="P65">
        <v>1.1729075796754735E-16</v>
      </c>
    </row>
    <row r="66" spans="10:16" x14ac:dyDescent="0.2">
      <c r="J66" s="1">
        <v>580016000</v>
      </c>
      <c r="K66">
        <v>17.196100000000001</v>
      </c>
      <c r="N66">
        <v>580016000</v>
      </c>
      <c r="O66">
        <v>17.196100000000001</v>
      </c>
      <c r="P66">
        <v>6.5130895176567504E-17</v>
      </c>
    </row>
    <row r="67" spans="10:16" x14ac:dyDescent="0.2">
      <c r="J67" s="1">
        <v>863828000</v>
      </c>
      <c r="K67">
        <v>12.898899999999999</v>
      </c>
      <c r="N67">
        <v>863828000</v>
      </c>
      <c r="O67">
        <v>12.898899999999999</v>
      </c>
      <c r="P67">
        <v>0</v>
      </c>
    </row>
  </sheetData>
  <mergeCells count="2">
    <mergeCell ref="E5:G5"/>
    <mergeCell ref="N5:P5"/>
  </mergeCells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FT140-61 12t</vt:lpstr>
      <vt:lpstr>FT140-61 4t</vt:lpstr>
      <vt:lpstr>FT140-61 4t (3)</vt:lpstr>
      <vt:lpstr>FT140-61 4t (2)</vt:lpstr>
      <vt:lpstr>FT240-61 12t</vt:lpstr>
      <vt:lpstr>FT240-61x2 12t</vt:lpstr>
      <vt:lpstr>FT240-61x3 13t</vt:lpstr>
      <vt:lpstr>Mix</vt:lpstr>
      <vt:lpstr>CSTableU1</vt:lpstr>
      <vt:lpstr>CSTableU2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OWEN DUFFY</dc:creator>
  <cp:lastModifiedBy>owen</cp:lastModifiedBy>
  <dcterms:created xsi:type="dcterms:W3CDTF">2010-06-30T06:45:52Z</dcterms:created>
  <dcterms:modified xsi:type="dcterms:W3CDTF">2015-02-23T00:25:10Z</dcterms:modified>
</cp:coreProperties>
</file>