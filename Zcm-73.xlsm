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owen\Documents\"/>
    </mc:Choice>
  </mc:AlternateContent>
  <bookViews>
    <workbookView xWindow="600" yWindow="225" windowWidth="20700" windowHeight="11190"/>
  </bookViews>
  <sheets>
    <sheet name="BN-73-202" sheetId="1" r:id="rId1"/>
    <sheet name="Mix" sheetId="2" r:id="rId2"/>
  </sheets>
  <functionGroups builtInGroupCount="18"/>
  <definedNames>
    <definedName name="CSTableU1">Mix!$E$6:$G$24</definedName>
    <definedName name="CSTableU2">Mix!$N$6:$P$29</definedName>
  </definedNames>
  <calcPr calcId="152511"/>
</workbook>
</file>

<file path=xl/calcChain.xml><?xml version="1.0" encoding="utf-8"?>
<calcChain xmlns="http://schemas.openxmlformats.org/spreadsheetml/2006/main">
  <c r="B12" i="1" l="1"/>
  <c r="B13" i="1"/>
  <c r="B16" i="1"/>
  <c r="N18" i="1"/>
  <c r="O18" i="1"/>
  <c r="P18" i="1" s="1"/>
  <c r="B24" i="1"/>
  <c r="C24" i="1"/>
  <c r="D24" i="1"/>
  <c r="E24" i="1"/>
  <c r="F24" i="1"/>
  <c r="G24" i="1"/>
  <c r="H24" i="1"/>
  <c r="I24" i="1"/>
  <c r="J24" i="1"/>
  <c r="K24" i="1"/>
  <c r="L24" i="1"/>
  <c r="M24" i="1"/>
  <c r="N24" i="1"/>
  <c r="O24" i="1"/>
  <c r="AA24" i="1"/>
  <c r="AB24" i="1"/>
  <c r="AC24" i="1"/>
  <c r="AD24" i="1"/>
  <c r="AE24" i="1"/>
  <c r="E6" i="2" a="1"/>
  <c r="N6" i="2" a="1"/>
  <c r="B33" i="1"/>
  <c r="C33" i="1"/>
  <c r="E17" i="2" l="1"/>
  <c r="F20" i="2"/>
  <c r="F22" i="2"/>
  <c r="E6" i="2"/>
  <c r="G6" i="2"/>
  <c r="F7" i="2"/>
  <c r="E8" i="2"/>
  <c r="G8" i="2"/>
  <c r="F9" i="2"/>
  <c r="E10" i="2"/>
  <c r="G10" i="2"/>
  <c r="F11" i="2"/>
  <c r="E12" i="2"/>
  <c r="G12" i="2"/>
  <c r="F13" i="2"/>
  <c r="E14" i="2"/>
  <c r="G14" i="2"/>
  <c r="F15" i="2"/>
  <c r="E16" i="2"/>
  <c r="G16" i="2"/>
  <c r="F17" i="2"/>
  <c r="E18" i="2"/>
  <c r="G18" i="2"/>
  <c r="F19" i="2"/>
  <c r="E20" i="2"/>
  <c r="G20" i="2"/>
  <c r="F21" i="2"/>
  <c r="E22" i="2"/>
  <c r="G22" i="2"/>
  <c r="F23" i="2"/>
  <c r="E24" i="2"/>
  <c r="G24" i="2"/>
  <c r="F6" i="2"/>
  <c r="E7" i="2"/>
  <c r="G7" i="2"/>
  <c r="F8" i="2"/>
  <c r="E9" i="2"/>
  <c r="G9" i="2"/>
  <c r="F10" i="2"/>
  <c r="E11" i="2"/>
  <c r="G11" i="2"/>
  <c r="F12" i="2"/>
  <c r="E13" i="2"/>
  <c r="G13" i="2"/>
  <c r="F14" i="2"/>
  <c r="E15" i="2"/>
  <c r="G15" i="2"/>
  <c r="F16" i="2"/>
  <c r="G17" i="2"/>
  <c r="F18" i="2"/>
  <c r="E19" i="2"/>
  <c r="G19" i="2"/>
  <c r="E21" i="2"/>
  <c r="G21" i="2"/>
  <c r="E23" i="2"/>
  <c r="G23" i="2"/>
  <c r="F24" i="2"/>
  <c r="N6" i="2"/>
  <c r="P6" i="2"/>
  <c r="O7" i="2"/>
  <c r="N8" i="2"/>
  <c r="P8" i="2"/>
  <c r="O9" i="2"/>
  <c r="N10" i="2"/>
  <c r="P10" i="2"/>
  <c r="O11" i="2"/>
  <c r="N12" i="2"/>
  <c r="P12" i="2"/>
  <c r="O13" i="2"/>
  <c r="N14" i="2"/>
  <c r="P14" i="2"/>
  <c r="O15" i="2"/>
  <c r="N16" i="2"/>
  <c r="P16" i="2"/>
  <c r="O17" i="2"/>
  <c r="N18" i="2"/>
  <c r="P18" i="2"/>
  <c r="O19" i="2"/>
  <c r="N20" i="2"/>
  <c r="P20" i="2"/>
  <c r="O21" i="2"/>
  <c r="N22" i="2"/>
  <c r="P22" i="2"/>
  <c r="O23" i="2"/>
  <c r="N24" i="2"/>
  <c r="P24" i="2"/>
  <c r="O25" i="2"/>
  <c r="N26" i="2"/>
  <c r="P26" i="2"/>
  <c r="O27" i="2"/>
  <c r="N28" i="2"/>
  <c r="P28" i="2"/>
  <c r="O29" i="2"/>
  <c r="O6" i="2"/>
  <c r="N7" i="2"/>
  <c r="P7" i="2"/>
  <c r="O8" i="2"/>
  <c r="N9" i="2"/>
  <c r="P9" i="2"/>
  <c r="O10" i="2"/>
  <c r="N11" i="2"/>
  <c r="P11" i="2"/>
  <c r="O12" i="2"/>
  <c r="N13" i="2"/>
  <c r="P13" i="2"/>
  <c r="O14" i="2"/>
  <c r="N15" i="2"/>
  <c r="P15" i="2"/>
  <c r="O16" i="2"/>
  <c r="N17" i="2"/>
  <c r="P17" i="2"/>
  <c r="O18" i="2"/>
  <c r="N19" i="2"/>
  <c r="P19" i="2"/>
  <c r="O20" i="2"/>
  <c r="N21" i="2"/>
  <c r="P21" i="2"/>
  <c r="O22" i="2"/>
  <c r="N23" i="2"/>
  <c r="P23" i="2"/>
  <c r="O24" i="2"/>
  <c r="N25" i="2"/>
  <c r="P25" i="2"/>
  <c r="O26" i="2"/>
  <c r="N27" i="2"/>
  <c r="P27" i="2"/>
  <c r="O28" i="2"/>
  <c r="N29" i="2"/>
  <c r="P29" i="2"/>
  <c r="Q18" i="1"/>
  <c r="P24" i="1"/>
  <c r="AD19" i="1"/>
  <c r="M19" i="1"/>
  <c r="G19" i="1"/>
  <c r="AA19" i="1"/>
  <c r="K19" i="1"/>
  <c r="D19" i="1"/>
  <c r="AC19" i="1"/>
  <c r="AE19" i="1"/>
  <c r="O19" i="1"/>
  <c r="J19" i="1"/>
  <c r="H19" i="1"/>
  <c r="B19" i="1"/>
  <c r="L19" i="1"/>
  <c r="F19" i="1"/>
  <c r="N19" i="1"/>
  <c r="AB19" i="1"/>
  <c r="E19" i="1"/>
  <c r="P19" i="1"/>
  <c r="I19" i="1"/>
  <c r="C19" i="1"/>
  <c r="I20" i="1"/>
  <c r="G20" i="1"/>
  <c r="AB20" i="1"/>
  <c r="N20" i="1"/>
  <c r="AA20" i="1"/>
  <c r="O20" i="1"/>
  <c r="D20" i="1"/>
  <c r="B20" i="1"/>
  <c r="AE20" i="1"/>
  <c r="AC20" i="1"/>
  <c r="P20" i="1"/>
  <c r="AD20" i="1"/>
  <c r="E20" i="1"/>
  <c r="C20" i="1"/>
  <c r="H20" i="1"/>
  <c r="F20" i="1"/>
  <c r="L20" i="1"/>
  <c r="J20" i="1"/>
  <c r="M20" i="1"/>
  <c r="K20" i="1"/>
  <c r="J22" i="1" l="1"/>
  <c r="P22" i="1"/>
  <c r="L22" i="1"/>
  <c r="AC22" i="1"/>
  <c r="AE22" i="1"/>
  <c r="B22" i="1"/>
  <c r="D22" i="1"/>
  <c r="F22" i="1"/>
  <c r="H22" i="1"/>
  <c r="O22" i="1"/>
  <c r="AA22" i="1"/>
  <c r="C22" i="1"/>
  <c r="N22" i="1"/>
  <c r="E22" i="1"/>
  <c r="AB22" i="1"/>
  <c r="G22" i="1"/>
  <c r="I22" i="1"/>
  <c r="AD22" i="1"/>
  <c r="K22" i="1"/>
  <c r="M22" i="1"/>
  <c r="C21" i="1"/>
  <c r="N21" i="1"/>
  <c r="I21" i="1"/>
  <c r="I23" i="1" s="1"/>
  <c r="I25" i="1" s="1"/>
  <c r="O21" i="1"/>
  <c r="AE21" i="1"/>
  <c r="AC21" i="1"/>
  <c r="D21" i="1"/>
  <c r="F21" i="1"/>
  <c r="L21" i="1"/>
  <c r="P21" i="1"/>
  <c r="P23" i="1" s="1"/>
  <c r="P25" i="1" s="1"/>
  <c r="E21" i="1"/>
  <c r="B21" i="1"/>
  <c r="H21" i="1"/>
  <c r="K21" i="1"/>
  <c r="AA21" i="1"/>
  <c r="G21" i="1"/>
  <c r="M21" i="1"/>
  <c r="J21" i="1"/>
  <c r="AB21" i="1"/>
  <c r="AB23" i="1" s="1"/>
  <c r="AB25" i="1" s="1"/>
  <c r="AD21" i="1"/>
  <c r="AD23" i="1" s="1"/>
  <c r="AD25" i="1" s="1"/>
  <c r="R18" i="1"/>
  <c r="Q24" i="1"/>
  <c r="Q19" i="1"/>
  <c r="Q20" i="1"/>
  <c r="AD27" i="1" l="1"/>
  <c r="AD60" i="1"/>
  <c r="AD61" i="1"/>
  <c r="P28" i="1"/>
  <c r="P61" i="1"/>
  <c r="P60" i="1"/>
  <c r="AB27" i="1"/>
  <c r="AB60" i="1"/>
  <c r="AB61" i="1"/>
  <c r="I27" i="1"/>
  <c r="I61" i="1"/>
  <c r="I60" i="1"/>
  <c r="K23" i="1"/>
  <c r="K25" i="1" s="1"/>
  <c r="M23" i="1"/>
  <c r="M25" i="1" s="1"/>
  <c r="K26" i="1"/>
  <c r="B23" i="1"/>
  <c r="B25" i="1" s="1"/>
  <c r="P26" i="1"/>
  <c r="G23" i="1"/>
  <c r="G25" i="1" s="1"/>
  <c r="AA23" i="1"/>
  <c r="AA25" i="1" s="1"/>
  <c r="D23" i="1"/>
  <c r="D25" i="1" s="1"/>
  <c r="AC23" i="1"/>
  <c r="AC25" i="1" s="1"/>
  <c r="AE23" i="1"/>
  <c r="AE25" i="1" s="1"/>
  <c r="J23" i="1"/>
  <c r="J25" i="1" s="1"/>
  <c r="H23" i="1"/>
  <c r="H25" i="1" s="1"/>
  <c r="E23" i="1"/>
  <c r="E25" i="1" s="1"/>
  <c r="L23" i="1"/>
  <c r="L25" i="1" s="1"/>
  <c r="F23" i="1"/>
  <c r="F25" i="1" s="1"/>
  <c r="C23" i="1"/>
  <c r="C25" i="1" s="1"/>
  <c r="AB28" i="1"/>
  <c r="AB26" i="1"/>
  <c r="P27" i="1"/>
  <c r="AD26" i="1"/>
  <c r="AD28" i="1"/>
  <c r="I26" i="1"/>
  <c r="I28" i="1"/>
  <c r="O23" i="1"/>
  <c r="O25" i="1" s="1"/>
  <c r="N23" i="1"/>
  <c r="N25" i="1" s="1"/>
  <c r="Q22" i="1"/>
  <c r="Q21" i="1"/>
  <c r="S18" i="1"/>
  <c r="R24" i="1"/>
  <c r="R19" i="1"/>
  <c r="R20" i="1"/>
  <c r="C27" i="1" l="1"/>
  <c r="C61" i="1"/>
  <c r="C60" i="1"/>
  <c r="L27" i="1"/>
  <c r="L61" i="1"/>
  <c r="L60" i="1"/>
  <c r="H26" i="1"/>
  <c r="H61" i="1"/>
  <c r="H60" i="1"/>
  <c r="AE26" i="1"/>
  <c r="AE61" i="1"/>
  <c r="AE60" i="1"/>
  <c r="D27" i="1"/>
  <c r="D61" i="1"/>
  <c r="D60" i="1"/>
  <c r="G26" i="1"/>
  <c r="G61" i="1"/>
  <c r="G60" i="1"/>
  <c r="B27" i="1"/>
  <c r="B61" i="1"/>
  <c r="B60" i="1"/>
  <c r="M28" i="1"/>
  <c r="M61" i="1"/>
  <c r="M60" i="1"/>
  <c r="O61" i="1"/>
  <c r="O60" i="1"/>
  <c r="N61" i="1"/>
  <c r="N60" i="1"/>
  <c r="F28" i="1"/>
  <c r="F61" i="1"/>
  <c r="F60" i="1"/>
  <c r="E27" i="1"/>
  <c r="E61" i="1"/>
  <c r="E60" i="1"/>
  <c r="J27" i="1"/>
  <c r="J61" i="1"/>
  <c r="J60" i="1"/>
  <c r="AC26" i="1"/>
  <c r="AC61" i="1"/>
  <c r="AC60" i="1"/>
  <c r="AA28" i="1"/>
  <c r="AA61" i="1"/>
  <c r="AA60" i="1"/>
  <c r="K28" i="1"/>
  <c r="K61" i="1"/>
  <c r="K60" i="1"/>
  <c r="K27" i="1"/>
  <c r="B26" i="1"/>
  <c r="D28" i="1"/>
  <c r="D26" i="1"/>
  <c r="B28" i="1"/>
  <c r="M26" i="1"/>
  <c r="H28" i="1"/>
  <c r="M27" i="1"/>
  <c r="L28" i="1"/>
  <c r="Q23" i="1"/>
  <c r="Q25" i="1" s="1"/>
  <c r="F27" i="1"/>
  <c r="AC27" i="1"/>
  <c r="F26" i="1"/>
  <c r="C26" i="1"/>
  <c r="AC28" i="1"/>
  <c r="AA27" i="1"/>
  <c r="AA26" i="1"/>
  <c r="AE28" i="1"/>
  <c r="AE27" i="1"/>
  <c r="G27" i="1"/>
  <c r="G28" i="1"/>
  <c r="L26" i="1"/>
  <c r="H27" i="1"/>
  <c r="C28" i="1"/>
  <c r="E26" i="1"/>
  <c r="E28" i="1"/>
  <c r="J28" i="1"/>
  <c r="J26" i="1"/>
  <c r="O27" i="1"/>
  <c r="O26" i="1"/>
  <c r="O28" i="1"/>
  <c r="N26" i="1"/>
  <c r="N28" i="1"/>
  <c r="N27" i="1"/>
  <c r="R22" i="1"/>
  <c r="R21" i="1"/>
  <c r="T18" i="1"/>
  <c r="S24" i="1"/>
  <c r="S19" i="1"/>
  <c r="S20" i="1"/>
  <c r="Q27" i="1" l="1"/>
  <c r="Q61" i="1"/>
  <c r="Q60" i="1"/>
  <c r="Q26" i="1"/>
  <c r="Q28" i="1"/>
  <c r="R23" i="1"/>
  <c r="R25" i="1" s="1"/>
  <c r="S22" i="1"/>
  <c r="S21" i="1"/>
  <c r="U18" i="1"/>
  <c r="T24" i="1"/>
  <c r="T19" i="1"/>
  <c r="T20" i="1"/>
  <c r="R26" i="1" l="1"/>
  <c r="R60" i="1"/>
  <c r="R61" i="1"/>
  <c r="R27" i="1"/>
  <c r="R28" i="1"/>
  <c r="S23" i="1"/>
  <c r="S25" i="1" s="1"/>
  <c r="T21" i="1"/>
  <c r="T22" i="1"/>
  <c r="V18" i="1"/>
  <c r="U24" i="1"/>
  <c r="U19" i="1"/>
  <c r="U20" i="1"/>
  <c r="S26" i="1" l="1"/>
  <c r="S61" i="1"/>
  <c r="S60" i="1"/>
  <c r="S27" i="1"/>
  <c r="S28" i="1"/>
  <c r="T23" i="1"/>
  <c r="T25" i="1" s="1"/>
  <c r="U21" i="1"/>
  <c r="U22" i="1"/>
  <c r="W18" i="1"/>
  <c r="V24" i="1"/>
  <c r="V19" i="1"/>
  <c r="V20" i="1"/>
  <c r="T27" i="1" l="1"/>
  <c r="T60" i="1"/>
  <c r="T61" i="1"/>
  <c r="T28" i="1"/>
  <c r="T26" i="1"/>
  <c r="U23" i="1"/>
  <c r="U25" i="1" s="1"/>
  <c r="V22" i="1"/>
  <c r="V21" i="1"/>
  <c r="X18" i="1"/>
  <c r="W24" i="1"/>
  <c r="W19" i="1"/>
  <c r="W20" i="1"/>
  <c r="U26" i="1" l="1"/>
  <c r="U61" i="1"/>
  <c r="U60" i="1"/>
  <c r="U28" i="1"/>
  <c r="V23" i="1"/>
  <c r="V25" i="1" s="1"/>
  <c r="U27" i="1"/>
  <c r="W22" i="1"/>
  <c r="W21" i="1"/>
  <c r="X24" i="1"/>
  <c r="Y18" i="1"/>
  <c r="X19" i="1"/>
  <c r="X20" i="1"/>
  <c r="V26" i="1" l="1"/>
  <c r="V60" i="1"/>
  <c r="V61" i="1"/>
  <c r="W23" i="1"/>
  <c r="W25" i="1" s="1"/>
  <c r="V27" i="1"/>
  <c r="V28" i="1"/>
  <c r="X22" i="1"/>
  <c r="X21" i="1"/>
  <c r="Y24" i="1"/>
  <c r="Z18" i="1"/>
  <c r="Y19" i="1"/>
  <c r="Y20" i="1"/>
  <c r="W27" i="1" l="1"/>
  <c r="W61" i="1"/>
  <c r="W60" i="1"/>
  <c r="W28" i="1"/>
  <c r="X23" i="1"/>
  <c r="X25" i="1" s="1"/>
  <c r="W26" i="1"/>
  <c r="Y22" i="1"/>
  <c r="Y21" i="1"/>
  <c r="Z24" i="1"/>
  <c r="Z19" i="1"/>
  <c r="Z20" i="1"/>
  <c r="X26" i="1" l="1"/>
  <c r="X60" i="1"/>
  <c r="X61" i="1"/>
  <c r="X28" i="1"/>
  <c r="X27" i="1"/>
  <c r="Y23" i="1"/>
  <c r="Y25" i="1" s="1"/>
  <c r="Z22" i="1"/>
  <c r="Z21" i="1"/>
  <c r="Y26" i="1" l="1"/>
  <c r="Y61" i="1"/>
  <c r="Y60" i="1"/>
  <c r="Y27" i="1"/>
  <c r="Y28" i="1"/>
  <c r="Z23" i="1"/>
  <c r="Z25" i="1" s="1"/>
  <c r="Z28" i="1" l="1"/>
  <c r="Z60" i="1"/>
  <c r="Z61" i="1"/>
  <c r="Z27" i="1"/>
  <c r="Z26" i="1"/>
</calcChain>
</file>

<file path=xl/sharedStrings.xml><?xml version="1.0" encoding="utf-8"?>
<sst xmlns="http://schemas.openxmlformats.org/spreadsheetml/2006/main" count="37" uniqueCount="34">
  <si>
    <t>CSTable</t>
  </si>
  <si>
    <t>Al (nH for 1t)</t>
  </si>
  <si>
    <t>f (MHz)</t>
  </si>
  <si>
    <t>µ'</t>
  </si>
  <si>
    <t>µ''</t>
  </si>
  <si>
    <t>N</t>
  </si>
  <si>
    <t>R</t>
  </si>
  <si>
    <t>X</t>
  </si>
  <si>
    <t>Cs (pF)</t>
  </si>
  <si>
    <t>2*pi*N^2*Al</t>
  </si>
  <si>
    <t>Rl</t>
  </si>
  <si>
    <t>Xl</t>
  </si>
  <si>
    <t>Yl</t>
  </si>
  <si>
    <t>Yc</t>
  </si>
  <si>
    <t>Z</t>
  </si>
  <si>
    <t>|Z|</t>
  </si>
  <si>
    <t>Inputs:</t>
  </si>
  <si>
    <t>Constants:</t>
  </si>
  <si>
    <t>Mix</t>
  </si>
  <si>
    <t>Calculated values:</t>
  </si>
  <si>
    <t>Module</t>
  </si>
  <si>
    <t>Version</t>
  </si>
  <si>
    <t>Date</t>
  </si>
  <si>
    <t>CubicSpline</t>
  </si>
  <si>
    <t>Copyright: Owen Duffy 2010. All rights reserved.</t>
  </si>
  <si>
    <t>Calculate impedance of ferrite cored inductor</t>
  </si>
  <si>
    <t>A method for estimating the impedance of a ferrite cored toroidal inductor at RF</t>
  </si>
  <si>
    <t>Reference:</t>
  </si>
  <si>
    <t>x</t>
  </si>
  <si>
    <t>µi</t>
  </si>
  <si>
    <t># #73 mix u''</t>
  </si>
  <si>
    <t>#73</t>
  </si>
  <si>
    <t># #73 mix u'</t>
  </si>
  <si>
    <t>2873000202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</si>
</sst>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00"/>
    <numFmt numFmtId="165" formatCode="0.0000000"/>
  </numFmts>
  <fonts count="5" x14ac:knownFonts="1">
    <font>
      <sz val="10"/>
      <name val="Arial"/>
    </font>
    <font>
      <b/>
      <sz val="10"/>
      <name val="Arial"/>
      <family val="2"/>
    </font>
    <font>
      <b/>
      <sz val="16"/>
      <name val="Arial"/>
      <family val="2"/>
    </font>
    <font>
      <u/>
      <sz val="10"/>
      <color indexed="12"/>
      <name val="Arial"/>
      <family val="2"/>
    </font>
    <font>
      <sz val="10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indexed="13"/>
        <bgColor indexed="64"/>
      </patternFill>
    </fill>
    <fill>
      <patternFill patternType="solid">
        <fgColor indexed="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 applyNumberFormat="0" applyFill="0" applyBorder="0" applyAlignment="0" applyProtection="0">
      <alignment vertical="top"/>
      <protection locked="0"/>
    </xf>
  </cellStyleXfs>
  <cellXfs count="18">
    <xf numFmtId="0" fontId="0" fillId="0" borderId="0" xfId="0"/>
    <xf numFmtId="11" fontId="0" fillId="0" borderId="0" xfId="0" applyNumberFormat="1"/>
    <xf numFmtId="0" fontId="0" fillId="0" borderId="0" xfId="0" quotePrefix="1"/>
    <xf numFmtId="0" fontId="0" fillId="2" borderId="0" xfId="0" applyFill="1"/>
    <xf numFmtId="165" fontId="0" fillId="3" borderId="0" xfId="0" applyNumberFormat="1" applyFill="1"/>
    <xf numFmtId="1" fontId="0" fillId="3" borderId="0" xfId="0" applyNumberFormat="1" applyFill="1"/>
    <xf numFmtId="0" fontId="0" fillId="3" borderId="0" xfId="0" applyFill="1"/>
    <xf numFmtId="1" fontId="0" fillId="0" borderId="0" xfId="0" applyNumberFormat="1" applyFill="1"/>
    <xf numFmtId="0" fontId="1" fillId="0" borderId="0" xfId="0" applyFont="1"/>
    <xf numFmtId="0" fontId="2" fillId="0" borderId="0" xfId="0" applyFont="1"/>
    <xf numFmtId="164" fontId="0" fillId="2" borderId="0" xfId="0" applyNumberFormat="1" applyFill="1"/>
    <xf numFmtId="0" fontId="1" fillId="0" borderId="0" xfId="0" applyFont="1" applyAlignment="1">
      <alignment horizontal="right"/>
    </xf>
    <xf numFmtId="0" fontId="3" fillId="0" borderId="0" xfId="1" applyFont="1" applyAlignment="1" applyProtection="1"/>
    <xf numFmtId="14" fontId="0" fillId="0" borderId="0" xfId="0" applyNumberFormat="1"/>
    <xf numFmtId="1" fontId="0" fillId="0" borderId="0" xfId="0" applyNumberFormat="1"/>
    <xf numFmtId="0" fontId="4" fillId="0" borderId="0" xfId="0" quotePrefix="1" applyFont="1"/>
    <xf numFmtId="0" fontId="4" fillId="0" borderId="0" xfId="0" applyFont="1"/>
    <xf numFmtId="0" fontId="0" fillId="0" borderId="1" xfId="0" applyBorder="1" applyAlignment="1">
      <alignment horizontal="center"/>
    </xf>
  </cellXfs>
  <cellStyles count="2">
    <cellStyle name="Hyperlink" xfId="1" builtinId="8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'BN-73-202'!$B$26:$AE$26</c:f>
              <c:numCache>
                <c:formatCode>0</c:formatCode>
                <c:ptCount val="30"/>
                <c:pt idx="0">
                  <c:v>152.61367026165999</c:v>
                </c:pt>
                <c:pt idx="1">
                  <c:v>199.98219297820401</c:v>
                </c:pt>
                <c:pt idx="2">
                  <c:v>363.56368117906698</c:v>
                </c:pt>
                <c:pt idx="3">
                  <c:v>414.58733260091901</c:v>
                </c:pt>
                <c:pt idx="4">
                  <c:v>509.65311307856899</c:v>
                </c:pt>
                <c:pt idx="5">
                  <c:v>554.04019898628906</c:v>
                </c:pt>
                <c:pt idx="6">
                  <c:v>593.51890805242999</c:v>
                </c:pt>
                <c:pt idx="7">
                  <c:v>649.90238114159797</c:v>
                </c:pt>
                <c:pt idx="8">
                  <c:v>711.58893980238804</c:v>
                </c:pt>
                <c:pt idx="9">
                  <c:v>768.08132899578504</c:v>
                </c:pt>
                <c:pt idx="10">
                  <c:v>819.17347792729697</c:v>
                </c:pt>
                <c:pt idx="11">
                  <c:v>865.96224605119698</c:v>
                </c:pt>
                <c:pt idx="12">
                  <c:v>951.35908188448605</c:v>
                </c:pt>
                <c:pt idx="13">
                  <c:v>1030.0347751367401</c:v>
                </c:pt>
                <c:pt idx="14">
                  <c:v>1105.19722896146</c:v>
                </c:pt>
                <c:pt idx="15">
                  <c:v>1174.3264391254399</c:v>
                </c:pt>
                <c:pt idx="16">
                  <c:v>1229.56766195966</c:v>
                </c:pt>
                <c:pt idx="17">
                  <c:v>1264.1780774593799</c:v>
                </c:pt>
                <c:pt idx="18">
                  <c:v>1279.81561260542</c:v>
                </c:pt>
                <c:pt idx="19">
                  <c:v>1281.4049904501801</c:v>
                </c:pt>
                <c:pt idx="20">
                  <c:v>1273.32525502863</c:v>
                </c:pt>
                <c:pt idx="21">
                  <c:v>1258.5738390051499</c:v>
                </c:pt>
                <c:pt idx="22">
                  <c:v>1237.8601583110601</c:v>
                </c:pt>
                <c:pt idx="23">
                  <c:v>1210.8936499931001</c:v>
                </c:pt>
                <c:pt idx="24">
                  <c:v>1179.48515315538</c:v>
                </c:pt>
                <c:pt idx="25">
                  <c:v>1085.71036396816</c:v>
                </c:pt>
                <c:pt idx="26">
                  <c:v>1023.68397016839</c:v>
                </c:pt>
                <c:pt idx="27">
                  <c:v>955.27357658210201</c:v>
                </c:pt>
                <c:pt idx="28">
                  <c:v>895.74805000752599</c:v>
                </c:pt>
                <c:pt idx="29">
                  <c:v>834.09831912054096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'BN-73-202'!$A$27</c:f>
              <c:strCache>
                <c:ptCount val="1"/>
                <c:pt idx="0">
                  <c:v>X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'BN-73-202'!$B$27:$AE$27</c:f>
              <c:numCache>
                <c:formatCode>0</c:formatCode>
                <c:ptCount val="30"/>
                <c:pt idx="0">
                  <c:v>361.50624486068</c:v>
                </c:pt>
                <c:pt idx="1">
                  <c:v>396.613442269443</c:v>
                </c:pt>
                <c:pt idx="2">
                  <c:v>415.41475287285903</c:v>
                </c:pt>
                <c:pt idx="3">
                  <c:v>425.39346055092898</c:v>
                </c:pt>
                <c:pt idx="4">
                  <c:v>447.17888627813602</c:v>
                </c:pt>
                <c:pt idx="5">
                  <c:v>439.56751546786899</c:v>
                </c:pt>
                <c:pt idx="6">
                  <c:v>439.73628506944499</c:v>
                </c:pt>
                <c:pt idx="7">
                  <c:v>452.59401155621299</c:v>
                </c:pt>
                <c:pt idx="8">
                  <c:v>462.22880664917199</c:v>
                </c:pt>
                <c:pt idx="9">
                  <c:v>461.006301978956</c:v>
                </c:pt>
                <c:pt idx="10">
                  <c:v>451.71564772019502</c:v>
                </c:pt>
                <c:pt idx="11">
                  <c:v>438.24687260852102</c:v>
                </c:pt>
                <c:pt idx="12">
                  <c:v>405.24026841230301</c:v>
                </c:pt>
                <c:pt idx="13">
                  <c:v>363.275865458277</c:v>
                </c:pt>
                <c:pt idx="14">
                  <c:v>309.005693374526</c:v>
                </c:pt>
                <c:pt idx="15">
                  <c:v>242.272845785237</c:v>
                </c:pt>
                <c:pt idx="16">
                  <c:v>164.82460482611299</c:v>
                </c:pt>
                <c:pt idx="17">
                  <c:v>83.4961757851475</c:v>
                </c:pt>
                <c:pt idx="18">
                  <c:v>4.7054400365923401</c:v>
                </c:pt>
                <c:pt idx="19">
                  <c:v>-67.293194375020093</c:v>
                </c:pt>
                <c:pt idx="20">
                  <c:v>-131.84634336287499</c:v>
                </c:pt>
                <c:pt idx="21">
                  <c:v>-190.76360261150401</c:v>
                </c:pt>
                <c:pt idx="22">
                  <c:v>-245.51824932994401</c:v>
                </c:pt>
                <c:pt idx="23">
                  <c:v>-297.13070034913602</c:v>
                </c:pt>
                <c:pt idx="24">
                  <c:v>-344.54131666621203</c:v>
                </c:pt>
                <c:pt idx="25">
                  <c:v>-448.51437065040199</c:v>
                </c:pt>
                <c:pt idx="26">
                  <c:v>-494.12486207044901</c:v>
                </c:pt>
                <c:pt idx="27">
                  <c:v>-530.33697532707504</c:v>
                </c:pt>
                <c:pt idx="28">
                  <c:v>-553.19994168279095</c:v>
                </c:pt>
                <c:pt idx="29">
                  <c:v>-570.47266549458902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'BN-73-202'!$A$28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'BN-73-202'!$B$28:$AE$28</c:f>
              <c:numCache>
                <c:formatCode>0</c:formatCode>
                <c:ptCount val="30"/>
                <c:pt idx="0">
                  <c:v>392.39992026503342</c:v>
                </c:pt>
                <c:pt idx="1">
                  <c:v>444.17913064121825</c:v>
                </c:pt>
                <c:pt idx="2">
                  <c:v>552.03982390484543</c:v>
                </c:pt>
                <c:pt idx="3">
                  <c:v>594.00526313547073</c:v>
                </c:pt>
                <c:pt idx="4">
                  <c:v>678.02304680861027</c:v>
                </c:pt>
                <c:pt idx="5">
                  <c:v>707.2341498735492</c:v>
                </c:pt>
                <c:pt idx="6">
                  <c:v>738.66954358659257</c:v>
                </c:pt>
                <c:pt idx="7">
                  <c:v>791.9687142242833</c:v>
                </c:pt>
                <c:pt idx="8">
                  <c:v>848.53655722390897</c:v>
                </c:pt>
                <c:pt idx="9">
                  <c:v>895.81010176054826</c:v>
                </c:pt>
                <c:pt idx="10">
                  <c:v>935.46363549567172</c:v>
                </c:pt>
                <c:pt idx="11">
                  <c:v>970.54156682605981</c:v>
                </c:pt>
                <c:pt idx="12">
                  <c:v>1034.0714568282831</c:v>
                </c:pt>
                <c:pt idx="13">
                  <c:v>1092.2183812843725</c:v>
                </c:pt>
                <c:pt idx="14">
                  <c:v>1147.582429911665</c:v>
                </c:pt>
                <c:pt idx="15">
                  <c:v>1199.0574287472275</c:v>
                </c:pt>
                <c:pt idx="16">
                  <c:v>1240.5659134818386</c:v>
                </c:pt>
                <c:pt idx="17">
                  <c:v>1266.9324460679181</c:v>
                </c:pt>
                <c:pt idx="18">
                  <c:v>1279.8242627152074</c:v>
                </c:pt>
                <c:pt idx="19">
                  <c:v>1283.1707304797053</c:v>
                </c:pt>
                <c:pt idx="20">
                  <c:v>1280.1330647053401</c:v>
                </c:pt>
                <c:pt idx="21">
                  <c:v>1272.9488836200301</c:v>
                </c:pt>
                <c:pt idx="22">
                  <c:v>1261.9734475368027</c:v>
                </c:pt>
                <c:pt idx="23">
                  <c:v>1246.8159786767174</c:v>
                </c:pt>
                <c:pt idx="24">
                  <c:v>1228.7774189836241</c:v>
                </c:pt>
                <c:pt idx="25">
                  <c:v>1174.705126875592</c:v>
                </c:pt>
                <c:pt idx="26">
                  <c:v>1136.7005982649334</c:v>
                </c:pt>
                <c:pt idx="27">
                  <c:v>1092.6137988855128</c:v>
                </c:pt>
                <c:pt idx="28">
                  <c:v>1052.803279141041</c:v>
                </c:pt>
                <c:pt idx="29">
                  <c:v>1010.5241550978448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3683568"/>
        <c:axId val="373682392"/>
      </c:scatterChart>
      <c:valAx>
        <c:axId val="37368356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682392"/>
        <c:crosses val="autoZero"/>
        <c:crossBetween val="midCat"/>
      </c:valAx>
      <c:valAx>
        <c:axId val="37368239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7368356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Relative Permeability</a:t>
            </a:r>
          </a:p>
        </c:rich>
      </c:tx>
      <c:layout>
        <c:manualLayout>
          <c:xMode val="edge"/>
          <c:yMode val="edge"/>
          <c:x val="0.39799366216346699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1906413228350063E-2"/>
          <c:y val="0.14508944384922992"/>
          <c:w val="0.80100399852045756"/>
          <c:h val="0.71428649279620882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'BN-73-202'!$A$19</c:f>
              <c:strCache>
                <c:ptCount val="1"/>
                <c:pt idx="0">
                  <c:v>µ''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'BN-73-202'!$B$19:$AE$19</c:f>
              <c:numCache>
                <c:formatCode>0</c:formatCode>
                <c:ptCount val="30"/>
                <c:pt idx="0">
                  <c:v>1008.474438524378</c:v>
                </c:pt>
                <c:pt idx="1">
                  <c:v>1096.5224302244746</c:v>
                </c:pt>
                <c:pt idx="2">
                  <c:v>1315.4077918841156</c:v>
                </c:pt>
                <c:pt idx="3">
                  <c:v>1344.73888337266</c:v>
                </c:pt>
                <c:pt idx="4">
                  <c:v>1309.0454962710626</c:v>
                </c:pt>
                <c:pt idx="5">
                  <c:v>1176.6885594577207</c:v>
                </c:pt>
                <c:pt idx="6">
                  <c:v>1071.2031537788589</c:v>
                </c:pt>
                <c:pt idx="7">
                  <c:v>1015.4111176771675</c:v>
                </c:pt>
                <c:pt idx="8">
                  <c:v>977.51422405264418</c:v>
                </c:pt>
                <c:pt idx="9">
                  <c:v>940.55318033441972</c:v>
                </c:pt>
                <c:pt idx="10">
                  <c:v>904.45129345633688</c:v>
                </c:pt>
                <c:pt idx="11">
                  <c:v>870.0373999752328</c:v>
                </c:pt>
                <c:pt idx="12">
                  <c:v>808.82143252607545</c:v>
                </c:pt>
                <c:pt idx="13">
                  <c:v>758.74208547908893</c:v>
                </c:pt>
                <c:pt idx="14">
                  <c:v>719.81653207649549</c:v>
                </c:pt>
                <c:pt idx="15">
                  <c:v>688.55295507307926</c:v>
                </c:pt>
                <c:pt idx="16">
                  <c:v>659.96790828542112</c:v>
                </c:pt>
                <c:pt idx="17">
                  <c:v>630.11902693490038</c:v>
                </c:pt>
                <c:pt idx="18">
                  <c:v>599.135075084758</c:v>
                </c:pt>
                <c:pt idx="19">
                  <c:v>568.13461900419054</c:v>
                </c:pt>
                <c:pt idx="20">
                  <c:v>538.23622620412345</c:v>
                </c:pt>
                <c:pt idx="21">
                  <c:v>510.40732438497804</c:v>
                </c:pt>
                <c:pt idx="22">
                  <c:v>484.75212189525962</c:v>
                </c:pt>
                <c:pt idx="23">
                  <c:v>461.06894171160809</c:v>
                </c:pt>
                <c:pt idx="24">
                  <c:v>439.15572862436142</c:v>
                </c:pt>
                <c:pt idx="25">
                  <c:v>382.02406156220991</c:v>
                </c:pt>
                <c:pt idx="26">
                  <c:v>349.55451135030944</c:v>
                </c:pt>
                <c:pt idx="27">
                  <c:v>320.90950503555433</c:v>
                </c:pt>
                <c:pt idx="28">
                  <c:v>295.64963377859482</c:v>
                </c:pt>
                <c:pt idx="29">
                  <c:v>273.33685175710718</c:v>
                </c:pt>
              </c:numCache>
            </c:numRef>
          </c:yVal>
          <c:smooth val="0"/>
        </c:ser>
        <c:ser>
          <c:idx val="1"/>
          <c:order val="1"/>
          <c:tx>
            <c:strRef>
              <c:f>'BN-73-202'!$A$20</c:f>
              <c:strCache>
                <c:ptCount val="1"/>
                <c:pt idx="0">
                  <c:v>µ'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'BN-73-202'!$B$20:$AE$20</c:f>
              <c:numCache>
                <c:formatCode>0</c:formatCode>
                <c:ptCount val="30"/>
                <c:pt idx="0">
                  <c:v>2408.0202920390539</c:v>
                </c:pt>
                <c:pt idx="1">
                  <c:v>2199.1407868443675</c:v>
                </c:pt>
                <c:pt idx="2">
                  <c:v>1540.4204477093901</c:v>
                </c:pt>
                <c:pt idx="3">
                  <c:v>1422.9345221206945</c:v>
                </c:pt>
                <c:pt idx="4">
                  <c:v>1204.2232083931372</c:v>
                </c:pt>
                <c:pt idx="5">
                  <c:v>993.6393415175736</c:v>
                </c:pt>
                <c:pt idx="6">
                  <c:v>858.62013244361776</c:v>
                </c:pt>
                <c:pt idx="7">
                  <c:v>781.02291322424003</c:v>
                </c:pt>
                <c:pt idx="8">
                  <c:v>718.86406138452378</c:v>
                </c:pt>
                <c:pt idx="9">
                  <c:v>657.13932295796235</c:v>
                </c:pt>
                <c:pt idx="10">
                  <c:v>598.90779311343374</c:v>
                </c:pt>
                <c:pt idx="11">
                  <c:v>547.34270284178956</c:v>
                </c:pt>
                <c:pt idx="12">
                  <c:v>464.47729137838638</c:v>
                </c:pt>
                <c:pt idx="13">
                  <c:v>400.10664707536381</c:v>
                </c:pt>
                <c:pt idx="14">
                  <c:v>346.76605069083206</c:v>
                </c:pt>
                <c:pt idx="15">
                  <c:v>300.95601456470132</c:v>
                </c:pt>
                <c:pt idx="16">
                  <c:v>259.74817348479581</c:v>
                </c:pt>
                <c:pt idx="17">
                  <c:v>222.58673898321507</c:v>
                </c:pt>
                <c:pt idx="18">
                  <c:v>190.10095884267454</c:v>
                </c:pt>
                <c:pt idx="19">
                  <c:v>162.81160083529107</c:v>
                </c:pt>
                <c:pt idx="20">
                  <c:v>140.12406675106945</c:v>
                </c:pt>
                <c:pt idx="21">
                  <c:v>120.82669631612335</c:v>
                </c:pt>
                <c:pt idx="22">
                  <c:v>103.7012976241063</c:v>
                </c:pt>
                <c:pt idx="23">
                  <c:v>87.696738686118977</c:v>
                </c:pt>
                <c:pt idx="24">
                  <c:v>73.056200825802989</c:v>
                </c:pt>
                <c:pt idx="25">
                  <c:v>43.536324528004357</c:v>
                </c:pt>
                <c:pt idx="26">
                  <c:v>30.869350099132408</c:v>
                </c:pt>
                <c:pt idx="27">
                  <c:v>18.386721560905574</c:v>
                </c:pt>
                <c:pt idx="28">
                  <c:v>10.494890899429357</c:v>
                </c:pt>
                <c:pt idx="29">
                  <c:v>2.2871020480833768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259608"/>
        <c:axId val="312259216"/>
      </c:scatterChart>
      <c:valAx>
        <c:axId val="312259608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3913046989527646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2259216"/>
        <c:crosses val="autoZero"/>
        <c:crossBetween val="midCat"/>
      </c:valAx>
      <c:valAx>
        <c:axId val="31225921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2259608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1137193971154939"/>
          <c:y val="0.45982189726284212"/>
          <c:w val="7.5250836120401288E-2"/>
          <c:h val="8.7053571428571452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Parallel</a:t>
            </a:r>
            <a:r>
              <a:rPr lang="en-AU" baseline="0"/>
              <a:t> </a:t>
            </a:r>
            <a:r>
              <a:rPr lang="en-AU"/>
              <a:t>Impedance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541816260758731"/>
          <c:y val="0.14508944384922992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'BN-73-202'!$B$60:$AE$60</c:f>
              <c:numCache>
                <c:formatCode>0</c:formatCode>
                <c:ptCount val="30"/>
                <c:pt idx="0">
                  <c:v>1008.9377783786078</c:v>
                </c:pt>
                <c:pt idx="1">
                  <c:v>986.56333926036768</c:v>
                </c:pt>
                <c:pt idx="2">
                  <c:v>838.2244513218975</c:v>
                </c:pt>
                <c:pt idx="3">
                  <c:v>851.06858045825743</c:v>
                </c:pt>
                <c:pt idx="4">
                  <c:v>902.0159795094994</c:v>
                </c:pt>
                <c:pt idx="5">
                  <c:v>902.78673580459849</c:v>
                </c:pt>
                <c:pt idx="6">
                  <c:v>919.31813328889768</c:v>
                </c:pt>
                <c:pt idx="7">
                  <c:v>965.09023894991628</c:v>
                </c:pt>
                <c:pt idx="8">
                  <c:v>1011.8401912561434</c:v>
                </c:pt>
                <c:pt idx="9">
                  <c:v>1044.7796452303135</c:v>
                </c:pt>
                <c:pt idx="10">
                  <c:v>1068.2623850920686</c:v>
                </c:pt>
                <c:pt idx="11">
                  <c:v>1087.7505771556387</c:v>
                </c:pt>
                <c:pt idx="12">
                  <c:v>1123.9749514020014</c:v>
                </c:pt>
                <c:pt idx="13">
                  <c:v>1158.1560362921618</c:v>
                </c:pt>
                <c:pt idx="14">
                  <c:v>1191.5931373438914</c:v>
                </c:pt>
                <c:pt idx="15">
                  <c:v>1224.3092461621197</c:v>
                </c:pt>
                <c:pt idx="16">
                  <c:v>1251.6625422957172</c:v>
                </c:pt>
                <c:pt idx="17">
                  <c:v>1269.6928158455698</c:v>
                </c:pt>
                <c:pt idx="18">
                  <c:v>1279.8329128834607</c:v>
                </c:pt>
                <c:pt idx="19">
                  <c:v>1284.9389036493189</c:v>
                </c:pt>
                <c:pt idx="20">
                  <c:v>1286.9772722092453</c:v>
                </c:pt>
                <c:pt idx="21">
                  <c:v>1287.4881155883061</c:v>
                </c:pt>
                <c:pt idx="22">
                  <c:v>1286.5564592214037</c:v>
                </c:pt>
                <c:pt idx="23">
                  <c:v>1283.8039779070928</c:v>
                </c:pt>
                <c:pt idx="24">
                  <c:v>1280.1296746845526</c:v>
                </c:pt>
                <c:pt idx="25">
                  <c:v>1270.9947154453707</c:v>
                </c:pt>
                <c:pt idx="26">
                  <c:v>1262.1944738309387</c:v>
                </c:pt>
                <c:pt idx="27">
                  <c:v>1249.6995026140853</c:v>
                </c:pt>
                <c:pt idx="28">
                  <c:v>1237.3956544597736</c:v>
                </c:pt>
                <c:pt idx="29">
                  <c:v>1224.2670253944475</c:v>
                </c:pt>
              </c:numCache>
            </c:numRef>
          </c:yVal>
          <c:smooth val="0"/>
        </c:ser>
        <c:ser>
          <c:idx val="2"/>
          <c:order val="1"/>
          <c:tx>
            <c:strRef>
              <c:f>'BN-73-202'!$A$28</c:f>
              <c:strCache>
                <c:ptCount val="1"/>
                <c:pt idx="0">
                  <c:v>|Z|</c:v>
                </c:pt>
              </c:strCache>
            </c:strRef>
          </c:tx>
          <c:spPr>
            <a:ln w="12700">
              <a:solidFill>
                <a:srgbClr val="FF660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'BN-73-202'!$B$61:$AE$61</c:f>
              <c:numCache>
                <c:formatCode>0</c:formatCode>
                <c:ptCount val="30"/>
                <c:pt idx="0">
                  <c:v>425.93371376847364</c:v>
                </c:pt>
                <c:pt idx="1">
                  <c:v>497.44935261965799</c:v>
                </c:pt>
                <c:pt idx="2">
                  <c:v>733.59928858897172</c:v>
                </c:pt>
                <c:pt idx="3">
                  <c:v>829.44916965971288</c:v>
                </c:pt>
                <c:pt idx="4">
                  <c:v>1028.0343417593672</c:v>
                </c:pt>
                <c:pt idx="5">
                  <c:v>1137.8915073261901</c:v>
                </c:pt>
                <c:pt idx="6">
                  <c:v>1240.8179928482746</c:v>
                </c:pt>
                <c:pt idx="7">
                  <c:v>1385.8213504713231</c:v>
                </c:pt>
                <c:pt idx="8">
                  <c:v>1557.7010315843208</c:v>
                </c:pt>
                <c:pt idx="9">
                  <c:v>1740.7044870568288</c:v>
                </c:pt>
                <c:pt idx="10">
                  <c:v>1937.2634482585718</c:v>
                </c:pt>
                <c:pt idx="11">
                  <c:v>2149.3614485610101</c:v>
                </c:pt>
                <c:pt idx="12">
                  <c:v>2638.6908241286337</c:v>
                </c:pt>
                <c:pt idx="13">
                  <c:v>3283.8432327744804</c:v>
                </c:pt>
                <c:pt idx="14">
                  <c:v>4261.8808056904554</c:v>
                </c:pt>
                <c:pt idx="15">
                  <c:v>5934.3782947446025</c:v>
                </c:pt>
                <c:pt idx="16">
                  <c:v>9337.2211467860216</c:v>
                </c:pt>
                <c:pt idx="17">
                  <c:v>19223.848371570082</c:v>
                </c:pt>
                <c:pt idx="18">
                  <c:v>348097.12390272418</c:v>
                </c:pt>
                <c:pt idx="19">
                  <c:v>-24467.959038827084</c:v>
                </c:pt>
                <c:pt idx="20">
                  <c:v>-12429.170362667179</c:v>
                </c:pt>
                <c:pt idx="21">
                  <c:v>-8494.2768857719366</c:v>
                </c:pt>
                <c:pt idx="22">
                  <c:v>-6486.5931010598979</c:v>
                </c:pt>
                <c:pt idx="23">
                  <c:v>-5231.8729867258644</c:v>
                </c:pt>
                <c:pt idx="24">
                  <c:v>-4382.3305721758297</c:v>
                </c:pt>
                <c:pt idx="25">
                  <c:v>-3076.6731801853434</c:v>
                </c:pt>
                <c:pt idx="26">
                  <c:v>-2614.9023238414602</c:v>
                </c:pt>
                <c:pt idx="27">
                  <c:v>-2251.0308898955714</c:v>
                </c:pt>
                <c:pt idx="28">
                  <c:v>-2003.6060401569805</c:v>
                </c:pt>
                <c:pt idx="29">
                  <c:v>-1790.0227825129664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12258432"/>
        <c:axId val="535080184"/>
      </c:scatterChart>
      <c:valAx>
        <c:axId val="312258432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5080184"/>
        <c:crosses val="autoZero"/>
        <c:crossBetween val="midCat"/>
      </c:valAx>
      <c:valAx>
        <c:axId val="535080184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312258432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90969969890887381"/>
          <c:y val="0.45758975440569927"/>
          <c:w val="7.6923076923076872E-2"/>
          <c:h val="0.1294645200599925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0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n-AU"/>
              <a:t>Rp</a:t>
            </a:r>
          </a:p>
        </c:rich>
      </c:tx>
      <c:layout>
        <c:manualLayout>
          <c:xMode val="edge"/>
          <c:yMode val="edge"/>
          <c:x val="0.4448164046383834"/>
          <c:y val="3.1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329504990220172"/>
          <c:y val="0.10937523434570678"/>
          <c:w val="0.74582000697311923"/>
          <c:h val="0.75223296272600748"/>
        </c:manualLayout>
      </c:layout>
      <c:scatterChart>
        <c:scatterStyle val="lineMarker"/>
        <c:varyColors val="0"/>
        <c:ser>
          <c:idx val="0"/>
          <c:order val="0"/>
          <c:tx>
            <c:strRef>
              <c:f>'BN-73-202'!$A$26</c:f>
              <c:strCache>
                <c:ptCount val="1"/>
                <c:pt idx="0">
                  <c:v>R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none"/>
          </c:marker>
          <c:xVal>
            <c:numRef>
              <c:f>'BN-73-202'!$B$18:$AE$18</c:f>
              <c:numCache>
                <c:formatCode>0.000</c:formatCode>
                <c:ptCount val="30"/>
                <c:pt idx="0">
                  <c:v>1</c:v>
                </c:pt>
                <c:pt idx="1">
                  <c:v>1.2</c:v>
                </c:pt>
                <c:pt idx="2">
                  <c:v>1.8</c:v>
                </c:pt>
                <c:pt idx="3">
                  <c:v>2</c:v>
                </c:pt>
                <c:pt idx="4">
                  <c:v>2.5</c:v>
                </c:pt>
                <c:pt idx="5">
                  <c:v>3</c:v>
                </c:pt>
                <c:pt idx="6">
                  <c:v>3.5</c:v>
                </c:pt>
                <c:pt idx="7">
                  <c:v>4</c:v>
                </c:pt>
                <c:pt idx="8">
                  <c:v>4.5</c:v>
                </c:pt>
                <c:pt idx="9">
                  <c:v>5</c:v>
                </c:pt>
                <c:pt idx="10">
                  <c:v>5.5</c:v>
                </c:pt>
                <c:pt idx="11">
                  <c:v>6</c:v>
                </c:pt>
                <c:pt idx="12">
                  <c:v>7</c:v>
                </c:pt>
                <c:pt idx="13">
                  <c:v>8</c:v>
                </c:pt>
                <c:pt idx="14">
                  <c:v>9</c:v>
                </c:pt>
                <c:pt idx="15">
                  <c:v>10</c:v>
                </c:pt>
                <c:pt idx="16">
                  <c:v>11</c:v>
                </c:pt>
                <c:pt idx="17">
                  <c:v>12</c:v>
                </c:pt>
                <c:pt idx="18">
                  <c:v>13</c:v>
                </c:pt>
                <c:pt idx="19">
                  <c:v>14</c:v>
                </c:pt>
                <c:pt idx="20">
                  <c:v>15</c:v>
                </c:pt>
                <c:pt idx="21">
                  <c:v>16</c:v>
                </c:pt>
                <c:pt idx="22">
                  <c:v>17</c:v>
                </c:pt>
                <c:pt idx="23">
                  <c:v>18</c:v>
                </c:pt>
                <c:pt idx="24">
                  <c:v>19</c:v>
                </c:pt>
                <c:pt idx="25">
                  <c:v>22</c:v>
                </c:pt>
                <c:pt idx="26">
                  <c:v>24</c:v>
                </c:pt>
                <c:pt idx="27">
                  <c:v>26</c:v>
                </c:pt>
                <c:pt idx="28">
                  <c:v>28</c:v>
                </c:pt>
                <c:pt idx="29">
                  <c:v>30</c:v>
                </c:pt>
              </c:numCache>
            </c:numRef>
          </c:xVal>
          <c:yVal>
            <c:numRef>
              <c:f>'BN-73-202'!$B$60:$AE$60</c:f>
              <c:numCache>
                <c:formatCode>0</c:formatCode>
                <c:ptCount val="30"/>
                <c:pt idx="0">
                  <c:v>1008.9377783786078</c:v>
                </c:pt>
                <c:pt idx="1">
                  <c:v>986.56333926036768</c:v>
                </c:pt>
                <c:pt idx="2">
                  <c:v>838.2244513218975</c:v>
                </c:pt>
                <c:pt idx="3">
                  <c:v>851.06858045825743</c:v>
                </c:pt>
                <c:pt idx="4">
                  <c:v>902.0159795094994</c:v>
                </c:pt>
                <c:pt idx="5">
                  <c:v>902.78673580459849</c:v>
                </c:pt>
                <c:pt idx="6">
                  <c:v>919.31813328889768</c:v>
                </c:pt>
                <c:pt idx="7">
                  <c:v>965.09023894991628</c:v>
                </c:pt>
                <c:pt idx="8">
                  <c:v>1011.8401912561434</c:v>
                </c:pt>
                <c:pt idx="9">
                  <c:v>1044.7796452303135</c:v>
                </c:pt>
                <c:pt idx="10">
                  <c:v>1068.2623850920686</c:v>
                </c:pt>
                <c:pt idx="11">
                  <c:v>1087.7505771556387</c:v>
                </c:pt>
                <c:pt idx="12">
                  <c:v>1123.9749514020014</c:v>
                </c:pt>
                <c:pt idx="13">
                  <c:v>1158.1560362921618</c:v>
                </c:pt>
                <c:pt idx="14">
                  <c:v>1191.5931373438914</c:v>
                </c:pt>
                <c:pt idx="15">
                  <c:v>1224.3092461621197</c:v>
                </c:pt>
                <c:pt idx="16">
                  <c:v>1251.6625422957172</c:v>
                </c:pt>
                <c:pt idx="17">
                  <c:v>1269.6928158455698</c:v>
                </c:pt>
                <c:pt idx="18">
                  <c:v>1279.8329128834607</c:v>
                </c:pt>
                <c:pt idx="19">
                  <c:v>1284.9389036493189</c:v>
                </c:pt>
                <c:pt idx="20">
                  <c:v>1286.9772722092453</c:v>
                </c:pt>
                <c:pt idx="21">
                  <c:v>1287.4881155883061</c:v>
                </c:pt>
                <c:pt idx="22">
                  <c:v>1286.5564592214037</c:v>
                </c:pt>
                <c:pt idx="23">
                  <c:v>1283.8039779070928</c:v>
                </c:pt>
                <c:pt idx="24">
                  <c:v>1280.1296746845526</c:v>
                </c:pt>
                <c:pt idx="25">
                  <c:v>1270.9947154453707</c:v>
                </c:pt>
                <c:pt idx="26">
                  <c:v>1262.1944738309387</c:v>
                </c:pt>
                <c:pt idx="27">
                  <c:v>1249.6995026140853</c:v>
                </c:pt>
                <c:pt idx="28">
                  <c:v>1237.3956544597736</c:v>
                </c:pt>
                <c:pt idx="29">
                  <c:v>1224.2670253944475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6879944"/>
        <c:axId val="536880336"/>
      </c:scatterChart>
      <c:valAx>
        <c:axId val="536879944"/>
        <c:scaling>
          <c:orientation val="minMax"/>
          <c:max val="30"/>
        </c:scaling>
        <c:delete val="0"/>
        <c:axPos val="b"/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Frequency (MHz)</a:t>
                </a:r>
              </a:p>
            </c:rich>
          </c:tx>
          <c:layout>
            <c:manualLayout>
              <c:xMode val="edge"/>
              <c:yMode val="edge"/>
              <c:x val="0.41806055179557405"/>
              <c:y val="0.9196437945256842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880336"/>
        <c:crosses val="autoZero"/>
        <c:crossBetween val="midCat"/>
      </c:valAx>
      <c:valAx>
        <c:axId val="536880336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2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n-AU"/>
                  <a:t>R, X, |Z| (Ohms)</a:t>
                </a:r>
              </a:p>
            </c:rich>
          </c:tx>
          <c:layout>
            <c:manualLayout>
              <c:xMode val="edge"/>
              <c:yMode val="edge"/>
              <c:x val="2.6755852842809364E-2"/>
              <c:y val="0.4241076115485564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n-US"/>
          </a:p>
        </c:txPr>
        <c:crossAx val="536879944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n-US"/>
    </a:p>
  </c:txPr>
  <c:printSettings>
    <c:headerFooter alignWithMargins="0"/>
    <c:pageMargins b="1" l="0.75" r="0.75" t="1" header="0.5" footer="0.5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466725</xdr:colOff>
      <xdr:row>0</xdr:row>
      <xdr:rowOff>114300</xdr:rowOff>
    </xdr:from>
    <xdr:to>
      <xdr:col>19</xdr:col>
      <xdr:colOff>66675</xdr:colOff>
      <xdr:row>26</xdr:row>
      <xdr:rowOff>76200</xdr:rowOff>
    </xdr:to>
    <xdr:graphicFrame macro="">
      <xdr:nvGraphicFramePr>
        <xdr:cNvPr id="1069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933450</xdr:colOff>
      <xdr:row>29</xdr:row>
      <xdr:rowOff>9525</xdr:rowOff>
    </xdr:from>
    <xdr:to>
      <xdr:col>8</xdr:col>
      <xdr:colOff>247650</xdr:colOff>
      <xdr:row>55</xdr:row>
      <xdr:rowOff>66675</xdr:rowOff>
    </xdr:to>
    <xdr:graphicFrame macro="">
      <xdr:nvGraphicFramePr>
        <xdr:cNvPr id="1070" name="Chart 2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63</xdr:row>
      <xdr:rowOff>0</xdr:rowOff>
    </xdr:from>
    <xdr:to>
      <xdr:col>14</xdr:col>
      <xdr:colOff>238125</xdr:colOff>
      <xdr:row>89</xdr:row>
      <xdr:rowOff>57150</xdr:rowOff>
    </xdr:to>
    <xdr:graphicFrame macro="">
      <xdr:nvGraphicFramePr>
        <xdr:cNvPr id="4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257175</xdr:colOff>
      <xdr:row>29</xdr:row>
      <xdr:rowOff>95250</xdr:rowOff>
    </xdr:from>
    <xdr:to>
      <xdr:col>18</xdr:col>
      <xdr:colOff>209550</xdr:colOff>
      <xdr:row>55</xdr:row>
      <xdr:rowOff>152400</xdr:rowOff>
    </xdr:to>
    <xdr:graphicFrame macro="">
      <xdr:nvGraphicFramePr>
        <xdr:cNvPr id="5" name="Chart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hyperlink" Target="http://vk1od.net/blog/?p=806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E61"/>
  <sheetViews>
    <sheetView tabSelected="1" topLeftCell="K37" workbookViewId="0">
      <selection activeCell="A60" sqref="A60:AE61"/>
    </sheetView>
  </sheetViews>
  <sheetFormatPr defaultRowHeight="12.75" x14ac:dyDescent="0.2"/>
  <cols>
    <col min="1" max="1" width="22" customWidth="1"/>
    <col min="2" max="2" width="12.5703125" bestFit="1" customWidth="1"/>
    <col min="3" max="3" width="13.28515625" bestFit="1" customWidth="1"/>
    <col min="4" max="31" width="9.5703125" bestFit="1" customWidth="1"/>
  </cols>
  <sheetData>
    <row r="1" spans="1:8" ht="20.25" x14ac:dyDescent="0.3">
      <c r="A1" s="9" t="s">
        <v>25</v>
      </c>
    </row>
    <row r="3" spans="1:8" x14ac:dyDescent="0.2">
      <c r="A3" s="8" t="s">
        <v>27</v>
      </c>
    </row>
    <row r="4" spans="1:8" x14ac:dyDescent="0.2">
      <c r="A4" s="12" t="s">
        <v>26</v>
      </c>
      <c r="H4" s="15" t="s">
        <v>33</v>
      </c>
    </row>
    <row r="6" spans="1:8" x14ac:dyDescent="0.2">
      <c r="A6" s="8" t="s">
        <v>16</v>
      </c>
    </row>
    <row r="7" spans="1:8" x14ac:dyDescent="0.2">
      <c r="A7" t="s">
        <v>1</v>
      </c>
      <c r="B7" s="3">
        <v>6600</v>
      </c>
    </row>
    <row r="8" spans="1:8" x14ac:dyDescent="0.2">
      <c r="A8" t="s">
        <v>5</v>
      </c>
      <c r="B8" s="3">
        <v>3</v>
      </c>
    </row>
    <row r="9" spans="1:8" x14ac:dyDescent="0.2">
      <c r="A9" t="s">
        <v>8</v>
      </c>
      <c r="B9" s="3">
        <v>3</v>
      </c>
    </row>
    <row r="11" spans="1:8" x14ac:dyDescent="0.2">
      <c r="A11" s="8" t="s">
        <v>17</v>
      </c>
    </row>
    <row r="12" spans="1:8" x14ac:dyDescent="0.2">
      <c r="A12" t="s">
        <v>18</v>
      </c>
      <c r="B12" t="str">
        <f>Mix!B1</f>
        <v>#73</v>
      </c>
    </row>
    <row r="13" spans="1:8" x14ac:dyDescent="0.2">
      <c r="A13" t="s">
        <v>29</v>
      </c>
      <c r="B13">
        <f>Mix!B2</f>
        <v>2500</v>
      </c>
    </row>
    <row r="15" spans="1:8" x14ac:dyDescent="0.2">
      <c r="A15" s="8" t="s">
        <v>19</v>
      </c>
    </row>
    <row r="16" spans="1:8" x14ac:dyDescent="0.2">
      <c r="A16" s="2" t="s">
        <v>9</v>
      </c>
      <c r="B16" s="4">
        <f>2*PI()*$B$8^2*$B$7*0.000000001</f>
        <v>3.7322120724646746E-4</v>
      </c>
    </row>
    <row r="18" spans="1:31" x14ac:dyDescent="0.2">
      <c r="A18" t="s">
        <v>2</v>
      </c>
      <c r="B18" s="10">
        <v>1</v>
      </c>
      <c r="C18" s="10">
        <v>1.2</v>
      </c>
      <c r="D18" s="10">
        <v>1.8</v>
      </c>
      <c r="E18" s="10">
        <v>2</v>
      </c>
      <c r="F18" s="10">
        <v>2.5</v>
      </c>
      <c r="G18" s="10">
        <v>3</v>
      </c>
      <c r="H18" s="10">
        <v>3.5</v>
      </c>
      <c r="I18" s="10">
        <v>4</v>
      </c>
      <c r="J18" s="10">
        <v>4.5</v>
      </c>
      <c r="K18" s="10">
        <v>5</v>
      </c>
      <c r="L18" s="10">
        <v>5.5</v>
      </c>
      <c r="M18" s="10">
        <v>6</v>
      </c>
      <c r="N18" s="10">
        <f t="shared" ref="N18:Z18" si="0">M18+1</f>
        <v>7</v>
      </c>
      <c r="O18" s="10">
        <f t="shared" si="0"/>
        <v>8</v>
      </c>
      <c r="P18" s="10">
        <f t="shared" si="0"/>
        <v>9</v>
      </c>
      <c r="Q18" s="10">
        <f t="shared" si="0"/>
        <v>10</v>
      </c>
      <c r="R18" s="10">
        <f t="shared" si="0"/>
        <v>11</v>
      </c>
      <c r="S18" s="10">
        <f t="shared" si="0"/>
        <v>12</v>
      </c>
      <c r="T18" s="10">
        <f t="shared" si="0"/>
        <v>13</v>
      </c>
      <c r="U18" s="10">
        <f t="shared" si="0"/>
        <v>14</v>
      </c>
      <c r="V18" s="10">
        <f t="shared" si="0"/>
        <v>15</v>
      </c>
      <c r="W18" s="10">
        <f t="shared" si="0"/>
        <v>16</v>
      </c>
      <c r="X18" s="10">
        <f t="shared" si="0"/>
        <v>17</v>
      </c>
      <c r="Y18" s="10">
        <f t="shared" si="0"/>
        <v>18</v>
      </c>
      <c r="Z18" s="10">
        <f t="shared" si="0"/>
        <v>19</v>
      </c>
      <c r="AA18" s="10">
        <v>22</v>
      </c>
      <c r="AB18" s="10">
        <v>24</v>
      </c>
      <c r="AC18" s="10">
        <v>26</v>
      </c>
      <c r="AD18" s="10">
        <v>28</v>
      </c>
      <c r="AE18" s="10">
        <v>30</v>
      </c>
    </row>
    <row r="19" spans="1:31" x14ac:dyDescent="0.2">
      <c r="A19" t="s">
        <v>4</v>
      </c>
      <c r="B19" s="7">
        <f>csinterpolate(CSTableU2,'BN-73-202'!B18*1000000)</f>
        <v>1008.474438524378</v>
      </c>
      <c r="C19" s="7">
        <f>csinterpolate(CSTableU2,'BN-73-202'!C18*1000000)</f>
        <v>1096.5224302244746</v>
      </c>
      <c r="D19" s="7">
        <f>csinterpolate(CSTableU2,'BN-73-202'!D18*1000000)</f>
        <v>1315.4077918841156</v>
      </c>
      <c r="E19" s="7">
        <f>csinterpolate(CSTableU2,'BN-73-202'!E18*1000000)</f>
        <v>1344.73888337266</v>
      </c>
      <c r="F19" s="7">
        <f>csinterpolate(CSTableU2,'BN-73-202'!F18*1000000)</f>
        <v>1309.0454962710626</v>
      </c>
      <c r="G19" s="7">
        <f>csinterpolate(CSTableU2,'BN-73-202'!G18*1000000)</f>
        <v>1176.6885594577207</v>
      </c>
      <c r="H19" s="7">
        <f>csinterpolate(CSTableU2,'BN-73-202'!H18*1000000)</f>
        <v>1071.2031537788589</v>
      </c>
      <c r="I19" s="7">
        <f>csinterpolate(CSTableU2,'BN-73-202'!I18*1000000)</f>
        <v>1015.4111176771675</v>
      </c>
      <c r="J19" s="7">
        <f>csinterpolate(CSTableU2,'BN-73-202'!J18*1000000)</f>
        <v>977.51422405264418</v>
      </c>
      <c r="K19" s="7">
        <f>csinterpolate(CSTableU2,'BN-73-202'!K18*1000000)</f>
        <v>940.55318033441972</v>
      </c>
      <c r="L19" s="7">
        <f>csinterpolate(CSTableU2,'BN-73-202'!L18*1000000)</f>
        <v>904.45129345633688</v>
      </c>
      <c r="M19" s="7">
        <f>csinterpolate(CSTableU2,'BN-73-202'!M18*1000000)</f>
        <v>870.0373999752328</v>
      </c>
      <c r="N19" s="7">
        <f>csinterpolate(CSTableU2,'BN-73-202'!N18*1000000)</f>
        <v>808.82143252607545</v>
      </c>
      <c r="O19" s="7">
        <f>csinterpolate(CSTableU2,'BN-73-202'!O18*1000000)</f>
        <v>758.74208547908893</v>
      </c>
      <c r="P19" s="7">
        <f>csinterpolate(CSTableU2,'BN-73-202'!P18*1000000)</f>
        <v>719.81653207649549</v>
      </c>
      <c r="Q19" s="7">
        <f>csinterpolate(CSTableU2,'BN-73-202'!Q18*1000000)</f>
        <v>688.55295507307926</v>
      </c>
      <c r="R19" s="7">
        <f>csinterpolate(CSTableU2,'BN-73-202'!R18*1000000)</f>
        <v>659.96790828542112</v>
      </c>
      <c r="S19" s="7">
        <f>csinterpolate(CSTableU2,'BN-73-202'!S18*1000000)</f>
        <v>630.11902693490038</v>
      </c>
      <c r="T19" s="7">
        <f>csinterpolate(CSTableU2,'BN-73-202'!T18*1000000)</f>
        <v>599.135075084758</v>
      </c>
      <c r="U19" s="7">
        <f>csinterpolate(CSTableU2,'BN-73-202'!U18*1000000)</f>
        <v>568.13461900419054</v>
      </c>
      <c r="V19" s="7">
        <f>csinterpolate(CSTableU2,'BN-73-202'!V18*1000000)</f>
        <v>538.23622620412345</v>
      </c>
      <c r="W19" s="7">
        <f>csinterpolate(CSTableU2,'BN-73-202'!W18*1000000)</f>
        <v>510.40732438497804</v>
      </c>
      <c r="X19" s="7">
        <f>csinterpolate(CSTableU2,'BN-73-202'!X18*1000000)</f>
        <v>484.75212189525962</v>
      </c>
      <c r="Y19" s="7">
        <f>csinterpolate(CSTableU2,'BN-73-202'!Y18*1000000)</f>
        <v>461.06894171160809</v>
      </c>
      <c r="Z19" s="7">
        <f>csinterpolate(CSTableU2,'BN-73-202'!Z18*1000000)</f>
        <v>439.15572862436142</v>
      </c>
      <c r="AA19" s="7">
        <f>csinterpolate(CSTableU2,'BN-73-202'!AA18*1000000)</f>
        <v>382.02406156220991</v>
      </c>
      <c r="AB19" s="7">
        <f>csinterpolate(CSTableU2,'BN-73-202'!AB18*1000000)</f>
        <v>349.55451135030944</v>
      </c>
      <c r="AC19" s="7">
        <f>csinterpolate(CSTableU2,'BN-73-202'!AC18*1000000)</f>
        <v>320.90950503555433</v>
      </c>
      <c r="AD19" s="7">
        <f>csinterpolate(CSTableU2,'BN-73-202'!AD18*1000000)</f>
        <v>295.64963377859482</v>
      </c>
      <c r="AE19" s="7">
        <f>csinterpolate(CSTableU2,'BN-73-202'!AE18*1000000)</f>
        <v>273.33685175710718</v>
      </c>
    </row>
    <row r="20" spans="1:31" x14ac:dyDescent="0.2">
      <c r="A20" t="s">
        <v>3</v>
      </c>
      <c r="B20" s="7">
        <f>csinterpolate(CSTableU1,'BN-73-202'!B18*1000000)</f>
        <v>2408.0202920390539</v>
      </c>
      <c r="C20" s="7">
        <f>csinterpolate(CSTableU1,'BN-73-202'!C18*1000000)</f>
        <v>2199.1407868443675</v>
      </c>
      <c r="D20" s="7">
        <f>csinterpolate(CSTableU1,'BN-73-202'!D18*1000000)</f>
        <v>1540.4204477093901</v>
      </c>
      <c r="E20" s="7">
        <f>csinterpolate(CSTableU1,'BN-73-202'!E18*1000000)</f>
        <v>1422.9345221206945</v>
      </c>
      <c r="F20" s="7">
        <f>csinterpolate(CSTableU1,'BN-73-202'!F18*1000000)</f>
        <v>1204.2232083931372</v>
      </c>
      <c r="G20" s="7">
        <f>csinterpolate(CSTableU1,'BN-73-202'!G18*1000000)</f>
        <v>993.6393415175736</v>
      </c>
      <c r="H20" s="7">
        <f>csinterpolate(CSTableU1,'BN-73-202'!H18*1000000)</f>
        <v>858.62013244361776</v>
      </c>
      <c r="I20" s="7">
        <f>csinterpolate(CSTableU1,'BN-73-202'!I18*1000000)</f>
        <v>781.02291322424003</v>
      </c>
      <c r="J20" s="7">
        <f>csinterpolate(CSTableU1,'BN-73-202'!J18*1000000)</f>
        <v>718.86406138452378</v>
      </c>
      <c r="K20" s="7">
        <f>csinterpolate(CSTableU1,'BN-73-202'!K18*1000000)</f>
        <v>657.13932295796235</v>
      </c>
      <c r="L20" s="7">
        <f>csinterpolate(CSTableU1,'BN-73-202'!L18*1000000)</f>
        <v>598.90779311343374</v>
      </c>
      <c r="M20" s="7">
        <f>csinterpolate(CSTableU1,'BN-73-202'!M18*1000000)</f>
        <v>547.34270284178956</v>
      </c>
      <c r="N20" s="7">
        <f>csinterpolate(CSTableU1,'BN-73-202'!N18*1000000)</f>
        <v>464.47729137838638</v>
      </c>
      <c r="O20" s="7">
        <f>csinterpolate(CSTableU1,'BN-73-202'!O18*1000000)</f>
        <v>400.10664707536381</v>
      </c>
      <c r="P20" s="7">
        <f>csinterpolate(CSTableU1,'BN-73-202'!P18*1000000)</f>
        <v>346.76605069083206</v>
      </c>
      <c r="Q20" s="7">
        <f>csinterpolate(CSTableU1,'BN-73-202'!Q18*1000000)</f>
        <v>300.95601456470132</v>
      </c>
      <c r="R20" s="7">
        <f>csinterpolate(CSTableU1,'BN-73-202'!R18*1000000)</f>
        <v>259.74817348479581</v>
      </c>
      <c r="S20" s="7">
        <f>csinterpolate(CSTableU1,'BN-73-202'!S18*1000000)</f>
        <v>222.58673898321507</v>
      </c>
      <c r="T20" s="7">
        <f>csinterpolate(CSTableU1,'BN-73-202'!T18*1000000)</f>
        <v>190.10095884267454</v>
      </c>
      <c r="U20" s="7">
        <f>csinterpolate(CSTableU1,'BN-73-202'!U18*1000000)</f>
        <v>162.81160083529107</v>
      </c>
      <c r="V20" s="7">
        <f>csinterpolate(CSTableU1,'BN-73-202'!V18*1000000)</f>
        <v>140.12406675106945</v>
      </c>
      <c r="W20" s="7">
        <f>csinterpolate(CSTableU1,'BN-73-202'!W18*1000000)</f>
        <v>120.82669631612335</v>
      </c>
      <c r="X20" s="7">
        <f>csinterpolate(CSTableU1,'BN-73-202'!X18*1000000)</f>
        <v>103.7012976241063</v>
      </c>
      <c r="Y20" s="7">
        <f>csinterpolate(CSTableU1,'BN-73-202'!Y18*1000000)</f>
        <v>87.696738686118977</v>
      </c>
      <c r="Z20" s="7">
        <f>csinterpolate(CSTableU1,'BN-73-202'!Z18*1000000)</f>
        <v>73.056200825802989</v>
      </c>
      <c r="AA20" s="7">
        <f>csinterpolate(CSTableU1,'BN-73-202'!AA18*1000000)</f>
        <v>43.536324528004357</v>
      </c>
      <c r="AB20" s="7">
        <f>csinterpolate(CSTableU1,'BN-73-202'!AB18*1000000)</f>
        <v>30.869350099132408</v>
      </c>
      <c r="AC20" s="7">
        <f>csinterpolate(CSTableU1,'BN-73-202'!AC18*1000000)</f>
        <v>18.386721560905574</v>
      </c>
      <c r="AD20" s="7">
        <f>csinterpolate(CSTableU1,'BN-73-202'!AD18*1000000)</f>
        <v>10.494890899429357</v>
      </c>
      <c r="AE20" s="7">
        <f>csinterpolate(CSTableU1,'BN-73-202'!AE18*1000000)</f>
        <v>2.2871020480833768</v>
      </c>
    </row>
    <row r="21" spans="1:31" x14ac:dyDescent="0.2">
      <c r="A21" t="s">
        <v>10</v>
      </c>
      <c r="B21" s="5">
        <f t="shared" ref="B21:AE21" si="1">B19/$B$13*$B$16*B18*1000000</f>
        <v>150.55361896930873</v>
      </c>
      <c r="C21" s="5">
        <f t="shared" si="1"/>
        <v>196.43780408698024</v>
      </c>
      <c r="D21" s="5">
        <f t="shared" si="1"/>
        <v>353.47542055804774</v>
      </c>
      <c r="E21" s="5">
        <f t="shared" si="1"/>
        <v>401.50805558688864</v>
      </c>
      <c r="F21" s="5">
        <f t="shared" si="1"/>
        <v>488.56354045883711</v>
      </c>
      <c r="G21" s="5">
        <f t="shared" si="1"/>
        <v>526.99814965670055</v>
      </c>
      <c r="H21" s="5">
        <f t="shared" si="1"/>
        <v>559.7140279633968</v>
      </c>
      <c r="I21" s="5">
        <f t="shared" si="1"/>
        <v>606.35674110553157</v>
      </c>
      <c r="J21" s="5">
        <f t="shared" si="1"/>
        <v>656.69226984273917</v>
      </c>
      <c r="K21" s="5">
        <f t="shared" si="1"/>
        <v>702.06878688783308</v>
      </c>
      <c r="L21" s="5">
        <f t="shared" si="1"/>
        <v>742.6328880066867</v>
      </c>
      <c r="M21" s="5">
        <f t="shared" si="1"/>
        <v>779.31938104400183</v>
      </c>
      <c r="N21" s="5">
        <f t="shared" si="1"/>
        <v>845.23407218375746</v>
      </c>
      <c r="O21" s="5">
        <f t="shared" si="1"/>
        <v>906.17163881986562</v>
      </c>
      <c r="P21" s="5">
        <f t="shared" si="1"/>
        <v>967.14286235119869</v>
      </c>
      <c r="Q21" s="5">
        <f t="shared" si="1"/>
        <v>1027.9302605819892</v>
      </c>
      <c r="R21" s="5">
        <f t="shared" si="1"/>
        <v>1083.7816856865275</v>
      </c>
      <c r="S21" s="5">
        <f t="shared" si="1"/>
        <v>1128.8341629197416</v>
      </c>
      <c r="T21" s="5">
        <f t="shared" si="1"/>
        <v>1162.7715633395487</v>
      </c>
      <c r="U21" s="5">
        <f t="shared" si="1"/>
        <v>1187.4233749462326</v>
      </c>
      <c r="V21" s="5">
        <f t="shared" si="1"/>
        <v>1205.2870447661144</v>
      </c>
      <c r="W21" s="5">
        <f t="shared" si="1"/>
        <v>1219.1669618841654</v>
      </c>
      <c r="X21" s="5">
        <f t="shared" si="1"/>
        <v>1230.2544506134416</v>
      </c>
      <c r="Y21" s="5">
        <f t="shared" si="1"/>
        <v>1238.9810907560941</v>
      </c>
      <c r="Z21" s="5">
        <f t="shared" si="1"/>
        <v>1245.6569571685352</v>
      </c>
      <c r="AA21" s="5">
        <f t="shared" si="1"/>
        <v>1254.6994367903317</v>
      </c>
      <c r="AB21" s="5">
        <f t="shared" si="1"/>
        <v>1252.4271045562705</v>
      </c>
      <c r="AC21" s="5">
        <f t="shared" si="1"/>
        <v>1245.6104220168536</v>
      </c>
      <c r="AD21" s="5">
        <f t="shared" si="1"/>
        <v>1235.8383882972191</v>
      </c>
      <c r="AE21" s="5">
        <f t="shared" si="1"/>
        <v>1224.181317572835</v>
      </c>
    </row>
    <row r="22" spans="1:31" x14ac:dyDescent="0.2">
      <c r="A22" t="s">
        <v>11</v>
      </c>
      <c r="B22" s="5">
        <f t="shared" ref="B22:AE22" si="2">B20/$B$13*$B$16*B18*1000000</f>
        <v>359.48969618752272</v>
      </c>
      <c r="C22" s="5">
        <f t="shared" si="2"/>
        <v>393.96767009808053</v>
      </c>
      <c r="D22" s="5">
        <f t="shared" si="2"/>
        <v>413.94065699609462</v>
      </c>
      <c r="E22" s="5">
        <f t="shared" si="2"/>
        <v>424.85547214284873</v>
      </c>
      <c r="F22" s="5">
        <f t="shared" si="2"/>
        <v>449.44163963070105</v>
      </c>
      <c r="G22" s="5">
        <f t="shared" si="2"/>
        <v>445.01672953052855</v>
      </c>
      <c r="H22" s="5">
        <f t="shared" si="2"/>
        <v>448.63733935542035</v>
      </c>
      <c r="I22" s="5">
        <f t="shared" si="2"/>
        <v>466.39090329712616</v>
      </c>
      <c r="J22" s="5">
        <f t="shared" si="2"/>
        <v>482.93156310485517</v>
      </c>
      <c r="K22" s="5">
        <f t="shared" si="2"/>
        <v>490.51666288699397</v>
      </c>
      <c r="L22" s="5">
        <f t="shared" si="2"/>
        <v>491.75519706524926</v>
      </c>
      <c r="M22" s="5">
        <f t="shared" si="2"/>
        <v>490.27177039717731</v>
      </c>
      <c r="N22" s="5">
        <f t="shared" si="2"/>
        <v>485.38777119506972</v>
      </c>
      <c r="O22" s="5">
        <f t="shared" si="2"/>
        <v>477.85051471617135</v>
      </c>
      <c r="P22" s="5">
        <f t="shared" si="2"/>
        <v>465.91359865531939</v>
      </c>
      <c r="Q22" s="5">
        <f t="shared" si="2"/>
        <v>449.29266833569312</v>
      </c>
      <c r="R22" s="5">
        <f t="shared" si="2"/>
        <v>426.55151830746564</v>
      </c>
      <c r="S22" s="5">
        <f t="shared" si="2"/>
        <v>398.75563891377539</v>
      </c>
      <c r="T22" s="5">
        <f t="shared" si="2"/>
        <v>368.93848866146487</v>
      </c>
      <c r="U22" s="5">
        <f t="shared" si="2"/>
        <v>340.28255641787291</v>
      </c>
      <c r="V22" s="5">
        <f t="shared" si="2"/>
        <v>313.78364014271239</v>
      </c>
      <c r="W22" s="5">
        <f t="shared" si="2"/>
        <v>288.60854698691747</v>
      </c>
      <c r="X22" s="5">
        <f t="shared" si="2"/>
        <v>263.1839597476004</v>
      </c>
      <c r="Y22" s="5">
        <f t="shared" si="2"/>
        <v>235.65803532488144</v>
      </c>
      <c r="Z22" s="5">
        <f t="shared" si="2"/>
        <v>207.22253836475389</v>
      </c>
      <c r="AA22" s="5">
        <f t="shared" si="2"/>
        <v>142.98838047485884</v>
      </c>
      <c r="AB22" s="5">
        <f t="shared" si="2"/>
        <v>110.60252266475575</v>
      </c>
      <c r="AC22" s="5">
        <f t="shared" si="2"/>
        <v>71.368069949964635</v>
      </c>
      <c r="AD22" s="5">
        <f t="shared" si="2"/>
        <v>43.869457535735883</v>
      </c>
      <c r="AE22" s="5">
        <f t="shared" si="2"/>
        <v>10.243139849778554</v>
      </c>
    </row>
    <row r="23" spans="1:31" x14ac:dyDescent="0.2">
      <c r="A23" t="s">
        <v>12</v>
      </c>
      <c r="B23" s="5" t="str">
        <f t="shared" ref="B23:AE23" si="3">IMDIV(1,COMPLEX(B21,B22))</f>
        <v>0.000991141397844209-0.00236663271483714i</v>
      </c>
      <c r="C23" s="5" t="str">
        <f t="shared" si="3"/>
        <v>0.00101361966353798-0.00203287436990916i</v>
      </c>
      <c r="D23" s="5" t="str">
        <f t="shared" si="3"/>
        <v>0.0011929978878843-0.00139707119868801i</v>
      </c>
      <c r="E23" s="5" t="str">
        <f t="shared" si="3"/>
        <v>0.00117499344114143-0.00124331849947868i</v>
      </c>
      <c r="F23" s="5" t="str">
        <f t="shared" si="3"/>
        <v>0.00110862781005696-0.00101985404032451i</v>
      </c>
      <c r="G23" s="5" t="str">
        <f t="shared" si="3"/>
        <v>0.00110768131646148-0.000935367073176388i</v>
      </c>
      <c r="H23" s="5" t="str">
        <f t="shared" si="3"/>
        <v>0.00108776272738411-0.000871893416070528i</v>
      </c>
      <c r="I23" s="5" t="str">
        <f t="shared" si="3"/>
        <v>0.00103617253562534-0.000796991955562126i</v>
      </c>
      <c r="J23" s="5" t="str">
        <f t="shared" si="3"/>
        <v>0.000988298358418197-0.000726794714911382i</v>
      </c>
      <c r="K23" s="5" t="str">
        <f t="shared" si="3"/>
        <v>0.000957139627064191-0.000668727829171301i</v>
      </c>
      <c r="L23" s="5" t="str">
        <f t="shared" si="3"/>
        <v>0.00093609960806943-0.000619864612344963i</v>
      </c>
      <c r="M23" s="5" t="str">
        <f t="shared" si="3"/>
        <v>0.000919328402118528-0.000578351795485001i</v>
      </c>
      <c r="N23" s="5" t="str">
        <f t="shared" si="3"/>
        <v>0.000889699542461013-0.000510922704325789i</v>
      </c>
      <c r="O23" s="5" t="str">
        <f t="shared" si="3"/>
        <v>0.000863441512770161-0.000455317683349555i</v>
      </c>
      <c r="P23" s="5" t="str">
        <f t="shared" si="3"/>
        <v>0.00083921262103694-0.000404284193706119i</v>
      </c>
      <c r="Q23" s="5" t="str">
        <f t="shared" si="3"/>
        <v>0.000816787101081474-0.000357005207628869i</v>
      </c>
      <c r="R23" s="5" t="str">
        <f t="shared" si="3"/>
        <v>0.000798937386242992-0.000314443360351372i</v>
      </c>
      <c r="S23" s="5" t="str">
        <f t="shared" si="3"/>
        <v>0.000787592075437581-0.000278213391799047i</v>
      </c>
      <c r="T23" s="5" t="str">
        <f t="shared" si="3"/>
        <v>0.000781351995196783-0.00024791698843459i</v>
      </c>
      <c r="U23" s="5" t="str">
        <f t="shared" si="3"/>
        <v>0.000778247119111991-0.000223024007109735i</v>
      </c>
      <c r="V23" s="5" t="str">
        <f t="shared" si="3"/>
        <v>0.000777014498696921-0.000202287445885638i</v>
      </c>
      <c r="W23" s="5" t="str">
        <f t="shared" si="3"/>
        <v>0.00077670619859901-0.000183866569897003i</v>
      </c>
      <c r="X23" s="5" t="str">
        <f t="shared" si="3"/>
        <v>0.000777268648283945-0.000166278317904911i</v>
      </c>
      <c r="Y23" s="5" t="str">
        <f t="shared" si="3"/>
        <v>0.000778935115647672-0.000148155868050472i</v>
      </c>
      <c r="Z23" s="5" t="str">
        <f t="shared" si="3"/>
        <v>0.000781170860871119-0.000129952478292457i</v>
      </c>
      <c r="AA23" s="5" t="str">
        <f t="shared" si="3"/>
        <v>0.000786785332659379-0.0000896638327870212i</v>
      </c>
      <c r="AB23" s="5" t="str">
        <f t="shared" si="3"/>
        <v>0.000792270938221475-0.0000699658799162719i</v>
      </c>
      <c r="AC23" s="5" t="str">
        <f t="shared" si="3"/>
        <v>0.000800192364571026-0.0000458475488312509i</v>
      </c>
      <c r="AD23" s="5" t="str">
        <f t="shared" si="3"/>
        <v>0.000808148950900093-0.0000286874533270564i</v>
      </c>
      <c r="AE23" s="5" t="str">
        <f t="shared" si="3"/>
        <v>0.000816815269265142-6.83457010363956E-06i</v>
      </c>
    </row>
    <row r="24" spans="1:31" x14ac:dyDescent="0.2">
      <c r="A24" t="s">
        <v>13</v>
      </c>
      <c r="B24" s="6" t="str">
        <f t="shared" ref="B24:AE24" si="4">COMPLEX(0,2*PI()*B18*1000000*$B$9*0.000000000001)</f>
        <v>0.0000188495559215388i</v>
      </c>
      <c r="C24" s="6" t="str">
        <f t="shared" si="4"/>
        <v>0.0000226194671058465i</v>
      </c>
      <c r="D24" s="6" t="str">
        <f t="shared" si="4"/>
        <v>0.0000339292006587698i</v>
      </c>
      <c r="E24" s="6" t="str">
        <f t="shared" si="4"/>
        <v>0.0000376991118430775i</v>
      </c>
      <c r="F24" s="6" t="str">
        <f t="shared" si="4"/>
        <v>0.0000471238898038469i</v>
      </c>
      <c r="G24" s="6" t="str">
        <f t="shared" si="4"/>
        <v>0.0000565486677646163i</v>
      </c>
      <c r="H24" s="6" t="str">
        <f t="shared" si="4"/>
        <v>0.0000659734457253857i</v>
      </c>
      <c r="I24" s="6" t="str">
        <f t="shared" si="4"/>
        <v>0.000075398223686155i</v>
      </c>
      <c r="J24" s="6" t="str">
        <f t="shared" si="4"/>
        <v>0.0000848230016469244i</v>
      </c>
      <c r="K24" s="6" t="str">
        <f t="shared" si="4"/>
        <v>0.0000942477796076938i</v>
      </c>
      <c r="L24" s="6" t="str">
        <f t="shared" si="4"/>
        <v>0.000103672557568463i</v>
      </c>
      <c r="M24" s="6" t="str">
        <f t="shared" si="4"/>
        <v>0.000113097335529233i</v>
      </c>
      <c r="N24" s="6" t="str">
        <f t="shared" si="4"/>
        <v>0.000131946891450771i</v>
      </c>
      <c r="O24" s="6" t="str">
        <f t="shared" si="4"/>
        <v>0.00015079644737231i</v>
      </c>
      <c r="P24" s="6" t="str">
        <f t="shared" si="4"/>
        <v>0.000169646003293849i</v>
      </c>
      <c r="Q24" s="6" t="str">
        <f t="shared" si="4"/>
        <v>0.000188495559215388i</v>
      </c>
      <c r="R24" s="6" t="str">
        <f t="shared" si="4"/>
        <v>0.000207345115136926i</v>
      </c>
      <c r="S24" s="6" t="str">
        <f t="shared" si="4"/>
        <v>0.000226194671058465i</v>
      </c>
      <c r="T24" s="6" t="str">
        <f t="shared" si="4"/>
        <v>0.000245044226980004i</v>
      </c>
      <c r="U24" s="6" t="str">
        <f t="shared" si="4"/>
        <v>0.000263893782901543i</v>
      </c>
      <c r="V24" s="6" t="str">
        <f t="shared" si="4"/>
        <v>0.000282743338823081i</v>
      </c>
      <c r="W24" s="6" t="str">
        <f t="shared" si="4"/>
        <v>0.00030159289474462i</v>
      </c>
      <c r="X24" s="6" t="str">
        <f t="shared" si="4"/>
        <v>0.000320442450666159i</v>
      </c>
      <c r="Y24" s="6" t="str">
        <f t="shared" si="4"/>
        <v>0.000339292006587698i</v>
      </c>
      <c r="Z24" s="6" t="str">
        <f t="shared" si="4"/>
        <v>0.000358141562509236i</v>
      </c>
      <c r="AA24" s="6" t="str">
        <f t="shared" si="4"/>
        <v>0.000414690230273853i</v>
      </c>
      <c r="AB24" s="6" t="str">
        <f t="shared" si="4"/>
        <v>0.00045238934211693i</v>
      </c>
      <c r="AC24" s="6" t="str">
        <f t="shared" si="4"/>
        <v>0.000490088453960008i</v>
      </c>
      <c r="AD24" s="6" t="str">
        <f t="shared" si="4"/>
        <v>0.000527787565803085i</v>
      </c>
      <c r="AE24" s="6" t="str">
        <f t="shared" si="4"/>
        <v>0.000565486677646163i</v>
      </c>
    </row>
    <row r="25" spans="1:31" x14ac:dyDescent="0.2">
      <c r="A25" t="s">
        <v>14</v>
      </c>
      <c r="B25" s="6" t="str">
        <f t="shared" ref="B25:AE25" si="5">IMDIV(1,IMSUM(B23,B24))</f>
        <v>152.61367026166+361.50624486068i</v>
      </c>
      <c r="C25" s="6" t="str">
        <f t="shared" si="5"/>
        <v>199.982192978204+396.613442269443i</v>
      </c>
      <c r="D25" s="6" t="str">
        <f t="shared" si="5"/>
        <v>363.563681179067+415.414752872859i</v>
      </c>
      <c r="E25" s="6" t="str">
        <f t="shared" si="5"/>
        <v>414.587332600919+425.393460550929i</v>
      </c>
      <c r="F25" s="6" t="str">
        <f t="shared" si="5"/>
        <v>509.653113078569+447.178886278136i</v>
      </c>
      <c r="G25" s="6" t="str">
        <f t="shared" si="5"/>
        <v>554.040198986289+439.567515467869i</v>
      </c>
      <c r="H25" s="6" t="str">
        <f t="shared" si="5"/>
        <v>593.51890805243+439.736285069445i</v>
      </c>
      <c r="I25" s="6" t="str">
        <f t="shared" si="5"/>
        <v>649.902381141598+452.594011556213i</v>
      </c>
      <c r="J25" s="6" t="str">
        <f t="shared" si="5"/>
        <v>711.588939802388+462.228806649172i</v>
      </c>
      <c r="K25" s="6" t="str">
        <f t="shared" si="5"/>
        <v>768.081328995785+461.006301978956i</v>
      </c>
      <c r="L25" s="6" t="str">
        <f t="shared" si="5"/>
        <v>819.173477927297+451.715647720195i</v>
      </c>
      <c r="M25" s="6" t="str">
        <f t="shared" si="5"/>
        <v>865.962246051197+438.246872608521i</v>
      </c>
      <c r="N25" s="6" t="str">
        <f t="shared" si="5"/>
        <v>951.359081884486+405.240268412303i</v>
      </c>
      <c r="O25" s="6" t="str">
        <f t="shared" si="5"/>
        <v>1030.03477513674+363.275865458277i</v>
      </c>
      <c r="P25" s="6" t="str">
        <f t="shared" si="5"/>
        <v>1105.19722896146+309.005693374526i</v>
      </c>
      <c r="Q25" s="6" t="str">
        <f t="shared" si="5"/>
        <v>1174.32643912544+242.272845785237i</v>
      </c>
      <c r="R25" s="6" t="str">
        <f t="shared" si="5"/>
        <v>1229.56766195966+164.824604826113i</v>
      </c>
      <c r="S25" s="6" t="str">
        <f t="shared" si="5"/>
        <v>1264.17807745938+83.4961757851475i</v>
      </c>
      <c r="T25" s="6" t="str">
        <f t="shared" si="5"/>
        <v>1279.81561260542+4.70544003659234i</v>
      </c>
      <c r="U25" s="6" t="str">
        <f t="shared" si="5"/>
        <v>1281.40499045018-67.2931943750201i</v>
      </c>
      <c r="V25" s="6" t="str">
        <f t="shared" si="5"/>
        <v>1273.32525502863-131.846343362875i</v>
      </c>
      <c r="W25" s="6" t="str">
        <f t="shared" si="5"/>
        <v>1258.57383900515-190.763602611504i</v>
      </c>
      <c r="X25" s="6" t="str">
        <f t="shared" si="5"/>
        <v>1237.86015831106-245.518249329944i</v>
      </c>
      <c r="Y25" s="6" t="str">
        <f t="shared" si="5"/>
        <v>1210.8936499931-297.130700349136i</v>
      </c>
      <c r="Z25" s="6" t="str">
        <f t="shared" si="5"/>
        <v>1179.48515315538-344.541316666212i</v>
      </c>
      <c r="AA25" s="6" t="str">
        <f t="shared" si="5"/>
        <v>1085.71036396816-448.514370650402i</v>
      </c>
      <c r="AB25" s="6" t="str">
        <f t="shared" si="5"/>
        <v>1023.68397016839-494.124862070449i</v>
      </c>
      <c r="AC25" s="6" t="str">
        <f t="shared" si="5"/>
        <v>955.273576582102-530.336975327075i</v>
      </c>
      <c r="AD25" s="6" t="str">
        <f t="shared" si="5"/>
        <v>895.748050007526-553.199941682791i</v>
      </c>
      <c r="AE25" s="6" t="str">
        <f t="shared" si="5"/>
        <v>834.098319120541-570.472665494589i</v>
      </c>
    </row>
    <row r="26" spans="1:31" x14ac:dyDescent="0.2">
      <c r="A26" t="s">
        <v>6</v>
      </c>
      <c r="B26" s="5">
        <f t="shared" ref="B26:AE26" si="6">IMREAL(B25)</f>
        <v>152.61367026165999</v>
      </c>
      <c r="C26" s="5">
        <f t="shared" si="6"/>
        <v>199.98219297820401</v>
      </c>
      <c r="D26" s="5">
        <f t="shared" si="6"/>
        <v>363.56368117906698</v>
      </c>
      <c r="E26" s="5">
        <f t="shared" si="6"/>
        <v>414.58733260091901</v>
      </c>
      <c r="F26" s="5">
        <f t="shared" si="6"/>
        <v>509.65311307856899</v>
      </c>
      <c r="G26" s="5">
        <f t="shared" si="6"/>
        <v>554.04019898628906</v>
      </c>
      <c r="H26" s="5">
        <f t="shared" si="6"/>
        <v>593.51890805242999</v>
      </c>
      <c r="I26" s="5">
        <f t="shared" si="6"/>
        <v>649.90238114159797</v>
      </c>
      <c r="J26" s="5">
        <f t="shared" si="6"/>
        <v>711.58893980238804</v>
      </c>
      <c r="K26" s="5">
        <f t="shared" si="6"/>
        <v>768.08132899578504</v>
      </c>
      <c r="L26" s="5">
        <f t="shared" si="6"/>
        <v>819.17347792729697</v>
      </c>
      <c r="M26" s="5">
        <f t="shared" si="6"/>
        <v>865.96224605119698</v>
      </c>
      <c r="N26" s="5">
        <f t="shared" si="6"/>
        <v>951.35908188448605</v>
      </c>
      <c r="O26" s="5">
        <f t="shared" si="6"/>
        <v>1030.0347751367401</v>
      </c>
      <c r="P26" s="5">
        <f t="shared" si="6"/>
        <v>1105.19722896146</v>
      </c>
      <c r="Q26" s="5">
        <f t="shared" si="6"/>
        <v>1174.3264391254399</v>
      </c>
      <c r="R26" s="5">
        <f t="shared" si="6"/>
        <v>1229.56766195966</v>
      </c>
      <c r="S26" s="5">
        <f t="shared" si="6"/>
        <v>1264.1780774593799</v>
      </c>
      <c r="T26" s="5">
        <f t="shared" si="6"/>
        <v>1279.81561260542</v>
      </c>
      <c r="U26" s="5">
        <f t="shared" si="6"/>
        <v>1281.4049904501801</v>
      </c>
      <c r="V26" s="5">
        <f t="shared" si="6"/>
        <v>1273.32525502863</v>
      </c>
      <c r="W26" s="5">
        <f t="shared" si="6"/>
        <v>1258.5738390051499</v>
      </c>
      <c r="X26" s="5">
        <f t="shared" si="6"/>
        <v>1237.8601583110601</v>
      </c>
      <c r="Y26" s="5">
        <f t="shared" si="6"/>
        <v>1210.8936499931001</v>
      </c>
      <c r="Z26" s="5">
        <f t="shared" si="6"/>
        <v>1179.48515315538</v>
      </c>
      <c r="AA26" s="5">
        <f t="shared" si="6"/>
        <v>1085.71036396816</v>
      </c>
      <c r="AB26" s="5">
        <f t="shared" si="6"/>
        <v>1023.68397016839</v>
      </c>
      <c r="AC26" s="5">
        <f t="shared" si="6"/>
        <v>955.27357658210201</v>
      </c>
      <c r="AD26" s="5">
        <f t="shared" si="6"/>
        <v>895.74805000752599</v>
      </c>
      <c r="AE26" s="5">
        <f t="shared" si="6"/>
        <v>834.09831912054096</v>
      </c>
    </row>
    <row r="27" spans="1:31" x14ac:dyDescent="0.2">
      <c r="A27" t="s">
        <v>7</v>
      </c>
      <c r="B27" s="5">
        <f t="shared" ref="B27:AE27" si="7">IMAGINARY(B25)</f>
        <v>361.50624486068</v>
      </c>
      <c r="C27" s="5">
        <f t="shared" si="7"/>
        <v>396.613442269443</v>
      </c>
      <c r="D27" s="5">
        <f t="shared" si="7"/>
        <v>415.41475287285903</v>
      </c>
      <c r="E27" s="5">
        <f t="shared" si="7"/>
        <v>425.39346055092898</v>
      </c>
      <c r="F27" s="5">
        <f t="shared" si="7"/>
        <v>447.17888627813602</v>
      </c>
      <c r="G27" s="5">
        <f t="shared" si="7"/>
        <v>439.56751546786899</v>
      </c>
      <c r="H27" s="5">
        <f t="shared" si="7"/>
        <v>439.73628506944499</v>
      </c>
      <c r="I27" s="5">
        <f t="shared" si="7"/>
        <v>452.59401155621299</v>
      </c>
      <c r="J27" s="5">
        <f t="shared" si="7"/>
        <v>462.22880664917199</v>
      </c>
      <c r="K27" s="5">
        <f t="shared" si="7"/>
        <v>461.006301978956</v>
      </c>
      <c r="L27" s="5">
        <f t="shared" si="7"/>
        <v>451.71564772019502</v>
      </c>
      <c r="M27" s="5">
        <f t="shared" si="7"/>
        <v>438.24687260852102</v>
      </c>
      <c r="N27" s="5">
        <f t="shared" si="7"/>
        <v>405.24026841230301</v>
      </c>
      <c r="O27" s="5">
        <f t="shared" si="7"/>
        <v>363.275865458277</v>
      </c>
      <c r="P27" s="5">
        <f t="shared" si="7"/>
        <v>309.005693374526</v>
      </c>
      <c r="Q27" s="5">
        <f t="shared" si="7"/>
        <v>242.272845785237</v>
      </c>
      <c r="R27" s="5">
        <f t="shared" si="7"/>
        <v>164.82460482611299</v>
      </c>
      <c r="S27" s="5">
        <f t="shared" si="7"/>
        <v>83.4961757851475</v>
      </c>
      <c r="T27" s="5">
        <f t="shared" si="7"/>
        <v>4.7054400365923401</v>
      </c>
      <c r="U27" s="5">
        <f t="shared" si="7"/>
        <v>-67.293194375020093</v>
      </c>
      <c r="V27" s="5">
        <f t="shared" si="7"/>
        <v>-131.84634336287499</v>
      </c>
      <c r="W27" s="5">
        <f t="shared" si="7"/>
        <v>-190.76360261150401</v>
      </c>
      <c r="X27" s="5">
        <f t="shared" si="7"/>
        <v>-245.51824932994401</v>
      </c>
      <c r="Y27" s="5">
        <f t="shared" si="7"/>
        <v>-297.13070034913602</v>
      </c>
      <c r="Z27" s="5">
        <f t="shared" si="7"/>
        <v>-344.54131666621203</v>
      </c>
      <c r="AA27" s="5">
        <f t="shared" si="7"/>
        <v>-448.51437065040199</v>
      </c>
      <c r="AB27" s="5">
        <f t="shared" si="7"/>
        <v>-494.12486207044901</v>
      </c>
      <c r="AC27" s="5">
        <f t="shared" si="7"/>
        <v>-530.33697532707504</v>
      </c>
      <c r="AD27" s="5">
        <f t="shared" si="7"/>
        <v>-553.19994168279095</v>
      </c>
      <c r="AE27" s="5">
        <f t="shared" si="7"/>
        <v>-570.47266549458902</v>
      </c>
    </row>
    <row r="28" spans="1:31" x14ac:dyDescent="0.2">
      <c r="A28" t="s">
        <v>15</v>
      </c>
      <c r="B28" s="5">
        <f t="shared" ref="B28:AE28" si="8">IMABS(B25)</f>
        <v>392.39992026503342</v>
      </c>
      <c r="C28" s="5">
        <f t="shared" si="8"/>
        <v>444.17913064121825</v>
      </c>
      <c r="D28" s="5">
        <f t="shared" si="8"/>
        <v>552.03982390484543</v>
      </c>
      <c r="E28" s="5">
        <f t="shared" si="8"/>
        <v>594.00526313547073</v>
      </c>
      <c r="F28" s="5">
        <f t="shared" si="8"/>
        <v>678.02304680861027</v>
      </c>
      <c r="G28" s="5">
        <f t="shared" si="8"/>
        <v>707.2341498735492</v>
      </c>
      <c r="H28" s="5">
        <f t="shared" si="8"/>
        <v>738.66954358659257</v>
      </c>
      <c r="I28" s="5">
        <f t="shared" si="8"/>
        <v>791.9687142242833</v>
      </c>
      <c r="J28" s="5">
        <f t="shared" si="8"/>
        <v>848.53655722390897</v>
      </c>
      <c r="K28" s="5">
        <f t="shared" si="8"/>
        <v>895.81010176054826</v>
      </c>
      <c r="L28" s="5">
        <f t="shared" si="8"/>
        <v>935.46363549567172</v>
      </c>
      <c r="M28" s="5">
        <f t="shared" si="8"/>
        <v>970.54156682605981</v>
      </c>
      <c r="N28" s="5">
        <f t="shared" si="8"/>
        <v>1034.0714568282831</v>
      </c>
      <c r="O28" s="5">
        <f t="shared" si="8"/>
        <v>1092.2183812843725</v>
      </c>
      <c r="P28" s="5">
        <f t="shared" si="8"/>
        <v>1147.582429911665</v>
      </c>
      <c r="Q28" s="5">
        <f t="shared" si="8"/>
        <v>1199.0574287472275</v>
      </c>
      <c r="R28" s="5">
        <f t="shared" si="8"/>
        <v>1240.5659134818386</v>
      </c>
      <c r="S28" s="5">
        <f t="shared" si="8"/>
        <v>1266.9324460679181</v>
      </c>
      <c r="T28" s="5">
        <f t="shared" si="8"/>
        <v>1279.8242627152074</v>
      </c>
      <c r="U28" s="5">
        <f t="shared" si="8"/>
        <v>1283.1707304797053</v>
      </c>
      <c r="V28" s="5">
        <f t="shared" si="8"/>
        <v>1280.1330647053401</v>
      </c>
      <c r="W28" s="5">
        <f t="shared" si="8"/>
        <v>1272.9488836200301</v>
      </c>
      <c r="X28" s="5">
        <f t="shared" si="8"/>
        <v>1261.9734475368027</v>
      </c>
      <c r="Y28" s="5">
        <f t="shared" si="8"/>
        <v>1246.8159786767174</v>
      </c>
      <c r="Z28" s="5">
        <f t="shared" si="8"/>
        <v>1228.7774189836241</v>
      </c>
      <c r="AA28" s="5">
        <f t="shared" si="8"/>
        <v>1174.705126875592</v>
      </c>
      <c r="AB28" s="5">
        <f t="shared" si="8"/>
        <v>1136.7005982649334</v>
      </c>
      <c r="AC28" s="5">
        <f t="shared" si="8"/>
        <v>1092.6137988855128</v>
      </c>
      <c r="AD28" s="5">
        <f t="shared" si="8"/>
        <v>1052.803279141041</v>
      </c>
      <c r="AE28" s="5">
        <f t="shared" si="8"/>
        <v>1010.5241550978448</v>
      </c>
    </row>
    <row r="32" spans="1:31" x14ac:dyDescent="0.2">
      <c r="A32" s="8" t="s">
        <v>20</v>
      </c>
      <c r="B32" s="8" t="s">
        <v>21</v>
      </c>
      <c r="C32" s="11" t="s">
        <v>22</v>
      </c>
    </row>
    <row r="33" spans="1:3" x14ac:dyDescent="0.2">
      <c r="A33" t="s">
        <v>23</v>
      </c>
      <c r="B33" t="str">
        <f ca="1">CubicSpline_version("v")</f>
        <v>1.03</v>
      </c>
      <c r="C33" s="13">
        <f ca="1">CubicSpline_version("d")</f>
        <v>40365</v>
      </c>
    </row>
    <row r="34" spans="1:3" x14ac:dyDescent="0.2">
      <c r="A34" s="12"/>
    </row>
    <row r="35" spans="1:3" x14ac:dyDescent="0.2">
      <c r="A35" t="s">
        <v>24</v>
      </c>
    </row>
    <row r="60" spans="2:31" x14ac:dyDescent="0.2">
      <c r="B60" s="14">
        <f>1/IMREAL(IMDIV(1,B25))</f>
        <v>1008.9377783786078</v>
      </c>
      <c r="C60" s="14">
        <f t="shared" ref="C60:AE60" si="9">1/IMREAL(IMDIV(1,C25))</f>
        <v>986.56333926036768</v>
      </c>
      <c r="D60" s="14">
        <f t="shared" si="9"/>
        <v>838.2244513218975</v>
      </c>
      <c r="E60" s="14">
        <f t="shared" si="9"/>
        <v>851.06858045825743</v>
      </c>
      <c r="F60" s="14">
        <f t="shared" si="9"/>
        <v>902.0159795094994</v>
      </c>
      <c r="G60" s="14">
        <f t="shared" si="9"/>
        <v>902.78673580459849</v>
      </c>
      <c r="H60" s="14">
        <f t="shared" si="9"/>
        <v>919.31813328889768</v>
      </c>
      <c r="I60" s="14">
        <f t="shared" si="9"/>
        <v>965.09023894991628</v>
      </c>
      <c r="J60" s="14">
        <f t="shared" si="9"/>
        <v>1011.8401912561434</v>
      </c>
      <c r="K60" s="14">
        <f t="shared" si="9"/>
        <v>1044.7796452303135</v>
      </c>
      <c r="L60" s="14">
        <f t="shared" si="9"/>
        <v>1068.2623850920686</v>
      </c>
      <c r="M60" s="14">
        <f t="shared" si="9"/>
        <v>1087.7505771556387</v>
      </c>
      <c r="N60" s="14">
        <f t="shared" si="9"/>
        <v>1123.9749514020014</v>
      </c>
      <c r="O60" s="14">
        <f t="shared" si="9"/>
        <v>1158.1560362921618</v>
      </c>
      <c r="P60" s="14">
        <f t="shared" si="9"/>
        <v>1191.5931373438914</v>
      </c>
      <c r="Q60" s="14">
        <f t="shared" si="9"/>
        <v>1224.3092461621197</v>
      </c>
      <c r="R60" s="14">
        <f t="shared" si="9"/>
        <v>1251.6625422957172</v>
      </c>
      <c r="S60" s="14">
        <f t="shared" si="9"/>
        <v>1269.6928158455698</v>
      </c>
      <c r="T60" s="14">
        <f t="shared" si="9"/>
        <v>1279.8329128834607</v>
      </c>
      <c r="U60" s="14">
        <f t="shared" si="9"/>
        <v>1284.9389036493189</v>
      </c>
      <c r="V60" s="14">
        <f t="shared" si="9"/>
        <v>1286.9772722092453</v>
      </c>
      <c r="W60" s="14">
        <f t="shared" si="9"/>
        <v>1287.4881155883061</v>
      </c>
      <c r="X60" s="14">
        <f t="shared" si="9"/>
        <v>1286.5564592214037</v>
      </c>
      <c r="Y60" s="14">
        <f t="shared" si="9"/>
        <v>1283.8039779070928</v>
      </c>
      <c r="Z60" s="14">
        <f t="shared" si="9"/>
        <v>1280.1296746845526</v>
      </c>
      <c r="AA60" s="14">
        <f t="shared" si="9"/>
        <v>1270.9947154453707</v>
      </c>
      <c r="AB60" s="14">
        <f t="shared" si="9"/>
        <v>1262.1944738309387</v>
      </c>
      <c r="AC60" s="14">
        <f t="shared" si="9"/>
        <v>1249.6995026140853</v>
      </c>
      <c r="AD60" s="14">
        <f t="shared" si="9"/>
        <v>1237.3956544597736</v>
      </c>
      <c r="AE60" s="14">
        <f t="shared" si="9"/>
        <v>1224.2670253944475</v>
      </c>
    </row>
    <row r="61" spans="2:31" x14ac:dyDescent="0.2">
      <c r="B61" s="14">
        <f>-1/IMAGINARY(IMDIV(1,B25))</f>
        <v>425.93371376847364</v>
      </c>
      <c r="C61" s="14">
        <f t="shared" ref="C61:AE61" si="10">-1/IMAGINARY(IMDIV(1,C25))</f>
        <v>497.44935261965799</v>
      </c>
      <c r="D61" s="14">
        <f t="shared" si="10"/>
        <v>733.59928858897172</v>
      </c>
      <c r="E61" s="14">
        <f t="shared" si="10"/>
        <v>829.44916965971288</v>
      </c>
      <c r="F61" s="14">
        <f t="shared" si="10"/>
        <v>1028.0343417593672</v>
      </c>
      <c r="G61" s="14">
        <f t="shared" si="10"/>
        <v>1137.8915073261901</v>
      </c>
      <c r="H61" s="14">
        <f t="shared" si="10"/>
        <v>1240.8179928482746</v>
      </c>
      <c r="I61" s="14">
        <f t="shared" si="10"/>
        <v>1385.8213504713231</v>
      </c>
      <c r="J61" s="14">
        <f t="shared" si="10"/>
        <v>1557.7010315843208</v>
      </c>
      <c r="K61" s="14">
        <f t="shared" si="10"/>
        <v>1740.7044870568288</v>
      </c>
      <c r="L61" s="14">
        <f t="shared" si="10"/>
        <v>1937.2634482585718</v>
      </c>
      <c r="M61" s="14">
        <f t="shared" si="10"/>
        <v>2149.3614485610101</v>
      </c>
      <c r="N61" s="14">
        <f t="shared" si="10"/>
        <v>2638.6908241286337</v>
      </c>
      <c r="O61" s="14">
        <f t="shared" si="10"/>
        <v>3283.8432327744804</v>
      </c>
      <c r="P61" s="14">
        <f t="shared" si="10"/>
        <v>4261.8808056904554</v>
      </c>
      <c r="Q61" s="14">
        <f t="shared" si="10"/>
        <v>5934.3782947446025</v>
      </c>
      <c r="R61" s="14">
        <f t="shared" si="10"/>
        <v>9337.2211467860216</v>
      </c>
      <c r="S61" s="14">
        <f t="shared" si="10"/>
        <v>19223.848371570082</v>
      </c>
      <c r="T61" s="14">
        <f t="shared" si="10"/>
        <v>348097.12390272418</v>
      </c>
      <c r="U61" s="14">
        <f t="shared" si="10"/>
        <v>-24467.959038827084</v>
      </c>
      <c r="V61" s="14">
        <f t="shared" si="10"/>
        <v>-12429.170362667179</v>
      </c>
      <c r="W61" s="14">
        <f t="shared" si="10"/>
        <v>-8494.2768857719366</v>
      </c>
      <c r="X61" s="14">
        <f t="shared" si="10"/>
        <v>-6486.5931010598979</v>
      </c>
      <c r="Y61" s="14">
        <f t="shared" si="10"/>
        <v>-5231.8729867258644</v>
      </c>
      <c r="Z61" s="14">
        <f t="shared" si="10"/>
        <v>-4382.3305721758297</v>
      </c>
      <c r="AA61" s="14">
        <f t="shared" si="10"/>
        <v>-3076.6731801853434</v>
      </c>
      <c r="AB61" s="14">
        <f t="shared" si="10"/>
        <v>-2614.9023238414602</v>
      </c>
      <c r="AC61" s="14">
        <f t="shared" si="10"/>
        <v>-2251.0308898955714</v>
      </c>
      <c r="AD61" s="14">
        <f t="shared" si="10"/>
        <v>-2003.6060401569805</v>
      </c>
      <c r="AE61" s="14">
        <f t="shared" si="10"/>
        <v>-1790.0227825129664</v>
      </c>
    </row>
  </sheetData>
  <phoneticPr fontId="0" type="noConversion"/>
  <hyperlinks>
    <hyperlink ref="A4" r:id="rId1"/>
  </hyperlinks>
  <pageMargins left="0.75" right="0.75" top="1" bottom="1" header="0.5" footer="0.5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Q66"/>
  <sheetViews>
    <sheetView workbookViewId="0">
      <selection activeCell="F26" sqref="F26"/>
    </sheetView>
  </sheetViews>
  <sheetFormatPr defaultRowHeight="12.75" x14ac:dyDescent="0.2"/>
  <cols>
    <col min="5" max="5" width="10" bestFit="1" customWidth="1"/>
    <col min="6" max="6" width="9.28515625" bestFit="1" customWidth="1"/>
    <col min="7" max="7" width="13.140625" bestFit="1" customWidth="1"/>
    <col min="14" max="14" width="10" bestFit="1" customWidth="1"/>
    <col min="15" max="15" width="9.42578125" bestFit="1" customWidth="1"/>
    <col min="16" max="16" width="13.28515625" bestFit="1" customWidth="1"/>
  </cols>
  <sheetData>
    <row r="1" spans="1:16" x14ac:dyDescent="0.2">
      <c r="A1" t="s">
        <v>18</v>
      </c>
      <c r="B1" s="16" t="s">
        <v>31</v>
      </c>
    </row>
    <row r="2" spans="1:16" x14ac:dyDescent="0.2">
      <c r="A2" t="s">
        <v>29</v>
      </c>
      <c r="B2">
        <v>2500</v>
      </c>
    </row>
    <row r="5" spans="1:16" x14ac:dyDescent="0.2">
      <c r="A5" s="16" t="s">
        <v>32</v>
      </c>
      <c r="E5" s="17" t="s">
        <v>0</v>
      </c>
      <c r="F5" s="17"/>
      <c r="G5" s="17"/>
      <c r="J5" s="16" t="s">
        <v>30</v>
      </c>
      <c r="N5" s="17" t="s">
        <v>0</v>
      </c>
      <c r="O5" s="17"/>
      <c r="P5" s="17"/>
    </row>
    <row r="6" spans="1:16" x14ac:dyDescent="0.2">
      <c r="A6">
        <v>102389.7329</v>
      </c>
      <c r="B6">
        <v>2391.1753039999999</v>
      </c>
      <c r="E6">
        <f t="array" ref="E6:G24">cstable(A6:A24,B6:B24)</f>
        <v>102389.7329</v>
      </c>
      <c r="F6">
        <v>2391.1753039999999</v>
      </c>
      <c r="G6">
        <v>0</v>
      </c>
      <c r="J6">
        <v>101187.81200000001</v>
      </c>
      <c r="K6">
        <v>28.068856700000001</v>
      </c>
      <c r="N6">
        <f t="array" ref="N6:P29">cstable(Mix!J6:J29,Mix!K6:K29)</f>
        <v>101187.81200000001</v>
      </c>
      <c r="O6">
        <v>28.068856700000001</v>
      </c>
      <c r="P6">
        <v>0</v>
      </c>
    </row>
    <row r="7" spans="1:16" x14ac:dyDescent="0.2">
      <c r="A7">
        <v>205504.11040000001</v>
      </c>
      <c r="B7">
        <v>2419.9716349999999</v>
      </c>
      <c r="E7">
        <v>205504.11040000001</v>
      </c>
      <c r="F7">
        <v>2419.9716349999999</v>
      </c>
      <c r="G7">
        <v>3.4978625937201302E-9</v>
      </c>
      <c r="J7">
        <v>164204.3339</v>
      </c>
      <c r="K7">
        <v>40.402088579999997</v>
      </c>
      <c r="N7">
        <v>164204.3339</v>
      </c>
      <c r="O7">
        <v>40.402088579999997</v>
      </c>
      <c r="P7">
        <v>8.5055038642183112E-10</v>
      </c>
    </row>
    <row r="8" spans="1:16" x14ac:dyDescent="0.2">
      <c r="A8">
        <v>398107.17060000001</v>
      </c>
      <c r="B8">
        <v>2536.746009</v>
      </c>
      <c r="E8">
        <v>398107.17060000001</v>
      </c>
      <c r="F8">
        <v>2536.746009</v>
      </c>
      <c r="G8">
        <v>-5.5336739016612483E-10</v>
      </c>
      <c r="J8">
        <v>242446.20170000001</v>
      </c>
      <c r="K8">
        <v>60.224082869999997</v>
      </c>
      <c r="N8">
        <v>242446.20170000001</v>
      </c>
      <c r="O8">
        <v>60.224082869999997</v>
      </c>
      <c r="P8">
        <v>1.3480632902939547E-9</v>
      </c>
    </row>
    <row r="9" spans="1:16" x14ac:dyDescent="0.2">
      <c r="A9">
        <v>608997.32440000004</v>
      </c>
      <c r="B9">
        <v>2627.922497</v>
      </c>
      <c r="E9">
        <v>608997.32440000004</v>
      </c>
      <c r="F9">
        <v>2627.922497</v>
      </c>
      <c r="G9">
        <v>-6.0261961581871576E-9</v>
      </c>
      <c r="J9">
        <v>333485.47509999998</v>
      </c>
      <c r="K9">
        <v>99.745792489999999</v>
      </c>
      <c r="N9">
        <v>333485.47509999998</v>
      </c>
      <c r="O9">
        <v>99.745792489999999</v>
      </c>
      <c r="P9">
        <v>6.1698157952671455E-9</v>
      </c>
    </row>
    <row r="10" spans="1:16" x14ac:dyDescent="0.2">
      <c r="A10">
        <v>818126.59920000006</v>
      </c>
      <c r="B10">
        <v>2537.3617869999998</v>
      </c>
      <c r="E10">
        <v>818126.59920000006</v>
      </c>
      <c r="F10">
        <v>2537.3617869999998</v>
      </c>
      <c r="G10">
        <v>-6.3740578049487258E-11</v>
      </c>
      <c r="J10">
        <v>448004.16470000002</v>
      </c>
      <c r="K10">
        <v>208.83550990000001</v>
      </c>
      <c r="N10">
        <v>448004.16470000002</v>
      </c>
      <c r="O10">
        <v>208.83550990000001</v>
      </c>
      <c r="P10">
        <v>3.9436330189219816E-9</v>
      </c>
    </row>
    <row r="11" spans="1:16" x14ac:dyDescent="0.2">
      <c r="A11">
        <v>1048365.741</v>
      </c>
      <c r="B11">
        <v>2365.2445080000002</v>
      </c>
      <c r="E11">
        <v>1048365.741</v>
      </c>
      <c r="F11">
        <v>2365.2445080000002</v>
      </c>
      <c r="G11">
        <v>-2.4794447205848111E-9</v>
      </c>
      <c r="J11">
        <v>601848.49589999998</v>
      </c>
      <c r="K11">
        <v>432.09220269999997</v>
      </c>
      <c r="N11">
        <v>601848.49589999998</v>
      </c>
      <c r="O11">
        <v>432.09220269999997</v>
      </c>
      <c r="P11">
        <v>1.0942594375598808E-9</v>
      </c>
    </row>
    <row r="12" spans="1:16" x14ac:dyDescent="0.2">
      <c r="A12">
        <v>1566288.628</v>
      </c>
      <c r="B12">
        <v>1744.2126390000001</v>
      </c>
      <c r="E12">
        <v>1566288.628</v>
      </c>
      <c r="F12">
        <v>1744.2126390000001</v>
      </c>
      <c r="G12">
        <v>1.9608910439690445E-9</v>
      </c>
      <c r="J12">
        <v>799031.87139999995</v>
      </c>
      <c r="K12">
        <v>758.62783809999996</v>
      </c>
      <c r="N12">
        <v>799031.87139999995</v>
      </c>
      <c r="O12">
        <v>758.62783809999996</v>
      </c>
      <c r="P12">
        <v>-7.4068905374668435E-10</v>
      </c>
    </row>
    <row r="13" spans="1:16" x14ac:dyDescent="0.2">
      <c r="A13">
        <v>2312610.878</v>
      </c>
      <c r="B13">
        <v>1286.311989</v>
      </c>
      <c r="E13">
        <v>2312610.878</v>
      </c>
      <c r="F13">
        <v>1286.311989</v>
      </c>
      <c r="G13">
        <v>-2.1532155711107761E-10</v>
      </c>
      <c r="J13">
        <v>920666.97320000001</v>
      </c>
      <c r="K13">
        <v>936.91151879999995</v>
      </c>
      <c r="N13">
        <v>920666.97320000001</v>
      </c>
      <c r="O13">
        <v>936.91151879999995</v>
      </c>
      <c r="P13">
        <v>-7.2768837977766723E-9</v>
      </c>
    </row>
    <row r="14" spans="1:16" x14ac:dyDescent="0.2">
      <c r="A14">
        <v>2998631.3489999999</v>
      </c>
      <c r="B14">
        <v>994.12818870000001</v>
      </c>
      <c r="E14">
        <v>2998631.3489999999</v>
      </c>
      <c r="F14">
        <v>994.12818870000001</v>
      </c>
      <c r="G14">
        <v>4.0692894384296138E-10</v>
      </c>
      <c r="J14">
        <v>1152228.098</v>
      </c>
      <c r="K14">
        <v>1078.5470459999999</v>
      </c>
      <c r="N14">
        <v>1152228.098</v>
      </c>
      <c r="O14">
        <v>1078.5470459999999</v>
      </c>
      <c r="P14">
        <v>4.5778958022620341E-10</v>
      </c>
    </row>
    <row r="15" spans="1:16" x14ac:dyDescent="0.2">
      <c r="A15">
        <v>4173619.1889999998</v>
      </c>
      <c r="B15">
        <v>759.42241769999998</v>
      </c>
      <c r="E15">
        <v>4173619.1889999998</v>
      </c>
      <c r="F15">
        <v>759.42241769999998</v>
      </c>
      <c r="G15">
        <v>-8.4461039111658707E-12</v>
      </c>
      <c r="J15">
        <v>1741909.7139999999</v>
      </c>
      <c r="K15">
        <v>1301.290107</v>
      </c>
      <c r="N15">
        <v>1741909.7139999999</v>
      </c>
      <c r="O15">
        <v>1301.290107</v>
      </c>
      <c r="P15">
        <v>-7.9770645731052385E-10</v>
      </c>
    </row>
    <row r="16" spans="1:16" x14ac:dyDescent="0.2">
      <c r="A16">
        <v>5673435.9179999996</v>
      </c>
      <c r="B16">
        <v>580.14460459999998</v>
      </c>
      <c r="E16">
        <v>5673435.9179999996</v>
      </c>
      <c r="F16">
        <v>580.14460459999998</v>
      </c>
      <c r="G16">
        <v>3.2242520087552206E-11</v>
      </c>
      <c r="J16">
        <v>2180025.3229999999</v>
      </c>
      <c r="K16">
        <v>1348.0049799999999</v>
      </c>
      <c r="N16">
        <v>2180025.3229999999</v>
      </c>
      <c r="O16">
        <v>1348.0049799999999</v>
      </c>
      <c r="P16">
        <v>-5.8622638644526421E-10</v>
      </c>
    </row>
    <row r="17" spans="1:16" x14ac:dyDescent="0.2">
      <c r="A17">
        <v>7621690.0259999996</v>
      </c>
      <c r="B17">
        <v>422.91293769999999</v>
      </c>
      <c r="E17">
        <v>7621690.0259999996</v>
      </c>
      <c r="F17">
        <v>422.91293769999999</v>
      </c>
      <c r="G17">
        <v>1.1956457868748744E-11</v>
      </c>
      <c r="J17">
        <v>2664655.233</v>
      </c>
      <c r="K17">
        <v>1271.4170710000001</v>
      </c>
      <c r="N17">
        <v>2664655.233</v>
      </c>
      <c r="O17">
        <v>1271.4170710000001</v>
      </c>
      <c r="P17">
        <v>-3.2313429613713956E-10</v>
      </c>
    </row>
    <row r="18" spans="1:16" x14ac:dyDescent="0.2">
      <c r="A18">
        <v>10238973.289999999</v>
      </c>
      <c r="B18">
        <v>290.76868380000002</v>
      </c>
      <c r="E18">
        <v>10238973.289999999</v>
      </c>
      <c r="F18">
        <v>290.76868380000002</v>
      </c>
      <c r="G18">
        <v>3.5520811567189201E-12</v>
      </c>
      <c r="J18">
        <v>3070290.63</v>
      </c>
      <c r="K18">
        <v>1157.72775</v>
      </c>
      <c r="N18">
        <v>3070290.63</v>
      </c>
      <c r="O18">
        <v>1157.72775</v>
      </c>
      <c r="P18">
        <v>3.1064411929294331E-10</v>
      </c>
    </row>
    <row r="19" spans="1:16" x14ac:dyDescent="0.2">
      <c r="A19">
        <v>13276295.890000001</v>
      </c>
      <c r="B19">
        <v>182.03502839999999</v>
      </c>
      <c r="E19">
        <v>13276295.890000001</v>
      </c>
      <c r="F19">
        <v>182.03502839999999</v>
      </c>
      <c r="G19">
        <v>5.4899665384059832E-12</v>
      </c>
      <c r="J19">
        <v>4273357.5420000004</v>
      </c>
      <c r="K19">
        <v>994.32783470000004</v>
      </c>
      <c r="N19">
        <v>4273357.5420000004</v>
      </c>
      <c r="O19">
        <v>994.32783470000004</v>
      </c>
      <c r="P19">
        <v>-1.3814936960100262E-12</v>
      </c>
    </row>
    <row r="20" spans="1:16" x14ac:dyDescent="0.2">
      <c r="A20">
        <v>17214619.82</v>
      </c>
      <c r="B20">
        <v>100.19173139999999</v>
      </c>
      <c r="E20">
        <v>17214619.82</v>
      </c>
      <c r="F20">
        <v>100.19173139999999</v>
      </c>
      <c r="G20">
        <v>6.9233034683659925E-13</v>
      </c>
      <c r="J20">
        <v>6089973.2439999999</v>
      </c>
      <c r="K20">
        <v>864.08788200000004</v>
      </c>
      <c r="N20">
        <v>6089973.2439999999</v>
      </c>
      <c r="O20">
        <v>864.08788200000004</v>
      </c>
      <c r="P20">
        <v>1.0663872396702527E-11</v>
      </c>
    </row>
    <row r="21" spans="1:16" x14ac:dyDescent="0.2">
      <c r="A21">
        <v>20070773.16</v>
      </c>
      <c r="B21">
        <v>59.853590089999997</v>
      </c>
      <c r="E21">
        <v>20070773.16</v>
      </c>
      <c r="F21">
        <v>59.853590089999997</v>
      </c>
      <c r="G21">
        <v>3.1226430792647464E-12</v>
      </c>
      <c r="J21">
        <v>8181265.9919999996</v>
      </c>
      <c r="K21">
        <v>750.89729369999998</v>
      </c>
      <c r="N21">
        <v>8181265.9919999996</v>
      </c>
      <c r="O21">
        <v>750.89729369999998</v>
      </c>
      <c r="P21">
        <v>1.1752037893004568E-11</v>
      </c>
    </row>
    <row r="22" spans="1:16" x14ac:dyDescent="0.2">
      <c r="A22">
        <v>23678761.02</v>
      </c>
      <c r="B22">
        <v>32.943267589999998</v>
      </c>
      <c r="E22">
        <v>23678761.02</v>
      </c>
      <c r="F22">
        <v>32.943267589999998</v>
      </c>
      <c r="G22">
        <v>-6.5399603547483606E-13</v>
      </c>
      <c r="J22">
        <v>10990707.27</v>
      </c>
      <c r="K22">
        <v>660.23646069999995</v>
      </c>
      <c r="N22">
        <v>10990707.27</v>
      </c>
      <c r="O22">
        <v>660.23646069999995</v>
      </c>
      <c r="P22">
        <v>-2.2640314169356034E-12</v>
      </c>
    </row>
    <row r="23" spans="1:16" x14ac:dyDescent="0.2">
      <c r="A23">
        <v>26333756.809999999</v>
      </c>
      <c r="B23">
        <v>16.703965400000001</v>
      </c>
      <c r="E23">
        <v>26333756.809999999</v>
      </c>
      <c r="F23">
        <v>16.703965400000001</v>
      </c>
      <c r="G23">
        <v>1.8748314658598267E-12</v>
      </c>
      <c r="J23">
        <v>15117750.710000001</v>
      </c>
      <c r="K23">
        <v>534.8401556</v>
      </c>
      <c r="N23">
        <v>15117750.710000001</v>
      </c>
      <c r="O23">
        <v>534.8401556</v>
      </c>
      <c r="P23">
        <v>2.3523402791631659E-12</v>
      </c>
    </row>
    <row r="24" spans="1:16" x14ac:dyDescent="0.2">
      <c r="A24">
        <v>27935332.579999998</v>
      </c>
      <c r="B24">
        <v>10.70481109</v>
      </c>
      <c r="E24">
        <v>27935332.579999998</v>
      </c>
      <c r="F24">
        <v>10.70481109</v>
      </c>
      <c r="G24">
        <v>0</v>
      </c>
      <c r="J24">
        <v>21291444.57</v>
      </c>
      <c r="K24">
        <v>394.52753360000003</v>
      </c>
      <c r="N24">
        <v>21291444.57</v>
      </c>
      <c r="O24">
        <v>394.52753360000003</v>
      </c>
      <c r="P24">
        <v>1.1049136069034182E-12</v>
      </c>
    </row>
    <row r="25" spans="1:16" x14ac:dyDescent="0.2">
      <c r="J25">
        <v>29286445.649999999</v>
      </c>
      <c r="K25">
        <v>280.9862723</v>
      </c>
      <c r="N25">
        <v>29286445.649999999</v>
      </c>
      <c r="O25">
        <v>280.9862723</v>
      </c>
      <c r="P25">
        <v>6.6576705540037324E-13</v>
      </c>
    </row>
    <row r="26" spans="1:16" x14ac:dyDescent="0.2">
      <c r="J26">
        <v>43754793.75</v>
      </c>
      <c r="K26">
        <v>175.95712700000001</v>
      </c>
      <c r="N26">
        <v>43754793.75</v>
      </c>
      <c r="O26">
        <v>175.95712700000001</v>
      </c>
      <c r="P26">
        <v>2.0107868521965236E-13</v>
      </c>
    </row>
    <row r="27" spans="1:16" x14ac:dyDescent="0.2">
      <c r="J27">
        <v>62355073.409999996</v>
      </c>
      <c r="K27">
        <v>115.47482770000001</v>
      </c>
      <c r="N27">
        <v>62355073.409999996</v>
      </c>
      <c r="O27">
        <v>115.47482770000001</v>
      </c>
      <c r="P27">
        <v>5.9888613847072379E-14</v>
      </c>
    </row>
    <row r="28" spans="1:16" x14ac:dyDescent="0.2">
      <c r="J28">
        <v>87819254</v>
      </c>
      <c r="K28">
        <v>75.786777180000001</v>
      </c>
      <c r="N28">
        <v>87819254</v>
      </c>
      <c r="O28">
        <v>75.786777180000001</v>
      </c>
      <c r="P28">
        <v>4.4791796600232174E-14</v>
      </c>
    </row>
    <row r="29" spans="1:16" x14ac:dyDescent="0.2">
      <c r="J29">
        <v>98826131.370000005</v>
      </c>
      <c r="K29">
        <v>67.422875199999993</v>
      </c>
      <c r="N29">
        <v>98826131.370000005</v>
      </c>
      <c r="O29">
        <v>67.422875199999993</v>
      </c>
      <c r="P29">
        <v>0</v>
      </c>
    </row>
    <row r="30" spans="1:16" x14ac:dyDescent="0.2">
      <c r="J30" s="1"/>
    </row>
    <row r="31" spans="1:16" x14ac:dyDescent="0.2">
      <c r="J31" s="1"/>
    </row>
    <row r="32" spans="1:16" x14ac:dyDescent="0.2">
      <c r="J32" s="1"/>
    </row>
    <row r="33" spans="1:12" x14ac:dyDescent="0.2">
      <c r="J33" s="1"/>
    </row>
    <row r="34" spans="1:12" x14ac:dyDescent="0.2">
      <c r="J34" s="1"/>
    </row>
    <row r="35" spans="1:12" x14ac:dyDescent="0.2">
      <c r="J35" s="1"/>
    </row>
    <row r="36" spans="1:12" x14ac:dyDescent="0.2">
      <c r="J36" s="1"/>
    </row>
    <row r="37" spans="1:12" x14ac:dyDescent="0.2">
      <c r="J37" s="1"/>
    </row>
    <row r="38" spans="1:12" x14ac:dyDescent="0.2">
      <c r="J38" s="1"/>
    </row>
    <row r="39" spans="1:12" x14ac:dyDescent="0.2">
      <c r="J39" s="1"/>
    </row>
    <row r="40" spans="1:12" x14ac:dyDescent="0.2">
      <c r="J40" s="1"/>
    </row>
    <row r="41" spans="1:12" x14ac:dyDescent="0.2">
      <c r="J41" s="1"/>
    </row>
    <row r="42" spans="1:12" x14ac:dyDescent="0.2">
      <c r="J42" s="1"/>
    </row>
    <row r="43" spans="1:12" x14ac:dyDescent="0.2">
      <c r="A43">
        <v>102389.7329</v>
      </c>
      <c r="B43">
        <v>2391.1753039999999</v>
      </c>
      <c r="J43" s="1"/>
      <c r="K43">
        <v>101187.81200000001</v>
      </c>
      <c r="L43">
        <v>28.068856700000001</v>
      </c>
    </row>
    <row r="44" spans="1:12" x14ac:dyDescent="0.2">
      <c r="A44">
        <v>205504.11040000001</v>
      </c>
      <c r="B44">
        <v>2419.9716349999999</v>
      </c>
      <c r="J44" s="1"/>
      <c r="K44">
        <v>164204.3339</v>
      </c>
      <c r="L44">
        <v>40.402088579999997</v>
      </c>
    </row>
    <row r="45" spans="1:12" x14ac:dyDescent="0.2">
      <c r="A45">
        <v>398107.17060000001</v>
      </c>
      <c r="B45">
        <v>2536.746009</v>
      </c>
      <c r="J45" s="1"/>
      <c r="K45">
        <v>242446.20170000001</v>
      </c>
      <c r="L45">
        <v>60.224082869999997</v>
      </c>
    </row>
    <row r="46" spans="1:12" x14ac:dyDescent="0.2">
      <c r="A46">
        <v>608997.32440000004</v>
      </c>
      <c r="B46">
        <v>2627.922497</v>
      </c>
      <c r="J46" s="1"/>
      <c r="K46">
        <v>333485.47509999998</v>
      </c>
      <c r="L46">
        <v>99.745792489999999</v>
      </c>
    </row>
    <row r="47" spans="1:12" x14ac:dyDescent="0.2">
      <c r="A47">
        <v>818126.59920000006</v>
      </c>
      <c r="B47">
        <v>2537.3617869999998</v>
      </c>
      <c r="J47" s="1"/>
      <c r="K47">
        <v>448004.16470000002</v>
      </c>
      <c r="L47">
        <v>208.83550990000001</v>
      </c>
    </row>
    <row r="48" spans="1:12" x14ac:dyDescent="0.2">
      <c r="A48">
        <v>1048365.741</v>
      </c>
      <c r="B48">
        <v>2365.2445080000002</v>
      </c>
      <c r="J48" s="1"/>
      <c r="K48">
        <v>601848.49589999998</v>
      </c>
      <c r="L48">
        <v>432.09220269999997</v>
      </c>
    </row>
    <row r="49" spans="1:12" x14ac:dyDescent="0.2">
      <c r="A49">
        <v>1566288.628</v>
      </c>
      <c r="B49">
        <v>1744.2126390000001</v>
      </c>
      <c r="J49" s="1"/>
      <c r="K49">
        <v>799031.87139999995</v>
      </c>
      <c r="L49">
        <v>758.62783809999996</v>
      </c>
    </row>
    <row r="50" spans="1:12" x14ac:dyDescent="0.2">
      <c r="A50">
        <v>2312610.878</v>
      </c>
      <c r="B50">
        <v>1286.311989</v>
      </c>
      <c r="J50" s="1"/>
      <c r="K50">
        <v>920666.97320000001</v>
      </c>
      <c r="L50">
        <v>936.91151879999995</v>
      </c>
    </row>
    <row r="51" spans="1:12" x14ac:dyDescent="0.2">
      <c r="A51">
        <v>2998631.3489999999</v>
      </c>
      <c r="B51">
        <v>994.12818870000001</v>
      </c>
      <c r="J51" s="1"/>
      <c r="K51">
        <v>1152228.098</v>
      </c>
      <c r="L51">
        <v>1078.5470459999999</v>
      </c>
    </row>
    <row r="52" spans="1:12" x14ac:dyDescent="0.2">
      <c r="A52">
        <v>4173619.1889999998</v>
      </c>
      <c r="B52">
        <v>759.42241769999998</v>
      </c>
      <c r="J52" s="1"/>
      <c r="K52">
        <v>1741909.7139999999</v>
      </c>
      <c r="L52">
        <v>1301.290107</v>
      </c>
    </row>
    <row r="53" spans="1:12" x14ac:dyDescent="0.2">
      <c r="A53">
        <v>5673435.9179999996</v>
      </c>
      <c r="B53">
        <v>580.14460459999998</v>
      </c>
      <c r="J53" s="1"/>
      <c r="K53">
        <v>2180025.3229999999</v>
      </c>
      <c r="L53">
        <v>1348.0049799999999</v>
      </c>
    </row>
    <row r="54" spans="1:12" x14ac:dyDescent="0.2">
      <c r="A54">
        <v>7621690.0259999996</v>
      </c>
      <c r="B54">
        <v>422.91293769999999</v>
      </c>
      <c r="J54" s="1"/>
      <c r="K54">
        <v>2664655.233</v>
      </c>
      <c r="L54">
        <v>1271.4170710000001</v>
      </c>
    </row>
    <row r="55" spans="1:12" x14ac:dyDescent="0.2">
      <c r="A55">
        <v>10238973.289999999</v>
      </c>
      <c r="B55">
        <v>290.76868380000002</v>
      </c>
      <c r="J55" s="1"/>
      <c r="K55">
        <v>3070290.63</v>
      </c>
      <c r="L55">
        <v>1157.72775</v>
      </c>
    </row>
    <row r="56" spans="1:12" x14ac:dyDescent="0.2">
      <c r="A56">
        <v>13276295.890000001</v>
      </c>
      <c r="B56">
        <v>182.03502839999999</v>
      </c>
      <c r="J56" s="1"/>
      <c r="K56">
        <v>4273357.5420000004</v>
      </c>
      <c r="L56">
        <v>994.32783470000004</v>
      </c>
    </row>
    <row r="57" spans="1:12" x14ac:dyDescent="0.2">
      <c r="A57">
        <v>17214619.82</v>
      </c>
      <c r="B57">
        <v>100.19173139999999</v>
      </c>
      <c r="J57" s="1"/>
      <c r="K57">
        <v>6089973.2439999999</v>
      </c>
      <c r="L57">
        <v>864.08788200000004</v>
      </c>
    </row>
    <row r="58" spans="1:12" x14ac:dyDescent="0.2">
      <c r="A58">
        <v>20070773.16</v>
      </c>
      <c r="B58">
        <v>59.853590089999997</v>
      </c>
      <c r="J58" s="1"/>
      <c r="K58">
        <v>8181265.9919999996</v>
      </c>
      <c r="L58">
        <v>750.89729369999998</v>
      </c>
    </row>
    <row r="59" spans="1:12" x14ac:dyDescent="0.2">
      <c r="A59">
        <v>23678761.02</v>
      </c>
      <c r="B59">
        <v>32.943267589999998</v>
      </c>
      <c r="J59" s="1"/>
      <c r="K59">
        <v>10990707.27</v>
      </c>
      <c r="L59">
        <v>660.23646069999995</v>
      </c>
    </row>
    <row r="60" spans="1:12" x14ac:dyDescent="0.2">
      <c r="A60">
        <v>26333756.809999999</v>
      </c>
      <c r="B60">
        <v>16.703965400000001</v>
      </c>
      <c r="J60" s="1"/>
      <c r="K60">
        <v>15117750.710000001</v>
      </c>
      <c r="L60">
        <v>534.8401556</v>
      </c>
    </row>
    <row r="61" spans="1:12" x14ac:dyDescent="0.2">
      <c r="A61">
        <v>27935332.579999998</v>
      </c>
      <c r="B61">
        <v>10.70481109</v>
      </c>
      <c r="J61" s="1"/>
      <c r="K61">
        <v>21291444.57</v>
      </c>
      <c r="L61">
        <v>394.52753360000003</v>
      </c>
    </row>
    <row r="62" spans="1:12" x14ac:dyDescent="0.2">
      <c r="J62" s="1"/>
      <c r="K62">
        <v>29286445.649999999</v>
      </c>
      <c r="L62">
        <v>280.9862723</v>
      </c>
    </row>
    <row r="63" spans="1:12" x14ac:dyDescent="0.2">
      <c r="J63" s="1"/>
      <c r="K63">
        <v>43754793.75</v>
      </c>
      <c r="L63">
        <v>175.95712700000001</v>
      </c>
    </row>
    <row r="64" spans="1:12" x14ac:dyDescent="0.2">
      <c r="J64" s="1"/>
      <c r="K64">
        <v>62355073.409999996</v>
      </c>
      <c r="L64">
        <v>115.47482770000001</v>
      </c>
    </row>
    <row r="65" spans="10:17" x14ac:dyDescent="0.2">
      <c r="J65" s="1"/>
      <c r="K65">
        <v>87819254</v>
      </c>
      <c r="L65">
        <v>75.786777180000001</v>
      </c>
    </row>
    <row r="66" spans="10:17" x14ac:dyDescent="0.2">
      <c r="J66" s="1"/>
      <c r="K66">
        <v>98826131.370000005</v>
      </c>
      <c r="L66">
        <v>67.422875199999993</v>
      </c>
      <c r="Q66" t="s">
        <v>28</v>
      </c>
    </row>
  </sheetData>
  <mergeCells count="2">
    <mergeCell ref="E5:G5"/>
    <mergeCell ref="N5:P5"/>
  </mergeCells>
  <phoneticPr fontId="0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BN-73-202</vt:lpstr>
      <vt:lpstr>Mix</vt:lpstr>
      <vt:lpstr>CSTableU1</vt:lpstr>
      <vt:lpstr>CSTableU2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OWEN DUFFY</dc:creator>
  <cp:lastModifiedBy>owen</cp:lastModifiedBy>
  <dcterms:created xsi:type="dcterms:W3CDTF">2010-06-30T06:45:52Z</dcterms:created>
  <dcterms:modified xsi:type="dcterms:W3CDTF">2013-11-23T09:33:28Z</dcterms:modified>
</cp:coreProperties>
</file>