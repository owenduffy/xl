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U:\hg\xl\"/>
    </mc:Choice>
  </mc:AlternateContent>
  <bookViews>
    <workbookView xWindow="600" yWindow="225" windowWidth="20700" windowHeight="11190" activeTab="1"/>
  </bookViews>
  <sheets>
    <sheet name="BN-73-202" sheetId="1" r:id="rId1"/>
    <sheet name="BN-73-202 (2)" sheetId="3" r:id="rId2"/>
    <sheet name="Mix" sheetId="2" r:id="rId3"/>
  </sheets>
  <functionGroups builtInGroupCount="18"/>
  <definedNames>
    <definedName name="CSTableU1">Mix!$E$6:$G$24</definedName>
    <definedName name="CSTableU2">Mix!$N$6:$P$29</definedName>
  </definedNames>
  <calcPr calcId="152511"/>
</workbook>
</file>

<file path=xl/calcChain.xml><?xml version="1.0" encoding="utf-8"?>
<calcChain xmlns="http://schemas.openxmlformats.org/spreadsheetml/2006/main">
  <c r="AE24" i="3" l="1"/>
  <c r="AD24" i="3"/>
  <c r="AC24" i="3"/>
  <c r="AB24" i="3"/>
  <c r="AA24" i="3"/>
  <c r="M24" i="3"/>
  <c r="L24" i="3"/>
  <c r="K24" i="3"/>
  <c r="J24" i="3"/>
  <c r="I24" i="3"/>
  <c r="H24" i="3"/>
  <c r="G24" i="3"/>
  <c r="F24" i="3"/>
  <c r="E24" i="3"/>
  <c r="D24" i="3"/>
  <c r="C24" i="3"/>
  <c r="B24" i="3"/>
  <c r="N18" i="3"/>
  <c r="B16" i="3"/>
  <c r="B13" i="3"/>
  <c r="B12" i="3"/>
  <c r="B33" i="3"/>
  <c r="C33" i="3"/>
  <c r="N24" i="3" l="1"/>
  <c r="O18" i="3"/>
  <c r="B12" i="1"/>
  <c r="B13" i="1"/>
  <c r="B16" i="1"/>
  <c r="N18" i="1"/>
  <c r="O18" i="1"/>
  <c r="P18" i="1" s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AA24" i="1"/>
  <c r="AB24" i="1"/>
  <c r="AC24" i="1"/>
  <c r="AD24" i="1"/>
  <c r="AE24" i="1"/>
  <c r="N6" i="2" a="1"/>
  <c r="E6" i="2" a="1"/>
  <c r="C33" i="1"/>
  <c r="B33" i="1"/>
  <c r="O24" i="3" l="1"/>
  <c r="P18" i="3"/>
  <c r="E17" i="2"/>
  <c r="F20" i="2"/>
  <c r="F22" i="2"/>
  <c r="E6" i="2"/>
  <c r="G6" i="2"/>
  <c r="F7" i="2"/>
  <c r="E8" i="2"/>
  <c r="G8" i="2"/>
  <c r="F9" i="2"/>
  <c r="E10" i="2"/>
  <c r="G10" i="2"/>
  <c r="F11" i="2"/>
  <c r="E12" i="2"/>
  <c r="G12" i="2"/>
  <c r="F13" i="2"/>
  <c r="E14" i="2"/>
  <c r="G14" i="2"/>
  <c r="F15" i="2"/>
  <c r="E16" i="2"/>
  <c r="G16" i="2"/>
  <c r="F17" i="2"/>
  <c r="E18" i="2"/>
  <c r="G18" i="2"/>
  <c r="F19" i="2"/>
  <c r="E20" i="2"/>
  <c r="G20" i="2"/>
  <c r="F21" i="2"/>
  <c r="E22" i="2"/>
  <c r="G22" i="2"/>
  <c r="F23" i="2"/>
  <c r="E24" i="2"/>
  <c r="G24" i="2"/>
  <c r="F6" i="2"/>
  <c r="E7" i="2"/>
  <c r="G7" i="2"/>
  <c r="F8" i="2"/>
  <c r="E9" i="2"/>
  <c r="G9" i="2"/>
  <c r="F10" i="2"/>
  <c r="E11" i="2"/>
  <c r="G11" i="2"/>
  <c r="F12" i="2"/>
  <c r="E13" i="2"/>
  <c r="G13" i="2"/>
  <c r="F14" i="2"/>
  <c r="E15" i="2"/>
  <c r="G15" i="2"/>
  <c r="F16" i="2"/>
  <c r="G17" i="2"/>
  <c r="F18" i="2"/>
  <c r="E19" i="2"/>
  <c r="G19" i="2"/>
  <c r="E21" i="2"/>
  <c r="G21" i="2"/>
  <c r="E23" i="2"/>
  <c r="G23" i="2"/>
  <c r="F24" i="2"/>
  <c r="N6" i="2"/>
  <c r="P6" i="2"/>
  <c r="O7" i="2"/>
  <c r="N8" i="2"/>
  <c r="P8" i="2"/>
  <c r="O9" i="2"/>
  <c r="N10" i="2"/>
  <c r="P10" i="2"/>
  <c r="O11" i="2"/>
  <c r="N12" i="2"/>
  <c r="P12" i="2"/>
  <c r="O13" i="2"/>
  <c r="N14" i="2"/>
  <c r="P14" i="2"/>
  <c r="O15" i="2"/>
  <c r="N16" i="2"/>
  <c r="P16" i="2"/>
  <c r="O17" i="2"/>
  <c r="N18" i="2"/>
  <c r="P18" i="2"/>
  <c r="O19" i="2"/>
  <c r="N20" i="2"/>
  <c r="P20" i="2"/>
  <c r="O21" i="2"/>
  <c r="N22" i="2"/>
  <c r="P22" i="2"/>
  <c r="O23" i="2"/>
  <c r="N24" i="2"/>
  <c r="P24" i="2"/>
  <c r="O25" i="2"/>
  <c r="N26" i="2"/>
  <c r="P26" i="2"/>
  <c r="O27" i="2"/>
  <c r="N28" i="2"/>
  <c r="P28" i="2"/>
  <c r="O29" i="2"/>
  <c r="O6" i="2"/>
  <c r="N7" i="2"/>
  <c r="P7" i="2"/>
  <c r="O8" i="2"/>
  <c r="N9" i="2"/>
  <c r="P9" i="2"/>
  <c r="O10" i="2"/>
  <c r="N11" i="2"/>
  <c r="P11" i="2"/>
  <c r="O12" i="2"/>
  <c r="N13" i="2"/>
  <c r="P13" i="2"/>
  <c r="O14" i="2"/>
  <c r="N15" i="2"/>
  <c r="P15" i="2"/>
  <c r="O16" i="2"/>
  <c r="N17" i="2"/>
  <c r="P17" i="2"/>
  <c r="O18" i="2"/>
  <c r="N19" i="2"/>
  <c r="P19" i="2"/>
  <c r="O20" i="2"/>
  <c r="N21" i="2"/>
  <c r="P21" i="2"/>
  <c r="O22" i="2"/>
  <c r="N23" i="2"/>
  <c r="P23" i="2"/>
  <c r="O24" i="2"/>
  <c r="N25" i="2"/>
  <c r="P25" i="2"/>
  <c r="O26" i="2"/>
  <c r="N27" i="2"/>
  <c r="P27" i="2"/>
  <c r="O28" i="2"/>
  <c r="N29" i="2"/>
  <c r="P29" i="2"/>
  <c r="Q18" i="1"/>
  <c r="P24" i="1"/>
  <c r="O19" i="3"/>
  <c r="N20" i="3"/>
  <c r="C20" i="3"/>
  <c r="E20" i="3"/>
  <c r="G20" i="3"/>
  <c r="I20" i="3"/>
  <c r="K20" i="3"/>
  <c r="M20" i="3"/>
  <c r="AA20" i="3"/>
  <c r="AC20" i="3"/>
  <c r="AE20" i="3"/>
  <c r="B20" i="3"/>
  <c r="D20" i="3"/>
  <c r="F20" i="3"/>
  <c r="H20" i="3"/>
  <c r="J20" i="3"/>
  <c r="L20" i="3"/>
  <c r="AB20" i="3"/>
  <c r="AD20" i="3"/>
  <c r="M19" i="1"/>
  <c r="AA19" i="1"/>
  <c r="D19" i="1"/>
  <c r="AE19" i="1"/>
  <c r="J19" i="1"/>
  <c r="B19" i="1"/>
  <c r="F19" i="1"/>
  <c r="AB19" i="1"/>
  <c r="P19" i="1"/>
  <c r="C19" i="1"/>
  <c r="G20" i="1"/>
  <c r="N20" i="1"/>
  <c r="O20" i="1"/>
  <c r="B20" i="1"/>
  <c r="AC20" i="1"/>
  <c r="AD20" i="1"/>
  <c r="C20" i="1"/>
  <c r="F20" i="1"/>
  <c r="J20" i="1"/>
  <c r="K20" i="1"/>
  <c r="AD19" i="1"/>
  <c r="K19" i="1"/>
  <c r="O19" i="1"/>
  <c r="L19" i="1"/>
  <c r="E19" i="1"/>
  <c r="I19" i="1"/>
  <c r="AB20" i="1"/>
  <c r="D20" i="1"/>
  <c r="P20" i="1"/>
  <c r="H20" i="1"/>
  <c r="M20" i="1"/>
  <c r="O20" i="3"/>
  <c r="N19" i="3"/>
  <c r="C19" i="3"/>
  <c r="E19" i="3"/>
  <c r="G19" i="3"/>
  <c r="I19" i="3"/>
  <c r="K19" i="3"/>
  <c r="M19" i="3"/>
  <c r="AA19" i="3"/>
  <c r="AC19" i="3"/>
  <c r="AE19" i="3"/>
  <c r="B19" i="3"/>
  <c r="D19" i="3"/>
  <c r="F19" i="3"/>
  <c r="H19" i="3"/>
  <c r="J19" i="3"/>
  <c r="L19" i="3"/>
  <c r="AB19" i="3"/>
  <c r="AD19" i="3"/>
  <c r="G19" i="1"/>
  <c r="AC19" i="1"/>
  <c r="H19" i="1"/>
  <c r="N19" i="1"/>
  <c r="I20" i="1"/>
  <c r="AA20" i="1"/>
  <c r="AE20" i="1"/>
  <c r="E20" i="1"/>
  <c r="L20" i="1"/>
  <c r="AD21" i="3" l="1"/>
  <c r="AB21" i="3"/>
  <c r="L21" i="3"/>
  <c r="J21" i="3"/>
  <c r="H21" i="3"/>
  <c r="F21" i="3"/>
  <c r="D21" i="3"/>
  <c r="B21" i="3"/>
  <c r="AE21" i="3"/>
  <c r="AC21" i="3"/>
  <c r="AA21" i="3"/>
  <c r="M21" i="3"/>
  <c r="K21" i="3"/>
  <c r="I21" i="3"/>
  <c r="G21" i="3"/>
  <c r="E21" i="3"/>
  <c r="C21" i="3"/>
  <c r="N21" i="3"/>
  <c r="O22" i="3"/>
  <c r="AD22" i="3"/>
  <c r="AB22" i="3"/>
  <c r="L22" i="3"/>
  <c r="J22" i="3"/>
  <c r="H22" i="3"/>
  <c r="F22" i="3"/>
  <c r="D22" i="3"/>
  <c r="B22" i="3"/>
  <c r="AE22" i="3"/>
  <c r="AC22" i="3"/>
  <c r="AA22" i="3"/>
  <c r="M22" i="3"/>
  <c r="K22" i="3"/>
  <c r="I22" i="3"/>
  <c r="G22" i="3"/>
  <c r="E22" i="3"/>
  <c r="C22" i="3"/>
  <c r="N22" i="3"/>
  <c r="O21" i="3"/>
  <c r="P24" i="3"/>
  <c r="Q18" i="3"/>
  <c r="J22" i="1"/>
  <c r="P22" i="1"/>
  <c r="L22" i="1"/>
  <c r="AC22" i="1"/>
  <c r="AE22" i="1"/>
  <c r="B22" i="1"/>
  <c r="D22" i="1"/>
  <c r="F22" i="1"/>
  <c r="H22" i="1"/>
  <c r="O22" i="1"/>
  <c r="AA22" i="1"/>
  <c r="C22" i="1"/>
  <c r="N22" i="1"/>
  <c r="E22" i="1"/>
  <c r="AB22" i="1"/>
  <c r="G22" i="1"/>
  <c r="I22" i="1"/>
  <c r="AD22" i="1"/>
  <c r="K22" i="1"/>
  <c r="M22" i="1"/>
  <c r="C21" i="1"/>
  <c r="N21" i="1"/>
  <c r="I21" i="1"/>
  <c r="I23" i="1" s="1"/>
  <c r="I25" i="1" s="1"/>
  <c r="O21" i="1"/>
  <c r="AE21" i="1"/>
  <c r="AC21" i="1"/>
  <c r="D21" i="1"/>
  <c r="F21" i="1"/>
  <c r="L21" i="1"/>
  <c r="P21" i="1"/>
  <c r="P23" i="1" s="1"/>
  <c r="P25" i="1" s="1"/>
  <c r="E21" i="1"/>
  <c r="B21" i="1"/>
  <c r="H21" i="1"/>
  <c r="K21" i="1"/>
  <c r="AA21" i="1"/>
  <c r="G21" i="1"/>
  <c r="M21" i="1"/>
  <c r="J21" i="1"/>
  <c r="AB21" i="1"/>
  <c r="AB23" i="1" s="1"/>
  <c r="AB25" i="1" s="1"/>
  <c r="AD21" i="1"/>
  <c r="AD23" i="1" s="1"/>
  <c r="AD25" i="1" s="1"/>
  <c r="R18" i="1"/>
  <c r="Q24" i="1"/>
  <c r="P19" i="3"/>
  <c r="Q19" i="1"/>
  <c r="P20" i="3"/>
  <c r="Q20" i="1"/>
  <c r="O23" i="3" l="1"/>
  <c r="O25" i="3" s="1"/>
  <c r="O27" i="3" s="1"/>
  <c r="N23" i="3"/>
  <c r="N25" i="3" s="1"/>
  <c r="N61" i="3" s="1"/>
  <c r="E23" i="3"/>
  <c r="E25" i="3" s="1"/>
  <c r="E60" i="3" s="1"/>
  <c r="I23" i="3"/>
  <c r="I25" i="3" s="1"/>
  <c r="I28" i="3" s="1"/>
  <c r="M23" i="3"/>
  <c r="M25" i="3" s="1"/>
  <c r="M28" i="3" s="1"/>
  <c r="AC23" i="3"/>
  <c r="AC25" i="3" s="1"/>
  <c r="AC60" i="3" s="1"/>
  <c r="B23" i="3"/>
  <c r="B25" i="3" s="1"/>
  <c r="B61" i="3" s="1"/>
  <c r="F23" i="3"/>
  <c r="F25" i="3" s="1"/>
  <c r="F60" i="3" s="1"/>
  <c r="J23" i="3"/>
  <c r="J25" i="3" s="1"/>
  <c r="J60" i="3" s="1"/>
  <c r="AB23" i="3"/>
  <c r="AB25" i="3" s="1"/>
  <c r="AB60" i="3" s="1"/>
  <c r="P22" i="3"/>
  <c r="P21" i="3"/>
  <c r="Q24" i="3"/>
  <c r="R18" i="3"/>
  <c r="N60" i="3"/>
  <c r="N27" i="3"/>
  <c r="I60" i="3"/>
  <c r="I26" i="3"/>
  <c r="I27" i="3"/>
  <c r="AC28" i="3"/>
  <c r="AC27" i="3"/>
  <c r="F61" i="3"/>
  <c r="F28" i="3"/>
  <c r="F26" i="3"/>
  <c r="J61" i="3"/>
  <c r="AB61" i="3"/>
  <c r="AB28" i="3"/>
  <c r="AB26" i="3"/>
  <c r="O26" i="3"/>
  <c r="M26" i="3"/>
  <c r="C23" i="3"/>
  <c r="C25" i="3" s="1"/>
  <c r="G23" i="3"/>
  <c r="G25" i="3" s="1"/>
  <c r="K23" i="3"/>
  <c r="K25" i="3" s="1"/>
  <c r="AA23" i="3"/>
  <c r="AA25" i="3" s="1"/>
  <c r="AE23" i="3"/>
  <c r="AE25" i="3" s="1"/>
  <c r="D23" i="3"/>
  <c r="D25" i="3" s="1"/>
  <c r="H23" i="3"/>
  <c r="H25" i="3" s="1"/>
  <c r="L23" i="3"/>
  <c r="L25" i="3" s="1"/>
  <c r="AD23" i="3"/>
  <c r="AD25" i="3" s="1"/>
  <c r="AD27" i="1"/>
  <c r="AD60" i="1"/>
  <c r="AD61" i="1"/>
  <c r="P28" i="1"/>
  <c r="P61" i="1"/>
  <c r="P60" i="1"/>
  <c r="AB27" i="1"/>
  <c r="AB60" i="1"/>
  <c r="AB61" i="1"/>
  <c r="I27" i="1"/>
  <c r="I61" i="1"/>
  <c r="I60" i="1"/>
  <c r="K23" i="1"/>
  <c r="K25" i="1" s="1"/>
  <c r="K26" i="1" s="1"/>
  <c r="M23" i="1"/>
  <c r="M25" i="1" s="1"/>
  <c r="B23" i="1"/>
  <c r="B25" i="1" s="1"/>
  <c r="P26" i="1"/>
  <c r="G23" i="1"/>
  <c r="G25" i="1" s="1"/>
  <c r="AA23" i="1"/>
  <c r="AA25" i="1" s="1"/>
  <c r="D23" i="1"/>
  <c r="D25" i="1" s="1"/>
  <c r="AC23" i="1"/>
  <c r="AC25" i="1" s="1"/>
  <c r="AE23" i="1"/>
  <c r="AE25" i="1" s="1"/>
  <c r="J23" i="1"/>
  <c r="J25" i="1" s="1"/>
  <c r="H23" i="1"/>
  <c r="H25" i="1" s="1"/>
  <c r="E23" i="1"/>
  <c r="E25" i="1" s="1"/>
  <c r="L23" i="1"/>
  <c r="L25" i="1" s="1"/>
  <c r="F23" i="1"/>
  <c r="F25" i="1" s="1"/>
  <c r="C23" i="1"/>
  <c r="C25" i="1" s="1"/>
  <c r="AB28" i="1"/>
  <c r="AB26" i="1"/>
  <c r="P27" i="1"/>
  <c r="AD26" i="1"/>
  <c r="AD28" i="1"/>
  <c r="I26" i="1"/>
  <c r="I28" i="1"/>
  <c r="O23" i="1"/>
  <c r="O25" i="1" s="1"/>
  <c r="N23" i="1"/>
  <c r="N25" i="1" s="1"/>
  <c r="Q22" i="1"/>
  <c r="Q21" i="1"/>
  <c r="S18" i="1"/>
  <c r="R24" i="1"/>
  <c r="Q19" i="3"/>
  <c r="R20" i="1"/>
  <c r="R19" i="1"/>
  <c r="Q20" i="3"/>
  <c r="B60" i="3" l="1"/>
  <c r="E27" i="3"/>
  <c r="O61" i="3"/>
  <c r="J26" i="3"/>
  <c r="B27" i="3"/>
  <c r="M61" i="3"/>
  <c r="M60" i="3"/>
  <c r="E28" i="3"/>
  <c r="O60" i="3"/>
  <c r="J28" i="3"/>
  <c r="B26" i="3"/>
  <c r="B28" i="3"/>
  <c r="M27" i="3"/>
  <c r="E61" i="3"/>
  <c r="E26" i="3"/>
  <c r="O28" i="3"/>
  <c r="J27" i="3"/>
  <c r="AB27" i="3"/>
  <c r="F27" i="3"/>
  <c r="AC61" i="3"/>
  <c r="AC26" i="3"/>
  <c r="I61" i="3"/>
  <c r="N26" i="3"/>
  <c r="N28" i="3"/>
  <c r="P23" i="3"/>
  <c r="P25" i="3" s="1"/>
  <c r="P61" i="3" s="1"/>
  <c r="Q22" i="3"/>
  <c r="Q21" i="3"/>
  <c r="L61" i="3"/>
  <c r="L60" i="3"/>
  <c r="L28" i="3"/>
  <c r="L27" i="3"/>
  <c r="L26" i="3"/>
  <c r="D61" i="3"/>
  <c r="D60" i="3"/>
  <c r="D28" i="3"/>
  <c r="D27" i="3"/>
  <c r="D26" i="3"/>
  <c r="AA61" i="3"/>
  <c r="AA27" i="3"/>
  <c r="AA26" i="3"/>
  <c r="AA60" i="3"/>
  <c r="AA28" i="3"/>
  <c r="G61" i="3"/>
  <c r="G27" i="3"/>
  <c r="G60" i="3"/>
  <c r="G28" i="3"/>
  <c r="G26" i="3"/>
  <c r="R24" i="3"/>
  <c r="S18" i="3"/>
  <c r="AD61" i="3"/>
  <c r="AD60" i="3"/>
  <c r="AD28" i="3"/>
  <c r="AD27" i="3"/>
  <c r="AD26" i="3"/>
  <c r="H61" i="3"/>
  <c r="H60" i="3"/>
  <c r="H28" i="3"/>
  <c r="H27" i="3"/>
  <c r="H26" i="3"/>
  <c r="AE61" i="3"/>
  <c r="AE27" i="3"/>
  <c r="AE60" i="3"/>
  <c r="AE28" i="3"/>
  <c r="AE26" i="3"/>
  <c r="K61" i="3"/>
  <c r="K27" i="3"/>
  <c r="K26" i="3"/>
  <c r="K60" i="3"/>
  <c r="K28" i="3"/>
  <c r="C61" i="3"/>
  <c r="C27" i="3"/>
  <c r="C26" i="3"/>
  <c r="C60" i="3"/>
  <c r="C28" i="3"/>
  <c r="C27" i="1"/>
  <c r="C61" i="1"/>
  <c r="C60" i="1"/>
  <c r="L27" i="1"/>
  <c r="L61" i="1"/>
  <c r="L60" i="1"/>
  <c r="H26" i="1"/>
  <c r="H61" i="1"/>
  <c r="H60" i="1"/>
  <c r="AE26" i="1"/>
  <c r="AE61" i="1"/>
  <c r="AE60" i="1"/>
  <c r="D27" i="1"/>
  <c r="D61" i="1"/>
  <c r="D60" i="1"/>
  <c r="G26" i="1"/>
  <c r="G61" i="1"/>
  <c r="G60" i="1"/>
  <c r="B27" i="1"/>
  <c r="B61" i="1"/>
  <c r="B60" i="1"/>
  <c r="M28" i="1"/>
  <c r="M61" i="1"/>
  <c r="M60" i="1"/>
  <c r="O61" i="1"/>
  <c r="O60" i="1"/>
  <c r="N61" i="1"/>
  <c r="N60" i="1"/>
  <c r="F28" i="1"/>
  <c r="F61" i="1"/>
  <c r="F60" i="1"/>
  <c r="E27" i="1"/>
  <c r="E61" i="1"/>
  <c r="E60" i="1"/>
  <c r="J27" i="1"/>
  <c r="J61" i="1"/>
  <c r="J60" i="1"/>
  <c r="AC26" i="1"/>
  <c r="AC61" i="1"/>
  <c r="AC60" i="1"/>
  <c r="AA28" i="1"/>
  <c r="AA61" i="1"/>
  <c r="AA60" i="1"/>
  <c r="K28" i="1"/>
  <c r="K61" i="1"/>
  <c r="K60" i="1"/>
  <c r="K27" i="1"/>
  <c r="B26" i="1"/>
  <c r="D28" i="1"/>
  <c r="D26" i="1"/>
  <c r="B28" i="1"/>
  <c r="M26" i="1"/>
  <c r="H28" i="1"/>
  <c r="M27" i="1"/>
  <c r="L28" i="1"/>
  <c r="Q23" i="1"/>
  <c r="Q25" i="1" s="1"/>
  <c r="F27" i="1"/>
  <c r="AC27" i="1"/>
  <c r="F26" i="1"/>
  <c r="C26" i="1"/>
  <c r="AC28" i="1"/>
  <c r="AA27" i="1"/>
  <c r="AA26" i="1"/>
  <c r="AE28" i="1"/>
  <c r="AE27" i="1"/>
  <c r="G27" i="1"/>
  <c r="G28" i="1"/>
  <c r="L26" i="1"/>
  <c r="H27" i="1"/>
  <c r="C28" i="1"/>
  <c r="E26" i="1"/>
  <c r="E28" i="1"/>
  <c r="J28" i="1"/>
  <c r="J26" i="1"/>
  <c r="O27" i="1"/>
  <c r="O26" i="1"/>
  <c r="O28" i="1"/>
  <c r="N26" i="1"/>
  <c r="N28" i="1"/>
  <c r="N27" i="1"/>
  <c r="R22" i="1"/>
  <c r="R21" i="1"/>
  <c r="T18" i="1"/>
  <c r="S24" i="1"/>
  <c r="R19" i="3"/>
  <c r="S19" i="1"/>
  <c r="S20" i="1"/>
  <c r="R20" i="3"/>
  <c r="P27" i="3" l="1"/>
  <c r="P60" i="3"/>
  <c r="P26" i="3"/>
  <c r="P28" i="3"/>
  <c r="Q23" i="3"/>
  <c r="Q25" i="3" s="1"/>
  <c r="Q60" i="3" s="1"/>
  <c r="R22" i="3"/>
  <c r="R21" i="3"/>
  <c r="R23" i="3" s="1"/>
  <c r="R25" i="3" s="1"/>
  <c r="S24" i="3"/>
  <c r="T18" i="3"/>
  <c r="Q27" i="1"/>
  <c r="Q61" i="1"/>
  <c r="Q60" i="1"/>
  <c r="Q26" i="1"/>
  <c r="Q28" i="1"/>
  <c r="R23" i="1"/>
  <c r="R25" i="1" s="1"/>
  <c r="S22" i="1"/>
  <c r="S21" i="1"/>
  <c r="U18" i="1"/>
  <c r="T24" i="1"/>
  <c r="S19" i="3"/>
  <c r="T20" i="1"/>
  <c r="S20" i="3"/>
  <c r="T19" i="1"/>
  <c r="Q61" i="3" l="1"/>
  <c r="Q28" i="3"/>
  <c r="Q27" i="3"/>
  <c r="Q26" i="3"/>
  <c r="S22" i="3"/>
  <c r="S21" i="3"/>
  <c r="T24" i="3"/>
  <c r="U18" i="3"/>
  <c r="R61" i="3"/>
  <c r="R60" i="3"/>
  <c r="R28" i="3"/>
  <c r="R27" i="3"/>
  <c r="R26" i="3"/>
  <c r="R26" i="1"/>
  <c r="R60" i="1"/>
  <c r="R61" i="1"/>
  <c r="R27" i="1"/>
  <c r="R28" i="1"/>
  <c r="S23" i="1"/>
  <c r="S25" i="1" s="1"/>
  <c r="T21" i="1"/>
  <c r="T22" i="1"/>
  <c r="V18" i="1"/>
  <c r="U24" i="1"/>
  <c r="T19" i="3"/>
  <c r="U20" i="1"/>
  <c r="U19" i="1"/>
  <c r="T20" i="3"/>
  <c r="S23" i="3" l="1"/>
  <c r="S25" i="3" s="1"/>
  <c r="S61" i="3" s="1"/>
  <c r="T22" i="3"/>
  <c r="T21" i="3"/>
  <c r="U24" i="3"/>
  <c r="V18" i="3"/>
  <c r="S26" i="1"/>
  <c r="S61" i="1"/>
  <c r="S60" i="1"/>
  <c r="S27" i="1"/>
  <c r="S28" i="1"/>
  <c r="T23" i="1"/>
  <c r="T25" i="1" s="1"/>
  <c r="U21" i="1"/>
  <c r="U22" i="1"/>
  <c r="W18" i="1"/>
  <c r="V24" i="1"/>
  <c r="U19" i="3"/>
  <c r="V20" i="1"/>
  <c r="U20" i="3"/>
  <c r="V19" i="1"/>
  <c r="S60" i="3" l="1"/>
  <c r="S27" i="3"/>
  <c r="S28" i="3"/>
  <c r="S26" i="3"/>
  <c r="T23" i="3"/>
  <c r="T25" i="3" s="1"/>
  <c r="T61" i="3" s="1"/>
  <c r="U22" i="3"/>
  <c r="U21" i="3"/>
  <c r="V24" i="3"/>
  <c r="W18" i="3"/>
  <c r="T27" i="1"/>
  <c r="T60" i="1"/>
  <c r="T61" i="1"/>
  <c r="T28" i="1"/>
  <c r="T26" i="1"/>
  <c r="U23" i="1"/>
  <c r="U25" i="1" s="1"/>
  <c r="V22" i="1"/>
  <c r="V21" i="1"/>
  <c r="X18" i="1"/>
  <c r="W24" i="1"/>
  <c r="V20" i="3"/>
  <c r="W19" i="1"/>
  <c r="V19" i="3"/>
  <c r="W20" i="1"/>
  <c r="T27" i="3" l="1"/>
  <c r="T60" i="3"/>
  <c r="T26" i="3"/>
  <c r="T28" i="3"/>
  <c r="V21" i="3"/>
  <c r="V22" i="3"/>
  <c r="W24" i="3"/>
  <c r="X18" i="3"/>
  <c r="U23" i="3"/>
  <c r="U25" i="3" s="1"/>
  <c r="U26" i="1"/>
  <c r="U61" i="1"/>
  <c r="U60" i="1"/>
  <c r="U28" i="1"/>
  <c r="V23" i="1"/>
  <c r="V25" i="1" s="1"/>
  <c r="U27" i="1"/>
  <c r="W22" i="1"/>
  <c r="W21" i="1"/>
  <c r="X24" i="1"/>
  <c r="Y18" i="1"/>
  <c r="W19" i="3"/>
  <c r="X20" i="1"/>
  <c r="W20" i="3"/>
  <c r="X19" i="1"/>
  <c r="V23" i="3" l="1"/>
  <c r="V25" i="3" s="1"/>
  <c r="V60" i="3" s="1"/>
  <c r="W22" i="3"/>
  <c r="W21" i="3"/>
  <c r="W23" i="3" s="1"/>
  <c r="W25" i="3" s="1"/>
  <c r="X24" i="3"/>
  <c r="Y18" i="3"/>
  <c r="U60" i="3"/>
  <c r="U28" i="3"/>
  <c r="U26" i="3"/>
  <c r="U27" i="3"/>
  <c r="U61" i="3"/>
  <c r="V61" i="3"/>
  <c r="V26" i="1"/>
  <c r="V60" i="1"/>
  <c r="V61" i="1"/>
  <c r="W23" i="1"/>
  <c r="W25" i="1" s="1"/>
  <c r="V27" i="1"/>
  <c r="V28" i="1"/>
  <c r="X22" i="1"/>
  <c r="X21" i="1"/>
  <c r="Y24" i="1"/>
  <c r="Z18" i="1"/>
  <c r="X19" i="3"/>
  <c r="Y19" i="1"/>
  <c r="Y20" i="1"/>
  <c r="X20" i="3"/>
  <c r="V26" i="3" l="1"/>
  <c r="V28" i="3"/>
  <c r="V27" i="3"/>
  <c r="X22" i="3"/>
  <c r="X21" i="3"/>
  <c r="Y24" i="3"/>
  <c r="Z18" i="3"/>
  <c r="W61" i="3"/>
  <c r="W27" i="3"/>
  <c r="W60" i="3"/>
  <c r="W28" i="3"/>
  <c r="W26" i="3"/>
  <c r="W27" i="1"/>
  <c r="W61" i="1"/>
  <c r="W60" i="1"/>
  <c r="W28" i="1"/>
  <c r="X23" i="1"/>
  <c r="X25" i="1" s="1"/>
  <c r="W26" i="1"/>
  <c r="Y22" i="1"/>
  <c r="Y21" i="1"/>
  <c r="Z24" i="1"/>
  <c r="Y19" i="3"/>
  <c r="Z19" i="1"/>
  <c r="Y20" i="3"/>
  <c r="Z20" i="1"/>
  <c r="X23" i="3" l="1"/>
  <c r="X25" i="3" s="1"/>
  <c r="X60" i="3" s="1"/>
  <c r="Y22" i="3"/>
  <c r="Y21" i="3"/>
  <c r="Z24" i="3"/>
  <c r="X26" i="1"/>
  <c r="X60" i="1"/>
  <c r="X61" i="1"/>
  <c r="X28" i="1"/>
  <c r="X27" i="1"/>
  <c r="Y23" i="1"/>
  <c r="Y25" i="1" s="1"/>
  <c r="Z22" i="1"/>
  <c r="Z21" i="1"/>
  <c r="Z19" i="3"/>
  <c r="Z20" i="3"/>
  <c r="X26" i="3" l="1"/>
  <c r="X61" i="3"/>
  <c r="X28" i="3"/>
  <c r="X27" i="3"/>
  <c r="Y23" i="3"/>
  <c r="Y25" i="3" s="1"/>
  <c r="Y60" i="3" s="1"/>
  <c r="Z22" i="3"/>
  <c r="Z21" i="3"/>
  <c r="Z23" i="3" s="1"/>
  <c r="Z25" i="3" s="1"/>
  <c r="Y26" i="1"/>
  <c r="Y61" i="1"/>
  <c r="Y60" i="1"/>
  <c r="Y27" i="1"/>
  <c r="Y28" i="1"/>
  <c r="Z23" i="1"/>
  <c r="Z25" i="1" s="1"/>
  <c r="Y61" i="3" l="1"/>
  <c r="Y28" i="3"/>
  <c r="Y27" i="3"/>
  <c r="Y26" i="3"/>
  <c r="Z61" i="3"/>
  <c r="Z60" i="3"/>
  <c r="Z28" i="3"/>
  <c r="Z27" i="3"/>
  <c r="Z26" i="3"/>
  <c r="Z28" i="1"/>
  <c r="Z60" i="1"/>
  <c r="Z61" i="1"/>
  <c r="Z27" i="1"/>
  <c r="Z26" i="1"/>
</calcChain>
</file>

<file path=xl/sharedStrings.xml><?xml version="1.0" encoding="utf-8"?>
<sst xmlns="http://schemas.openxmlformats.org/spreadsheetml/2006/main" count="66" uniqueCount="34">
  <si>
    <t>CSTable</t>
  </si>
  <si>
    <t>Al (nH for 1t)</t>
  </si>
  <si>
    <t>f (MHz)</t>
  </si>
  <si>
    <t>µ'</t>
  </si>
  <si>
    <t>µ''</t>
  </si>
  <si>
    <t>N</t>
  </si>
  <si>
    <t>R</t>
  </si>
  <si>
    <t>X</t>
  </si>
  <si>
    <t>Cs (pF)</t>
  </si>
  <si>
    <t>2*pi*N^2*Al</t>
  </si>
  <si>
    <t>Rl</t>
  </si>
  <si>
    <t>Xl</t>
  </si>
  <si>
    <t>Yl</t>
  </si>
  <si>
    <t>Yc</t>
  </si>
  <si>
    <t>Z</t>
  </si>
  <si>
    <t>|Z|</t>
  </si>
  <si>
    <t>Inputs:</t>
  </si>
  <si>
    <t>Constants:</t>
  </si>
  <si>
    <t>Mix</t>
  </si>
  <si>
    <t>Calculated values:</t>
  </si>
  <si>
    <t>Module</t>
  </si>
  <si>
    <t>Version</t>
  </si>
  <si>
    <t>Date</t>
  </si>
  <si>
    <t>CubicSpline</t>
  </si>
  <si>
    <t>Copyright: Owen Duffy 2010. All rights reserved.</t>
  </si>
  <si>
    <t>Calculate impedance of ferrite cored inductor</t>
  </si>
  <si>
    <t>A method for estimating the impedance of a ferrite cored toroidal inductor at RF</t>
  </si>
  <si>
    <t>Reference:</t>
  </si>
  <si>
    <t>x</t>
  </si>
  <si>
    <t>µi</t>
  </si>
  <si>
    <t># #73 mix u''</t>
  </si>
  <si>
    <t>#73</t>
  </si>
  <si>
    <t># #73 mix u'</t>
  </si>
  <si>
    <t>2873000202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</si>
</sst>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000"/>
  </numFmts>
  <fonts count="5" x14ac:knownFonts="1">
    <font>
      <sz val="10"/>
      <name val="Arial"/>
    </font>
    <font>
      <b/>
      <sz val="10"/>
      <name val="Arial"/>
      <family val="2"/>
    </font>
    <font>
      <b/>
      <sz val="16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18">
    <xf numFmtId="0" fontId="0" fillId="0" borderId="0" xfId="0"/>
    <xf numFmtId="11" fontId="0" fillId="0" borderId="0" xfId="0" applyNumberFormat="1"/>
    <xf numFmtId="0" fontId="0" fillId="0" borderId="0" xfId="0" quotePrefix="1"/>
    <xf numFmtId="0" fontId="0" fillId="2" borderId="0" xfId="0" applyFill="1"/>
    <xf numFmtId="165" fontId="0" fillId="3" borderId="0" xfId="0" applyNumberFormat="1" applyFill="1"/>
    <xf numFmtId="1" fontId="0" fillId="3" borderId="0" xfId="0" applyNumberFormat="1" applyFill="1"/>
    <xf numFmtId="0" fontId="0" fillId="3" borderId="0" xfId="0" applyFill="1"/>
    <xf numFmtId="1" fontId="0" fillId="0" borderId="0" xfId="0" applyNumberFormat="1" applyFill="1"/>
    <xf numFmtId="0" fontId="1" fillId="0" borderId="0" xfId="0" applyFont="1"/>
    <xf numFmtId="0" fontId="2" fillId="0" borderId="0" xfId="0" applyFont="1"/>
    <xf numFmtId="164" fontId="0" fillId="2" borderId="0" xfId="0" applyNumberFormat="1" applyFill="1"/>
    <xf numFmtId="0" fontId="1" fillId="0" borderId="0" xfId="0" applyFont="1" applyAlignment="1">
      <alignment horizontal="right"/>
    </xf>
    <xf numFmtId="0" fontId="3" fillId="0" borderId="0" xfId="1" applyFont="1" applyAlignment="1" applyProtection="1"/>
    <xf numFmtId="14" fontId="0" fillId="0" borderId="0" xfId="0" applyNumberFormat="1"/>
    <xf numFmtId="1" fontId="0" fillId="0" borderId="0" xfId="0" applyNumberFormat="1"/>
    <xf numFmtId="0" fontId="4" fillId="0" borderId="0" xfId="0" quotePrefix="1" applyFont="1"/>
    <xf numFmtId="0" fontId="4" fillId="0" borderId="0" xfId="0" applyFont="1"/>
    <xf numFmtId="0" fontId="0" fillId="0" borderId="1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'BN-73-202'!$A$26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'BN-73-202'!$B$18:$AE$18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'BN-73-202'!$B$26:$AE$26</c:f>
              <c:numCache>
                <c:formatCode>0</c:formatCode>
                <c:ptCount val="30"/>
                <c:pt idx="0">
                  <c:v>16.812444186542301</c:v>
                </c:pt>
                <c:pt idx="1">
                  <c:v>21.971155248129101</c:v>
                </c:pt>
                <c:pt idx="2">
                  <c:v>39.686062374751302</c:v>
                </c:pt>
                <c:pt idx="3">
                  <c:v>45.144603456497002</c:v>
                </c:pt>
                <c:pt idx="4">
                  <c:v>55.142537558235702</c:v>
                </c:pt>
                <c:pt idx="5">
                  <c:v>59.654916690677503</c:v>
                </c:pt>
                <c:pt idx="6">
                  <c:v>63.564543982200803</c:v>
                </c:pt>
                <c:pt idx="7">
                  <c:v>69.142453818309903</c:v>
                </c:pt>
                <c:pt idx="8">
                  <c:v>75.198270070325705</c:v>
                </c:pt>
                <c:pt idx="9">
                  <c:v>80.699017100527797</c:v>
                </c:pt>
                <c:pt idx="10">
                  <c:v>85.649044863931195</c:v>
                </c:pt>
                <c:pt idx="11">
                  <c:v>90.160076903885198</c:v>
                </c:pt>
                <c:pt idx="12">
                  <c:v>98.357941487275596</c:v>
                </c:pt>
                <c:pt idx="13">
                  <c:v>105.99645301293801</c:v>
                </c:pt>
                <c:pt idx="14">
                  <c:v>113.594269512712</c:v>
                </c:pt>
                <c:pt idx="15">
                  <c:v>121.066766745099</c:v>
                </c:pt>
                <c:pt idx="16">
                  <c:v>127.768624098036</c:v>
                </c:pt>
                <c:pt idx="17">
                  <c:v>132.97259714328601</c:v>
                </c:pt>
                <c:pt idx="18">
                  <c:v>136.674274491841</c:v>
                </c:pt>
                <c:pt idx="19">
                  <c:v>139.16441199365499</c:v>
                </c:pt>
                <c:pt idx="20">
                  <c:v>140.77780678628801</c:v>
                </c:pt>
                <c:pt idx="21">
                  <c:v>141.82986313446</c:v>
                </c:pt>
                <c:pt idx="22">
                  <c:v>142.41669683408799</c:v>
                </c:pt>
                <c:pt idx="23">
                  <c:v>142.52604877686599</c:v>
                </c:pt>
                <c:pt idx="24">
                  <c:v>142.23494070176901</c:v>
                </c:pt>
                <c:pt idx="25">
                  <c:v>140.29549935372</c:v>
                </c:pt>
                <c:pt idx="26">
                  <c:v>138.14793522941201</c:v>
                </c:pt>
                <c:pt idx="27">
                  <c:v>134.97566620890399</c:v>
                </c:pt>
                <c:pt idx="28">
                  <c:v>131.871401114777</c:v>
                </c:pt>
                <c:pt idx="29">
                  <c:v>128.145503867104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'BN-73-202'!$A$27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'BN-73-202'!$B$18:$AE$18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'BN-73-202'!$B$27:$AE$27</c:f>
              <c:numCache>
                <c:formatCode>0</c:formatCode>
                <c:ptCount val="30"/>
                <c:pt idx="0">
                  <c:v>40.0260825670155</c:v>
                </c:pt>
                <c:pt idx="1">
                  <c:v>43.882863426482302</c:v>
                </c:pt>
                <c:pt idx="2">
                  <c:v>46.056699280933003</c:v>
                </c:pt>
                <c:pt idx="3">
                  <c:v>47.233270510276398</c:v>
                </c:pt>
                <c:pt idx="4">
                  <c:v>49.858861903687099</c:v>
                </c:pt>
                <c:pt idx="5">
                  <c:v>49.246867633639198</c:v>
                </c:pt>
                <c:pt idx="6">
                  <c:v>49.522134952284702</c:v>
                </c:pt>
                <c:pt idx="7">
                  <c:v>51.318825868769999</c:v>
                </c:pt>
                <c:pt idx="8">
                  <c:v>52.910420708508902</c:v>
                </c:pt>
                <c:pt idx="9">
                  <c:v>53.439174361347803</c:v>
                </c:pt>
                <c:pt idx="10">
                  <c:v>53.201736575946299</c:v>
                </c:pt>
                <c:pt idx="11">
                  <c:v>52.611912975809602</c:v>
                </c:pt>
                <c:pt idx="12">
                  <c:v>51.080873372669899</c:v>
                </c:pt>
                <c:pt idx="13">
                  <c:v>49.038759523664098</c:v>
                </c:pt>
                <c:pt idx="14">
                  <c:v>46.218357821926197</c:v>
                </c:pt>
                <c:pt idx="15">
                  <c:v>42.568511886352603</c:v>
                </c:pt>
                <c:pt idx="16">
                  <c:v>38.005568494083001</c:v>
                </c:pt>
                <c:pt idx="17">
                  <c:v>32.827743987673898</c:v>
                </c:pt>
                <c:pt idx="18">
                  <c:v>27.490440900804199</c:v>
                </c:pt>
                <c:pt idx="19">
                  <c:v>22.403285682315001</c:v>
                </c:pt>
                <c:pt idx="20">
                  <c:v>17.6771032487447</c:v>
                </c:pt>
                <c:pt idx="21">
                  <c:v>13.1777275501617</c:v>
                </c:pt>
                <c:pt idx="22">
                  <c:v>8.7208650098511509</c:v>
                </c:pt>
                <c:pt idx="23">
                  <c:v>4.1155147593669001</c:v>
                </c:pt>
                <c:pt idx="24">
                  <c:v>-0.49025632874407599</c:v>
                </c:pt>
                <c:pt idx="25">
                  <c:v>-11.398801248671299</c:v>
                </c:pt>
                <c:pt idx="26">
                  <c:v>-17.0159805423867</c:v>
                </c:pt>
                <c:pt idx="27">
                  <c:v>-22.884125282328998</c:v>
                </c:pt>
                <c:pt idx="28">
                  <c:v>-27.216214119889798</c:v>
                </c:pt>
                <c:pt idx="29">
                  <c:v>-31.785537215788001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'BN-73-202'!$A$28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'BN-73-202'!$B$18:$AE$18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'BN-73-202'!$B$28:$AE$28</c:f>
              <c:numCache>
                <c:formatCode>0</c:formatCode>
                <c:ptCount val="30"/>
                <c:pt idx="0">
                  <c:v>43.413656436507878</c:v>
                </c:pt>
                <c:pt idx="1">
                  <c:v>49.075832804392519</c:v>
                </c:pt>
                <c:pt idx="2">
                  <c:v>60.796406928920938</c:v>
                </c:pt>
                <c:pt idx="3">
                  <c:v>65.337715481498947</c:v>
                </c:pt>
                <c:pt idx="4">
                  <c:v>74.341143108593485</c:v>
                </c:pt>
                <c:pt idx="5">
                  <c:v>77.356079638880701</c:v>
                </c:pt>
                <c:pt idx="6">
                  <c:v>80.578490317810235</c:v>
                </c:pt>
                <c:pt idx="7">
                  <c:v>86.106334311514232</c:v>
                </c:pt>
                <c:pt idx="8">
                  <c:v>91.947226391670171</c:v>
                </c:pt>
                <c:pt idx="9">
                  <c:v>96.788825374698135</c:v>
                </c:pt>
                <c:pt idx="10">
                  <c:v>100.82749456770252</c:v>
                </c:pt>
                <c:pt idx="11">
                  <c:v>104.38799190658213</c:v>
                </c:pt>
                <c:pt idx="12">
                  <c:v>110.83113406497773</c:v>
                </c:pt>
                <c:pt idx="13">
                  <c:v>116.79061600549818</c:v>
                </c:pt>
                <c:pt idx="14">
                  <c:v>122.6368405736313</c:v>
                </c:pt>
                <c:pt idx="15">
                  <c:v>128.33253762912489</c:v>
                </c:pt>
                <c:pt idx="16">
                  <c:v>133.30132985256995</c:v>
                </c:pt>
                <c:pt idx="17">
                  <c:v>136.96485814379866</c:v>
                </c:pt>
                <c:pt idx="18">
                  <c:v>139.41155493283802</c:v>
                </c:pt>
                <c:pt idx="19">
                  <c:v>140.95616614715075</c:v>
                </c:pt>
                <c:pt idx="20">
                  <c:v>141.88330015482521</c:v>
                </c:pt>
                <c:pt idx="21">
                  <c:v>142.44073357058346</c:v>
                </c:pt>
                <c:pt idx="22">
                  <c:v>142.6834574281566</c:v>
                </c:pt>
                <c:pt idx="23">
                  <c:v>142.58545522485858</c:v>
                </c:pt>
                <c:pt idx="24">
                  <c:v>142.23578560862813</c:v>
                </c:pt>
                <c:pt idx="25">
                  <c:v>140.75780549872309</c:v>
                </c:pt>
                <c:pt idx="26">
                  <c:v>139.19193799199974</c:v>
                </c:pt>
                <c:pt idx="27">
                  <c:v>136.90183949996725</c:v>
                </c:pt>
                <c:pt idx="28">
                  <c:v>134.6506173138248</c:v>
                </c:pt>
                <c:pt idx="29">
                  <c:v>132.02874890511615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158328"/>
        <c:axId val="325158720"/>
      </c:scatterChart>
      <c:valAx>
        <c:axId val="32515832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158720"/>
        <c:crosses val="autoZero"/>
        <c:crossBetween val="midCat"/>
      </c:valAx>
      <c:valAx>
        <c:axId val="3251587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1583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'BN-73-202'!$A$19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'BN-73-202'!$B$18:$AE$18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'BN-73-202'!$B$19:$AE$19</c:f>
              <c:numCache>
                <c:formatCode>0</c:formatCode>
                <c:ptCount val="30"/>
                <c:pt idx="0">
                  <c:v>1008.474438524378</c:v>
                </c:pt>
                <c:pt idx="1">
                  <c:v>1096.5224302244746</c:v>
                </c:pt>
                <c:pt idx="2">
                  <c:v>1315.4077918841156</c:v>
                </c:pt>
                <c:pt idx="3">
                  <c:v>1344.73888337266</c:v>
                </c:pt>
                <c:pt idx="4">
                  <c:v>1309.0454962710626</c:v>
                </c:pt>
                <c:pt idx="5">
                  <c:v>1176.6885594577207</c:v>
                </c:pt>
                <c:pt idx="6">
                  <c:v>1071.2031537788589</c:v>
                </c:pt>
                <c:pt idx="7">
                  <c:v>1015.4111176771675</c:v>
                </c:pt>
                <c:pt idx="8">
                  <c:v>977.51422405264418</c:v>
                </c:pt>
                <c:pt idx="9">
                  <c:v>940.55318033441972</c:v>
                </c:pt>
                <c:pt idx="10">
                  <c:v>904.45129345633688</c:v>
                </c:pt>
                <c:pt idx="11">
                  <c:v>870.0373999752328</c:v>
                </c:pt>
                <c:pt idx="12">
                  <c:v>808.82143252607545</c:v>
                </c:pt>
                <c:pt idx="13">
                  <c:v>758.74208547908893</c:v>
                </c:pt>
                <c:pt idx="14">
                  <c:v>719.81653207649549</c:v>
                </c:pt>
                <c:pt idx="15">
                  <c:v>688.55295507307926</c:v>
                </c:pt>
                <c:pt idx="16">
                  <c:v>659.96790828542112</c:v>
                </c:pt>
                <c:pt idx="17">
                  <c:v>630.11902693490038</c:v>
                </c:pt>
                <c:pt idx="18">
                  <c:v>599.135075084758</c:v>
                </c:pt>
                <c:pt idx="19">
                  <c:v>568.13461900419054</c:v>
                </c:pt>
                <c:pt idx="20">
                  <c:v>538.23622620412345</c:v>
                </c:pt>
                <c:pt idx="21">
                  <c:v>510.40732438497804</c:v>
                </c:pt>
                <c:pt idx="22">
                  <c:v>484.75212189525962</c:v>
                </c:pt>
                <c:pt idx="23">
                  <c:v>461.06894171160809</c:v>
                </c:pt>
                <c:pt idx="24">
                  <c:v>439.15572862436142</c:v>
                </c:pt>
                <c:pt idx="25">
                  <c:v>382.02406156220991</c:v>
                </c:pt>
                <c:pt idx="26">
                  <c:v>349.55451135030944</c:v>
                </c:pt>
                <c:pt idx="27">
                  <c:v>320.90950503555433</c:v>
                </c:pt>
                <c:pt idx="28">
                  <c:v>295.64963377859482</c:v>
                </c:pt>
                <c:pt idx="29">
                  <c:v>273.33685175710718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'BN-73-202'!$A$20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'BN-73-202'!$B$18:$AE$18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'BN-73-202'!$B$20:$AE$20</c:f>
              <c:numCache>
                <c:formatCode>0</c:formatCode>
                <c:ptCount val="30"/>
                <c:pt idx="0">
                  <c:v>2408.0202920390539</c:v>
                </c:pt>
                <c:pt idx="1">
                  <c:v>2199.1407868443675</c:v>
                </c:pt>
                <c:pt idx="2">
                  <c:v>1540.4204477093901</c:v>
                </c:pt>
                <c:pt idx="3">
                  <c:v>1422.9345221206945</c:v>
                </c:pt>
                <c:pt idx="4">
                  <c:v>1204.2232083931372</c:v>
                </c:pt>
                <c:pt idx="5">
                  <c:v>993.6393415175736</c:v>
                </c:pt>
                <c:pt idx="6">
                  <c:v>858.62013244361776</c:v>
                </c:pt>
                <c:pt idx="7">
                  <c:v>781.02291322424003</c:v>
                </c:pt>
                <c:pt idx="8">
                  <c:v>718.86406138452378</c:v>
                </c:pt>
                <c:pt idx="9">
                  <c:v>657.13932295796235</c:v>
                </c:pt>
                <c:pt idx="10">
                  <c:v>598.90779311343374</c:v>
                </c:pt>
                <c:pt idx="11">
                  <c:v>547.34270284178956</c:v>
                </c:pt>
                <c:pt idx="12">
                  <c:v>464.47729137838638</c:v>
                </c:pt>
                <c:pt idx="13">
                  <c:v>400.10664707536381</c:v>
                </c:pt>
                <c:pt idx="14">
                  <c:v>346.76605069083206</c:v>
                </c:pt>
                <c:pt idx="15">
                  <c:v>300.95601456470132</c:v>
                </c:pt>
                <c:pt idx="16">
                  <c:v>259.74817348479581</c:v>
                </c:pt>
                <c:pt idx="17">
                  <c:v>222.58673898321507</c:v>
                </c:pt>
                <c:pt idx="18">
                  <c:v>190.10095884267454</c:v>
                </c:pt>
                <c:pt idx="19">
                  <c:v>162.81160083529107</c:v>
                </c:pt>
                <c:pt idx="20">
                  <c:v>140.12406675106945</c:v>
                </c:pt>
                <c:pt idx="21">
                  <c:v>120.82669631612335</c:v>
                </c:pt>
                <c:pt idx="22">
                  <c:v>103.7012976241063</c:v>
                </c:pt>
                <c:pt idx="23">
                  <c:v>87.696738686118977</c:v>
                </c:pt>
                <c:pt idx="24">
                  <c:v>73.056200825802989</c:v>
                </c:pt>
                <c:pt idx="25">
                  <c:v>43.536324528004357</c:v>
                </c:pt>
                <c:pt idx="26">
                  <c:v>30.869350099132408</c:v>
                </c:pt>
                <c:pt idx="27">
                  <c:v>18.386721560905574</c:v>
                </c:pt>
                <c:pt idx="28">
                  <c:v>10.494890899429357</c:v>
                </c:pt>
                <c:pt idx="29">
                  <c:v>2.2871020480833768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964680"/>
        <c:axId val="322965072"/>
      </c:scatterChart>
      <c:valAx>
        <c:axId val="32296468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965072"/>
        <c:crosses val="autoZero"/>
        <c:crossBetween val="midCat"/>
      </c:valAx>
      <c:valAx>
        <c:axId val="3229650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96468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Parallel</a:t>
            </a:r>
            <a:r>
              <a:rPr lang="en-AU" baseline="0"/>
              <a:t> </a:t>
            </a: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'BN-73-202'!$A$26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'BN-73-202'!$B$18:$AE$18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'BN-73-202'!$B$60:$AE$60</c:f>
              <c:numCache>
                <c:formatCode>0</c:formatCode>
                <c:ptCount val="30"/>
                <c:pt idx="0">
                  <c:v>112.10419759762277</c:v>
                </c:pt>
                <c:pt idx="1">
                  <c:v>109.61814880670752</c:v>
                </c:pt>
                <c:pt idx="2">
                  <c:v>93.136050146877494</c:v>
                </c:pt>
                <c:pt idx="3">
                  <c:v>94.563175606472797</c:v>
                </c:pt>
                <c:pt idx="4">
                  <c:v>100.2239977232778</c:v>
                </c:pt>
                <c:pt idx="5">
                  <c:v>100.30963731162146</c:v>
                </c:pt>
                <c:pt idx="6">
                  <c:v>102.14645925432207</c:v>
                </c:pt>
                <c:pt idx="7">
                  <c:v>107.23224877221303</c:v>
                </c:pt>
                <c:pt idx="8">
                  <c:v>112.4266879173492</c:v>
                </c:pt>
                <c:pt idx="9">
                  <c:v>116.08662724781246</c:v>
                </c:pt>
                <c:pt idx="10">
                  <c:v>118.69582056578543</c:v>
                </c:pt>
                <c:pt idx="11">
                  <c:v>120.86117523951545</c:v>
                </c:pt>
                <c:pt idx="12">
                  <c:v>124.8861057113336</c:v>
                </c:pt>
                <c:pt idx="13">
                  <c:v>128.68400403246338</c:v>
                </c:pt>
                <c:pt idx="14">
                  <c:v>132.39923748265494</c:v>
                </c:pt>
                <c:pt idx="15">
                  <c:v>136.03436068467937</c:v>
                </c:pt>
                <c:pt idx="16">
                  <c:v>139.07361581063461</c:v>
                </c:pt>
                <c:pt idx="17">
                  <c:v>141.07697953839721</c:v>
                </c:pt>
                <c:pt idx="18">
                  <c:v>142.20365698705015</c:v>
                </c:pt>
                <c:pt idx="19">
                  <c:v>142.77098929436818</c:v>
                </c:pt>
                <c:pt idx="20">
                  <c:v>142.99747468991688</c:v>
                </c:pt>
                <c:pt idx="21">
                  <c:v>143.05423506536749</c:v>
                </c:pt>
                <c:pt idx="22">
                  <c:v>142.95071769126776</c:v>
                </c:pt>
                <c:pt idx="23">
                  <c:v>142.64488643412182</c:v>
                </c:pt>
                <c:pt idx="24">
                  <c:v>142.23663052050622</c:v>
                </c:pt>
                <c:pt idx="25">
                  <c:v>141.22163504948543</c:v>
                </c:pt>
                <c:pt idx="26">
                  <c:v>140.24383042565992</c:v>
                </c:pt>
                <c:pt idx="27">
                  <c:v>138.85550029045476</c:v>
                </c:pt>
                <c:pt idx="28">
                  <c:v>137.48840605108609</c:v>
                </c:pt>
                <c:pt idx="29">
                  <c:v>136.02966948827171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'BN-73-202'!$A$28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'BN-73-202'!$B$18:$AE$18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'BN-73-202'!$B$61:$AE$61</c:f>
              <c:numCache>
                <c:formatCode>0</c:formatCode>
                <c:ptCount val="30"/>
                <c:pt idx="0">
                  <c:v>47.08793477431928</c:v>
                </c:pt>
                <c:pt idx="1">
                  <c:v>54.883322950873115</c:v>
                </c:pt>
                <c:pt idx="2">
                  <c:v>80.253321518355889</c:v>
                </c:pt>
                <c:pt idx="3">
                  <c:v>90.381568293318011</c:v>
                </c:pt>
                <c:pt idx="4">
                  <c:v>110.84500022018506</c:v>
                </c:pt>
                <c:pt idx="5">
                  <c:v>121.50951613030864</c:v>
                </c:pt>
                <c:pt idx="6">
                  <c:v>131.11092864137299</c:v>
                </c:pt>
                <c:pt idx="7">
                  <c:v>144.47526191510588</c:v>
                </c:pt>
                <c:pt idx="8">
                  <c:v>159.78501640909201</c:v>
                </c:pt>
                <c:pt idx="9">
                  <c:v>175.30354518706176</c:v>
                </c:pt>
                <c:pt idx="10">
                  <c:v>191.08744028097084</c:v>
                </c:pt>
                <c:pt idx="11">
                  <c:v>207.1175944371935</c:v>
                </c:pt>
                <c:pt idx="12">
                  <c:v>240.47240125501082</c:v>
                </c:pt>
                <c:pt idx="13">
                  <c:v>278.14830797996808</c:v>
                </c:pt>
                <c:pt idx="14">
                  <c:v>325.40737868335373</c:v>
                </c:pt>
                <c:pt idx="15">
                  <c:v>386.88785406216635</c:v>
                </c:pt>
                <c:pt idx="16">
                  <c:v>467.54318497380501</c:v>
                </c:pt>
                <c:pt idx="17">
                  <c:v>571.44872256206861</c:v>
                </c:pt>
                <c:pt idx="18">
                  <c:v>706.99417731867231</c:v>
                </c:pt>
                <c:pt idx="19">
                  <c:v>886.86280470847794</c:v>
                </c:pt>
                <c:pt idx="20">
                  <c:v>1138.8105041618601</c:v>
                </c:pt>
                <c:pt idx="21">
                  <c:v>1539.6708197899409</c:v>
                </c:pt>
                <c:pt idx="22">
                  <c:v>2334.4667072194534</c:v>
                </c:pt>
                <c:pt idx="23">
                  <c:v>4939.992499214758</c:v>
                </c:pt>
                <c:pt idx="24">
                  <c:v>-41266.206107998245</c:v>
                </c:pt>
                <c:pt idx="25">
                  <c:v>-1738.1441588979224</c:v>
                </c:pt>
                <c:pt idx="26">
                  <c:v>-1138.6000091917833</c:v>
                </c:pt>
                <c:pt idx="27">
                  <c:v>-819.00065775935013</c:v>
                </c:pt>
                <c:pt idx="28">
                  <c:v>-666.17600314012941</c:v>
                </c:pt>
                <c:pt idx="29">
                  <c:v>-548.41264500610146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805984"/>
        <c:axId val="322605472"/>
      </c:scatterChart>
      <c:valAx>
        <c:axId val="32480598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605472"/>
        <c:crosses val="autoZero"/>
        <c:crossBetween val="midCat"/>
      </c:valAx>
      <c:valAx>
        <c:axId val="3226054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80598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Rp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329504990220172"/>
          <c:y val="0.10937523434570678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'BN-73-202'!$A$26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'BN-73-202'!$B$18:$AE$18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'BN-73-202'!$B$60:$AE$60</c:f>
              <c:numCache>
                <c:formatCode>0</c:formatCode>
                <c:ptCount val="30"/>
                <c:pt idx="0">
                  <c:v>112.10419759762277</c:v>
                </c:pt>
                <c:pt idx="1">
                  <c:v>109.61814880670752</c:v>
                </c:pt>
                <c:pt idx="2">
                  <c:v>93.136050146877494</c:v>
                </c:pt>
                <c:pt idx="3">
                  <c:v>94.563175606472797</c:v>
                </c:pt>
                <c:pt idx="4">
                  <c:v>100.2239977232778</c:v>
                </c:pt>
                <c:pt idx="5">
                  <c:v>100.30963731162146</c:v>
                </c:pt>
                <c:pt idx="6">
                  <c:v>102.14645925432207</c:v>
                </c:pt>
                <c:pt idx="7">
                  <c:v>107.23224877221303</c:v>
                </c:pt>
                <c:pt idx="8">
                  <c:v>112.4266879173492</c:v>
                </c:pt>
                <c:pt idx="9">
                  <c:v>116.08662724781246</c:v>
                </c:pt>
                <c:pt idx="10">
                  <c:v>118.69582056578543</c:v>
                </c:pt>
                <c:pt idx="11">
                  <c:v>120.86117523951545</c:v>
                </c:pt>
                <c:pt idx="12">
                  <c:v>124.8861057113336</c:v>
                </c:pt>
                <c:pt idx="13">
                  <c:v>128.68400403246338</c:v>
                </c:pt>
                <c:pt idx="14">
                  <c:v>132.39923748265494</c:v>
                </c:pt>
                <c:pt idx="15">
                  <c:v>136.03436068467937</c:v>
                </c:pt>
                <c:pt idx="16">
                  <c:v>139.07361581063461</c:v>
                </c:pt>
                <c:pt idx="17">
                  <c:v>141.07697953839721</c:v>
                </c:pt>
                <c:pt idx="18">
                  <c:v>142.20365698705015</c:v>
                </c:pt>
                <c:pt idx="19">
                  <c:v>142.77098929436818</c:v>
                </c:pt>
                <c:pt idx="20">
                  <c:v>142.99747468991688</c:v>
                </c:pt>
                <c:pt idx="21">
                  <c:v>143.05423506536749</c:v>
                </c:pt>
                <c:pt idx="22">
                  <c:v>142.95071769126776</c:v>
                </c:pt>
                <c:pt idx="23">
                  <c:v>142.64488643412182</c:v>
                </c:pt>
                <c:pt idx="24">
                  <c:v>142.23663052050622</c:v>
                </c:pt>
                <c:pt idx="25">
                  <c:v>141.22163504948543</c:v>
                </c:pt>
                <c:pt idx="26">
                  <c:v>140.24383042565992</c:v>
                </c:pt>
                <c:pt idx="27">
                  <c:v>138.85550029045476</c:v>
                </c:pt>
                <c:pt idx="28">
                  <c:v>137.48840605108609</c:v>
                </c:pt>
                <c:pt idx="29">
                  <c:v>136.02966948827171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971696"/>
        <c:axId val="380972088"/>
      </c:scatterChart>
      <c:valAx>
        <c:axId val="380971696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972088"/>
        <c:crosses val="autoZero"/>
        <c:crossBetween val="midCat"/>
      </c:valAx>
      <c:valAx>
        <c:axId val="380972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9716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'BN-73-202 (2)'!$A$26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'BN-73-202 (2)'!$B$18:$AE$18</c:f>
              <c:numCache>
                <c:formatCode>0.000</c:formatCode>
                <c:ptCount val="30"/>
                <c:pt idx="0">
                  <c:v>1.5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'BN-73-202 (2)'!$B$26:$AE$26</c:f>
              <c:numCache>
                <c:formatCode>0</c:formatCode>
                <c:ptCount val="30"/>
                <c:pt idx="0">
                  <c:v>301.94837486668001</c:v>
                </c:pt>
                <c:pt idx="1">
                  <c:v>212.45010274424399</c:v>
                </c:pt>
                <c:pt idx="2">
                  <c:v>399.54975732794099</c:v>
                </c:pt>
                <c:pt idx="3">
                  <c:v>461.34007877786598</c:v>
                </c:pt>
                <c:pt idx="4">
                  <c:v>585.23126654739099</c:v>
                </c:pt>
                <c:pt idx="5">
                  <c:v>650.23717087880198</c:v>
                </c:pt>
                <c:pt idx="6">
                  <c:v>712.52372515684397</c:v>
                </c:pt>
                <c:pt idx="7">
                  <c:v>800.25439194104297</c:v>
                </c:pt>
                <c:pt idx="8">
                  <c:v>893.75784232615695</c:v>
                </c:pt>
                <c:pt idx="9">
                  <c:v>972.81836912838696</c:v>
                </c:pt>
                <c:pt idx="10">
                  <c:v>1033.9156938956201</c:v>
                </c:pt>
                <c:pt idx="11">
                  <c:v>1077.81566873764</c:v>
                </c:pt>
                <c:pt idx="12">
                  <c:v>1118.74227448791</c:v>
                </c:pt>
                <c:pt idx="13">
                  <c:v>1100.2223929746201</c:v>
                </c:pt>
                <c:pt idx="14">
                  <c:v>1031.30498903694</c:v>
                </c:pt>
                <c:pt idx="15">
                  <c:v>929.68277911543805</c:v>
                </c:pt>
                <c:pt idx="16">
                  <c:v>815.72679945545894</c:v>
                </c:pt>
                <c:pt idx="17">
                  <c:v>707.59553115840095</c:v>
                </c:pt>
                <c:pt idx="18">
                  <c:v>613.78238943332497</c:v>
                </c:pt>
                <c:pt idx="19">
                  <c:v>535.60743496007694</c:v>
                </c:pt>
                <c:pt idx="20">
                  <c:v>470.87653694858</c:v>
                </c:pt>
                <c:pt idx="21">
                  <c:v>416.58008293805301</c:v>
                </c:pt>
                <c:pt idx="22">
                  <c:v>370.44940429180002</c:v>
                </c:pt>
                <c:pt idx="23">
                  <c:v>330.79826460595501</c:v>
                </c:pt>
                <c:pt idx="24">
                  <c:v>296.76410070907298</c:v>
                </c:pt>
                <c:pt idx="25">
                  <c:v>222.63326377851101</c:v>
                </c:pt>
                <c:pt idx="26">
                  <c:v>188.57937338587701</c:v>
                </c:pt>
                <c:pt idx="27">
                  <c:v>161.39914014359101</c:v>
                </c:pt>
                <c:pt idx="28">
                  <c:v>140.46363061102201</c:v>
                </c:pt>
                <c:pt idx="29">
                  <c:v>123.043889912468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'BN-73-202 (2)'!$A$27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'BN-73-202 (2)'!$B$18:$AE$18</c:f>
              <c:numCache>
                <c:formatCode>0.000</c:formatCode>
                <c:ptCount val="30"/>
                <c:pt idx="0">
                  <c:v>1.5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'BN-73-202 (2)'!$B$27:$AE$27</c:f>
              <c:numCache>
                <c:formatCode>0</c:formatCode>
                <c:ptCount val="30"/>
                <c:pt idx="0">
                  <c:v>418.187817437251</c:v>
                </c:pt>
                <c:pt idx="1">
                  <c:v>405.53721978818402</c:v>
                </c:pt>
                <c:pt idx="2">
                  <c:v>418.65542816401398</c:v>
                </c:pt>
                <c:pt idx="3">
                  <c:v>424.02520876383198</c:v>
                </c:pt>
                <c:pt idx="4">
                  <c:v>430.572083151784</c:v>
                </c:pt>
                <c:pt idx="5">
                  <c:v>405.23710911517298</c:v>
                </c:pt>
                <c:pt idx="6">
                  <c:v>383.85664254231102</c:v>
                </c:pt>
                <c:pt idx="7">
                  <c:v>363.19500343227799</c:v>
                </c:pt>
                <c:pt idx="8">
                  <c:v>324.864626262184</c:v>
                </c:pt>
                <c:pt idx="9">
                  <c:v>264.58505486492101</c:v>
                </c:pt>
                <c:pt idx="10">
                  <c:v>188.44517256059299</c:v>
                </c:pt>
                <c:pt idx="11">
                  <c:v>103.47946637083599</c:v>
                </c:pt>
                <c:pt idx="12">
                  <c:v>-76.511547314972603</c:v>
                </c:pt>
                <c:pt idx="13">
                  <c:v>-252.46760521809901</c:v>
                </c:pt>
                <c:pt idx="14">
                  <c:v>-406.57836518001898</c:v>
                </c:pt>
                <c:pt idx="15">
                  <c:v>-523.36330850081504</c:v>
                </c:pt>
                <c:pt idx="16">
                  <c:v>-596.32580715186498</c:v>
                </c:pt>
                <c:pt idx="17">
                  <c:v>-630.66435345666503</c:v>
                </c:pt>
                <c:pt idx="18">
                  <c:v>-639.38257856039502</c:v>
                </c:pt>
                <c:pt idx="19">
                  <c:v>-633.51993329295499</c:v>
                </c:pt>
                <c:pt idx="20">
                  <c:v>-619.90538634595998</c:v>
                </c:pt>
                <c:pt idx="21">
                  <c:v>-602.33125477004705</c:v>
                </c:pt>
                <c:pt idx="22">
                  <c:v>-582.55584519098898</c:v>
                </c:pt>
                <c:pt idx="23">
                  <c:v>-561.47362905088903</c:v>
                </c:pt>
                <c:pt idx="24">
                  <c:v>-540.21069984691701</c:v>
                </c:pt>
                <c:pt idx="25">
                  <c:v>-483.11502937102898</c:v>
                </c:pt>
                <c:pt idx="26">
                  <c:v>-449.95740120543098</c:v>
                </c:pt>
                <c:pt idx="27">
                  <c:v>-419.10707786995903</c:v>
                </c:pt>
                <c:pt idx="28">
                  <c:v>-392.52904937506497</c:v>
                </c:pt>
                <c:pt idx="29">
                  <c:v>-368.10158686333801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'BN-73-202 (2)'!$A$28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'BN-73-202 (2)'!$B$18:$AE$18</c:f>
              <c:numCache>
                <c:formatCode>0.000</c:formatCode>
                <c:ptCount val="30"/>
                <c:pt idx="0">
                  <c:v>1.5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'BN-73-202 (2)'!$B$28:$AE$28</c:f>
              <c:numCache>
                <c:formatCode>0</c:formatCode>
                <c:ptCount val="30"/>
                <c:pt idx="0">
                  <c:v>515.8041020945459</c:v>
                </c:pt>
                <c:pt idx="1">
                  <c:v>457.81599228245591</c:v>
                </c:pt>
                <c:pt idx="2">
                  <c:v>578.71614467890072</c:v>
                </c:pt>
                <c:pt idx="3">
                  <c:v>626.60357958918405</c:v>
                </c:pt>
                <c:pt idx="4">
                  <c:v>726.55898186887077</c:v>
                </c:pt>
                <c:pt idx="5">
                  <c:v>766.17588907279696</c:v>
                </c:pt>
                <c:pt idx="6">
                  <c:v>809.34293160269294</c:v>
                </c:pt>
                <c:pt idx="7">
                  <c:v>878.81607992747888</c:v>
                </c:pt>
                <c:pt idx="8">
                  <c:v>950.96798374917762</c:v>
                </c:pt>
                <c:pt idx="9">
                  <c:v>1008.1571457721697</c:v>
                </c:pt>
                <c:pt idx="10">
                  <c:v>1050.9487357359792</c:v>
                </c:pt>
                <c:pt idx="11">
                  <c:v>1082.7717283604882</c:v>
                </c:pt>
                <c:pt idx="12">
                  <c:v>1121.3555607383919</c:v>
                </c:pt>
                <c:pt idx="13">
                  <c:v>1128.8176140047433</c:v>
                </c:pt>
                <c:pt idx="14">
                  <c:v>1108.5557935642842</c:v>
                </c:pt>
                <c:pt idx="15">
                  <c:v>1066.8735737980971</c:v>
                </c:pt>
                <c:pt idx="16">
                  <c:v>1010.4527102369361</c:v>
                </c:pt>
                <c:pt idx="17">
                  <c:v>947.8549268934845</c:v>
                </c:pt>
                <c:pt idx="18">
                  <c:v>886.30632590827292</c:v>
                </c:pt>
                <c:pt idx="19">
                  <c:v>829.59196612794119</c:v>
                </c:pt>
                <c:pt idx="20">
                  <c:v>778.46477188721997</c:v>
                </c:pt>
                <c:pt idx="21">
                  <c:v>732.35367546939676</c:v>
                </c:pt>
                <c:pt idx="22">
                  <c:v>690.3651743145341</c:v>
                </c:pt>
                <c:pt idx="23">
                  <c:v>651.67486370573386</c:v>
                </c:pt>
                <c:pt idx="24">
                  <c:v>616.3574707089715</c:v>
                </c:pt>
                <c:pt idx="25">
                  <c:v>531.94520558497595</c:v>
                </c:pt>
                <c:pt idx="26">
                  <c:v>487.87687275188114</c:v>
                </c:pt>
                <c:pt idx="27">
                  <c:v>449.11070479313491</c:v>
                </c:pt>
                <c:pt idx="28">
                  <c:v>416.9041689977708</c:v>
                </c:pt>
                <c:pt idx="29">
                  <c:v>388.12185856519233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310576"/>
        <c:axId val="395310968"/>
      </c:scatterChart>
      <c:valAx>
        <c:axId val="395310576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5310968"/>
        <c:crosses val="autoZero"/>
        <c:crossBetween val="midCat"/>
      </c:valAx>
      <c:valAx>
        <c:axId val="3953109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531057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'BN-73-202 (2)'!$A$19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'BN-73-202 (2)'!$B$18:$AE$18</c:f>
              <c:numCache>
                <c:formatCode>0.000</c:formatCode>
                <c:ptCount val="30"/>
                <c:pt idx="0">
                  <c:v>1.5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'BN-73-202 (2)'!$B$19:$AE$19</c:f>
              <c:numCache>
                <c:formatCode>0</c:formatCode>
                <c:ptCount val="30"/>
                <c:pt idx="0">
                  <c:v>1218.6419065022405</c:v>
                </c:pt>
                <c:pt idx="1">
                  <c:v>1096.5224302244746</c:v>
                </c:pt>
                <c:pt idx="2">
                  <c:v>1315.4077918841156</c:v>
                </c:pt>
                <c:pt idx="3">
                  <c:v>1344.73888337266</c:v>
                </c:pt>
                <c:pt idx="4">
                  <c:v>1309.0454962710626</c:v>
                </c:pt>
                <c:pt idx="5">
                  <c:v>1176.6885594577207</c:v>
                </c:pt>
                <c:pt idx="6">
                  <c:v>1071.2031537788589</c:v>
                </c:pt>
                <c:pt idx="7">
                  <c:v>1015.4111176771675</c:v>
                </c:pt>
                <c:pt idx="8">
                  <c:v>977.51422405264418</c:v>
                </c:pt>
                <c:pt idx="9">
                  <c:v>940.55318033441972</c:v>
                </c:pt>
                <c:pt idx="10">
                  <c:v>904.45129345633688</c:v>
                </c:pt>
                <c:pt idx="11">
                  <c:v>870.0373999752328</c:v>
                </c:pt>
                <c:pt idx="12">
                  <c:v>808.82143252607545</c:v>
                </c:pt>
                <c:pt idx="13">
                  <c:v>758.74208547908893</c:v>
                </c:pt>
                <c:pt idx="14">
                  <c:v>719.81653207649549</c:v>
                </c:pt>
                <c:pt idx="15">
                  <c:v>688.55295507307926</c:v>
                </c:pt>
                <c:pt idx="16">
                  <c:v>659.96790828542112</c:v>
                </c:pt>
                <c:pt idx="17">
                  <c:v>630.11902693490038</c:v>
                </c:pt>
                <c:pt idx="18">
                  <c:v>599.135075084758</c:v>
                </c:pt>
                <c:pt idx="19">
                  <c:v>568.13461900419054</c:v>
                </c:pt>
                <c:pt idx="20">
                  <c:v>538.23622620412345</c:v>
                </c:pt>
                <c:pt idx="21">
                  <c:v>510.40732438497804</c:v>
                </c:pt>
                <c:pt idx="22">
                  <c:v>484.75212189525962</c:v>
                </c:pt>
                <c:pt idx="23">
                  <c:v>461.06894171160809</c:v>
                </c:pt>
                <c:pt idx="24">
                  <c:v>439.15572862436142</c:v>
                </c:pt>
                <c:pt idx="25">
                  <c:v>382.02406156220991</c:v>
                </c:pt>
                <c:pt idx="26">
                  <c:v>349.55451135030944</c:v>
                </c:pt>
                <c:pt idx="27">
                  <c:v>320.90950503555433</c:v>
                </c:pt>
                <c:pt idx="28">
                  <c:v>295.64963377859482</c:v>
                </c:pt>
                <c:pt idx="29">
                  <c:v>273.33685175710718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'BN-73-202 (2)'!$A$20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'BN-73-202 (2)'!$B$18:$AE$18</c:f>
              <c:numCache>
                <c:formatCode>0.000</c:formatCode>
                <c:ptCount val="30"/>
                <c:pt idx="0">
                  <c:v>1.5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'BN-73-202 (2)'!$B$20:$AE$20</c:f>
              <c:numCache>
                <c:formatCode>0</c:formatCode>
                <c:ptCount val="30"/>
                <c:pt idx="0">
                  <c:v>1819.3370233748562</c:v>
                </c:pt>
                <c:pt idx="1">
                  <c:v>2199.1407868443675</c:v>
                </c:pt>
                <c:pt idx="2">
                  <c:v>1540.4204477093901</c:v>
                </c:pt>
                <c:pt idx="3">
                  <c:v>1422.9345221206945</c:v>
                </c:pt>
                <c:pt idx="4">
                  <c:v>1204.2232083931372</c:v>
                </c:pt>
                <c:pt idx="5">
                  <c:v>993.6393415175736</c:v>
                </c:pt>
                <c:pt idx="6">
                  <c:v>858.62013244361776</c:v>
                </c:pt>
                <c:pt idx="7">
                  <c:v>781.02291322424003</c:v>
                </c:pt>
                <c:pt idx="8">
                  <c:v>718.86406138452378</c:v>
                </c:pt>
                <c:pt idx="9">
                  <c:v>657.13932295796235</c:v>
                </c:pt>
                <c:pt idx="10">
                  <c:v>598.90779311343374</c:v>
                </c:pt>
                <c:pt idx="11">
                  <c:v>547.34270284178956</c:v>
                </c:pt>
                <c:pt idx="12">
                  <c:v>464.47729137838638</c:v>
                </c:pt>
                <c:pt idx="13">
                  <c:v>400.10664707536381</c:v>
                </c:pt>
                <c:pt idx="14">
                  <c:v>346.76605069083206</c:v>
                </c:pt>
                <c:pt idx="15">
                  <c:v>300.95601456470132</c:v>
                </c:pt>
                <c:pt idx="16">
                  <c:v>259.74817348479581</c:v>
                </c:pt>
                <c:pt idx="17">
                  <c:v>222.58673898321507</c:v>
                </c:pt>
                <c:pt idx="18">
                  <c:v>190.10095884267454</c:v>
                </c:pt>
                <c:pt idx="19">
                  <c:v>162.81160083529107</c:v>
                </c:pt>
                <c:pt idx="20">
                  <c:v>140.12406675106945</c:v>
                </c:pt>
                <c:pt idx="21">
                  <c:v>120.82669631612335</c:v>
                </c:pt>
                <c:pt idx="22">
                  <c:v>103.7012976241063</c:v>
                </c:pt>
                <c:pt idx="23">
                  <c:v>87.696738686118977</c:v>
                </c:pt>
                <c:pt idx="24">
                  <c:v>73.056200825802989</c:v>
                </c:pt>
                <c:pt idx="25">
                  <c:v>43.536324528004357</c:v>
                </c:pt>
                <c:pt idx="26">
                  <c:v>30.869350099132408</c:v>
                </c:pt>
                <c:pt idx="27">
                  <c:v>18.386721560905574</c:v>
                </c:pt>
                <c:pt idx="28">
                  <c:v>10.494890899429357</c:v>
                </c:pt>
                <c:pt idx="29">
                  <c:v>2.2871020480833768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311752"/>
        <c:axId val="395312144"/>
      </c:scatterChart>
      <c:valAx>
        <c:axId val="395311752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5312144"/>
        <c:crosses val="autoZero"/>
        <c:crossBetween val="midCat"/>
      </c:valAx>
      <c:valAx>
        <c:axId val="395312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5311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Parallel</a:t>
            </a:r>
            <a:r>
              <a:rPr lang="en-AU" baseline="0"/>
              <a:t> </a:t>
            </a: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'BN-73-202 (2)'!$A$26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'BN-73-202 (2)'!$B$18:$AE$18</c:f>
              <c:numCache>
                <c:formatCode>0.000</c:formatCode>
                <c:ptCount val="30"/>
                <c:pt idx="0">
                  <c:v>1.5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'BN-73-202 (2)'!$B$60:$AE$60</c:f>
              <c:numCache>
                <c:formatCode>0</c:formatCode>
                <c:ptCount val="30"/>
                <c:pt idx="0">
                  <c:v>881.12370816710677</c:v>
                </c:pt>
                <c:pt idx="1">
                  <c:v>986.56333926036768</c:v>
                </c:pt>
                <c:pt idx="2">
                  <c:v>838.2244513218975</c:v>
                </c:pt>
                <c:pt idx="3">
                  <c:v>851.06858045825743</c:v>
                </c:pt>
                <c:pt idx="4">
                  <c:v>902.0159795094994</c:v>
                </c:pt>
                <c:pt idx="5">
                  <c:v>902.78673580459849</c:v>
                </c:pt>
                <c:pt idx="6">
                  <c:v>919.31813328889768</c:v>
                </c:pt>
                <c:pt idx="7">
                  <c:v>965.09023894991628</c:v>
                </c:pt>
                <c:pt idx="8">
                  <c:v>1011.8401912561425</c:v>
                </c:pt>
                <c:pt idx="9">
                  <c:v>1044.7796452303135</c:v>
                </c:pt>
                <c:pt idx="10">
                  <c:v>1068.2623850920652</c:v>
                </c:pt>
                <c:pt idx="11">
                  <c:v>1087.7505771556387</c:v>
                </c:pt>
                <c:pt idx="12">
                  <c:v>1123.9749514020014</c:v>
                </c:pt>
                <c:pt idx="13">
                  <c:v>1158.1560362921605</c:v>
                </c:pt>
                <c:pt idx="14">
                  <c:v>1191.5931373438957</c:v>
                </c:pt>
                <c:pt idx="15">
                  <c:v>1224.3092461621166</c:v>
                </c:pt>
                <c:pt idx="16">
                  <c:v>1251.6625422957188</c:v>
                </c:pt>
                <c:pt idx="17">
                  <c:v>1269.6928158455714</c:v>
                </c:pt>
                <c:pt idx="18">
                  <c:v>1279.8329128834591</c:v>
                </c:pt>
                <c:pt idx="19">
                  <c:v>1284.9389036493155</c:v>
                </c:pt>
                <c:pt idx="20">
                  <c:v>1286.97727220925</c:v>
                </c:pt>
                <c:pt idx="21">
                  <c:v>1287.4881155883061</c:v>
                </c:pt>
                <c:pt idx="22">
                  <c:v>1286.5564592214052</c:v>
                </c:pt>
                <c:pt idx="23">
                  <c:v>1283.8039779070893</c:v>
                </c:pt>
                <c:pt idx="24">
                  <c:v>1280.1296746845576</c:v>
                </c:pt>
                <c:pt idx="25">
                  <c:v>1270.9947154453691</c:v>
                </c:pt>
                <c:pt idx="26">
                  <c:v>1262.1944738309387</c:v>
                </c:pt>
                <c:pt idx="27">
                  <c:v>1249.6995026140837</c:v>
                </c:pt>
                <c:pt idx="28">
                  <c:v>1237.3956544597766</c:v>
                </c:pt>
                <c:pt idx="29">
                  <c:v>1224.2670253944475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'BN-73-202 (2)'!$A$28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'BN-73-202 (2)'!$B$18:$AE$18</c:f>
              <c:numCache>
                <c:formatCode>0.000</c:formatCode>
                <c:ptCount val="30"/>
                <c:pt idx="0">
                  <c:v>1.5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'BN-73-202 (2)'!$B$61:$AE$61</c:f>
              <c:numCache>
                <c:formatCode>0</c:formatCode>
                <c:ptCount val="30"/>
                <c:pt idx="0">
                  <c:v>636.20665319233512</c:v>
                </c:pt>
                <c:pt idx="1">
                  <c:v>516.83414631841458</c:v>
                </c:pt>
                <c:pt idx="2">
                  <c:v>799.97141702126339</c:v>
                </c:pt>
                <c:pt idx="3">
                  <c:v>925.96392346253742</c:v>
                </c:pt>
                <c:pt idx="4">
                  <c:v>1226.0152824358586</c:v>
                </c:pt>
                <c:pt idx="5">
                  <c:v>1448.5975735989457</c:v>
                </c:pt>
                <c:pt idx="6">
                  <c:v>1706.4599340964608</c:v>
                </c:pt>
                <c:pt idx="7">
                  <c:v>2126.454645687626</c:v>
                </c:pt>
                <c:pt idx="8">
                  <c:v>2783.7444677221383</c:v>
                </c:pt>
                <c:pt idx="9">
                  <c:v>3841.4143651854511</c:v>
                </c:pt>
                <c:pt idx="10">
                  <c:v>5861.0853763839978</c:v>
                </c:pt>
                <c:pt idx="11">
                  <c:v>11329.731944454432</c:v>
                </c:pt>
                <c:pt idx="12">
                  <c:v>-16434.6211483929</c:v>
                </c:pt>
                <c:pt idx="13">
                  <c:v>-5047.0998233084065</c:v>
                </c:pt>
                <c:pt idx="14">
                  <c:v>-3022.5315774016344</c:v>
                </c:pt>
                <c:pt idx="15">
                  <c:v>-2174.8166216106679</c:v>
                </c:pt>
                <c:pt idx="16">
                  <c:v>-1712.1759068279757</c:v>
                </c:pt>
                <c:pt idx="17">
                  <c:v>-1424.5754615937503</c:v>
                </c:pt>
                <c:pt idx="18">
                  <c:v>-1228.5897828397285</c:v>
                </c:pt>
                <c:pt idx="19">
                  <c:v>-1086.3475545066583</c:v>
                </c:pt>
                <c:pt idx="20">
                  <c:v>-977.58047343569535</c:v>
                </c:pt>
                <c:pt idx="21">
                  <c:v>-890.44342581607282</c:v>
                </c:pt>
                <c:pt idx="22">
                  <c:v>-818.12598369875491</c:v>
                </c:pt>
                <c:pt idx="23">
                  <c:v>-756.36700641446475</c:v>
                </c:pt>
                <c:pt idx="24">
                  <c:v>-703.23770300442891</c:v>
                </c:pt>
                <c:pt idx="25">
                  <c:v>-585.71082359668537</c:v>
                </c:pt>
                <c:pt idx="26">
                  <c:v>-528.99194974566865</c:v>
                </c:pt>
                <c:pt idx="27">
                  <c:v>-481.26227355761915</c:v>
                </c:pt>
                <c:pt idx="28">
                  <c:v>-442.79292552854031</c:v>
                </c:pt>
                <c:pt idx="29">
                  <c:v>-409.230990770017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312928"/>
        <c:axId val="395313320"/>
      </c:scatterChart>
      <c:valAx>
        <c:axId val="39531292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5313320"/>
        <c:crosses val="autoZero"/>
        <c:crossBetween val="midCat"/>
      </c:valAx>
      <c:valAx>
        <c:axId val="395313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5312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Rp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329504990220172"/>
          <c:y val="0.10937523434570678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'BN-73-202 (2)'!$A$26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'BN-73-202 (2)'!$B$18:$AE$18</c:f>
              <c:numCache>
                <c:formatCode>0.000</c:formatCode>
                <c:ptCount val="30"/>
                <c:pt idx="0">
                  <c:v>1.5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'BN-73-202 (2)'!$B$60:$AE$60</c:f>
              <c:numCache>
                <c:formatCode>0</c:formatCode>
                <c:ptCount val="30"/>
                <c:pt idx="0">
                  <c:v>881.12370816710677</c:v>
                </c:pt>
                <c:pt idx="1">
                  <c:v>986.56333926036768</c:v>
                </c:pt>
                <c:pt idx="2">
                  <c:v>838.2244513218975</c:v>
                </c:pt>
                <c:pt idx="3">
                  <c:v>851.06858045825743</c:v>
                </c:pt>
                <c:pt idx="4">
                  <c:v>902.0159795094994</c:v>
                </c:pt>
                <c:pt idx="5">
                  <c:v>902.78673580459849</c:v>
                </c:pt>
                <c:pt idx="6">
                  <c:v>919.31813328889768</c:v>
                </c:pt>
                <c:pt idx="7">
                  <c:v>965.09023894991628</c:v>
                </c:pt>
                <c:pt idx="8">
                  <c:v>1011.8401912561425</c:v>
                </c:pt>
                <c:pt idx="9">
                  <c:v>1044.7796452303135</c:v>
                </c:pt>
                <c:pt idx="10">
                  <c:v>1068.2623850920652</c:v>
                </c:pt>
                <c:pt idx="11">
                  <c:v>1087.7505771556387</c:v>
                </c:pt>
                <c:pt idx="12">
                  <c:v>1123.9749514020014</c:v>
                </c:pt>
                <c:pt idx="13">
                  <c:v>1158.1560362921605</c:v>
                </c:pt>
                <c:pt idx="14">
                  <c:v>1191.5931373438957</c:v>
                </c:pt>
                <c:pt idx="15">
                  <c:v>1224.3092461621166</c:v>
                </c:pt>
                <c:pt idx="16">
                  <c:v>1251.6625422957188</c:v>
                </c:pt>
                <c:pt idx="17">
                  <c:v>1269.6928158455714</c:v>
                </c:pt>
                <c:pt idx="18">
                  <c:v>1279.8329128834591</c:v>
                </c:pt>
                <c:pt idx="19">
                  <c:v>1284.9389036493155</c:v>
                </c:pt>
                <c:pt idx="20">
                  <c:v>1286.97727220925</c:v>
                </c:pt>
                <c:pt idx="21">
                  <c:v>1287.4881155883061</c:v>
                </c:pt>
                <c:pt idx="22">
                  <c:v>1286.5564592214052</c:v>
                </c:pt>
                <c:pt idx="23">
                  <c:v>1283.8039779070893</c:v>
                </c:pt>
                <c:pt idx="24">
                  <c:v>1280.1296746845576</c:v>
                </c:pt>
                <c:pt idx="25">
                  <c:v>1270.9947154453691</c:v>
                </c:pt>
                <c:pt idx="26">
                  <c:v>1262.1944738309387</c:v>
                </c:pt>
                <c:pt idx="27">
                  <c:v>1249.6995026140837</c:v>
                </c:pt>
                <c:pt idx="28">
                  <c:v>1237.3956544597766</c:v>
                </c:pt>
                <c:pt idx="29">
                  <c:v>1224.2670253944475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314104"/>
        <c:axId val="396105912"/>
      </c:scatterChart>
      <c:valAx>
        <c:axId val="39531410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6105912"/>
        <c:crosses val="autoZero"/>
        <c:crossBetween val="midCat"/>
      </c:valAx>
      <c:valAx>
        <c:axId val="3961059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531410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523875</xdr:colOff>
      <xdr:row>0</xdr:row>
      <xdr:rowOff>123825</xdr:rowOff>
    </xdr:from>
    <xdr:to>
      <xdr:col>16</xdr:col>
      <xdr:colOff>123825</xdr:colOff>
      <xdr:row>26</xdr:row>
      <xdr:rowOff>85725</xdr:rowOff>
    </xdr:to>
    <xdr:graphicFrame macro="">
      <xdr:nvGraphicFramePr>
        <xdr:cNvPr id="106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933450</xdr:colOff>
      <xdr:row>29</xdr:row>
      <xdr:rowOff>9525</xdr:rowOff>
    </xdr:from>
    <xdr:to>
      <xdr:col>8</xdr:col>
      <xdr:colOff>247650</xdr:colOff>
      <xdr:row>55</xdr:row>
      <xdr:rowOff>66675</xdr:rowOff>
    </xdr:to>
    <xdr:graphicFrame macro="">
      <xdr:nvGraphicFramePr>
        <xdr:cNvPr id="107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63</xdr:row>
      <xdr:rowOff>0</xdr:rowOff>
    </xdr:from>
    <xdr:to>
      <xdr:col>14</xdr:col>
      <xdr:colOff>238125</xdr:colOff>
      <xdr:row>89</xdr:row>
      <xdr:rowOff>57150</xdr:rowOff>
    </xdr:to>
    <xdr:graphicFrame macro="">
      <xdr:nvGraphicFramePr>
        <xdr:cNvPr id="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257175</xdr:colOff>
      <xdr:row>29</xdr:row>
      <xdr:rowOff>95250</xdr:rowOff>
    </xdr:from>
    <xdr:to>
      <xdr:col>18</xdr:col>
      <xdr:colOff>209550</xdr:colOff>
      <xdr:row>55</xdr:row>
      <xdr:rowOff>152400</xdr:rowOff>
    </xdr:to>
    <xdr:graphicFrame macro="">
      <xdr:nvGraphicFramePr>
        <xdr:cNvPr id="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523875</xdr:colOff>
      <xdr:row>0</xdr:row>
      <xdr:rowOff>123825</xdr:rowOff>
    </xdr:from>
    <xdr:to>
      <xdr:col>16</xdr:col>
      <xdr:colOff>123825</xdr:colOff>
      <xdr:row>26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933450</xdr:colOff>
      <xdr:row>29</xdr:row>
      <xdr:rowOff>9525</xdr:rowOff>
    </xdr:from>
    <xdr:to>
      <xdr:col>8</xdr:col>
      <xdr:colOff>247650</xdr:colOff>
      <xdr:row>55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63</xdr:row>
      <xdr:rowOff>0</xdr:rowOff>
    </xdr:from>
    <xdr:to>
      <xdr:col>14</xdr:col>
      <xdr:colOff>238125</xdr:colOff>
      <xdr:row>89</xdr:row>
      <xdr:rowOff>57150</xdr:rowOff>
    </xdr:to>
    <xdr:graphicFrame macro="">
      <xdr:nvGraphicFramePr>
        <xdr:cNvPr id="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257175</xdr:colOff>
      <xdr:row>29</xdr:row>
      <xdr:rowOff>95250</xdr:rowOff>
    </xdr:from>
    <xdr:to>
      <xdr:col>18</xdr:col>
      <xdr:colOff>209550</xdr:colOff>
      <xdr:row>55</xdr:row>
      <xdr:rowOff>152400</xdr:rowOff>
    </xdr:to>
    <xdr:graphicFrame macro="">
      <xdr:nvGraphicFramePr>
        <xdr:cNvPr id="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vk1od.net/blog/?p=806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://vk1od.net/blog/?p=80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61"/>
  <sheetViews>
    <sheetView workbookViewId="0">
      <selection activeCell="B8" sqref="B8"/>
    </sheetView>
  </sheetViews>
  <sheetFormatPr defaultRowHeight="12.75" x14ac:dyDescent="0.2"/>
  <cols>
    <col min="1" max="1" width="22" customWidth="1"/>
    <col min="2" max="2" width="12.5703125" bestFit="1" customWidth="1"/>
    <col min="3" max="3" width="13.28515625" bestFit="1" customWidth="1"/>
    <col min="4" max="31" width="9.5703125" bestFit="1" customWidth="1"/>
  </cols>
  <sheetData>
    <row r="1" spans="1:8" ht="20.25" x14ac:dyDescent="0.3">
      <c r="A1" s="9" t="s">
        <v>25</v>
      </c>
    </row>
    <row r="3" spans="1:8" x14ac:dyDescent="0.2">
      <c r="A3" s="8" t="s">
        <v>27</v>
      </c>
    </row>
    <row r="4" spans="1:8" x14ac:dyDescent="0.2">
      <c r="A4" s="12" t="s">
        <v>26</v>
      </c>
      <c r="H4" s="15" t="s">
        <v>33</v>
      </c>
    </row>
    <row r="6" spans="1:8" x14ac:dyDescent="0.2">
      <c r="A6" s="8" t="s">
        <v>16</v>
      </c>
    </row>
    <row r="7" spans="1:8" x14ac:dyDescent="0.2">
      <c r="A7" t="s">
        <v>1</v>
      </c>
      <c r="B7" s="3">
        <v>6600</v>
      </c>
    </row>
    <row r="8" spans="1:8" x14ac:dyDescent="0.2">
      <c r="A8" t="s">
        <v>5</v>
      </c>
      <c r="B8" s="3">
        <v>1</v>
      </c>
    </row>
    <row r="9" spans="1:8" x14ac:dyDescent="0.2">
      <c r="A9" t="s">
        <v>8</v>
      </c>
      <c r="B9" s="3">
        <v>10</v>
      </c>
    </row>
    <row r="11" spans="1:8" x14ac:dyDescent="0.2">
      <c r="A11" s="8" t="s">
        <v>17</v>
      </c>
    </row>
    <row r="12" spans="1:8" x14ac:dyDescent="0.2">
      <c r="A12" t="s">
        <v>18</v>
      </c>
      <c r="B12" t="str">
        <f>Mix!B1</f>
        <v>#73</v>
      </c>
    </row>
    <row r="13" spans="1:8" x14ac:dyDescent="0.2">
      <c r="A13" t="s">
        <v>29</v>
      </c>
      <c r="B13">
        <f>Mix!B2</f>
        <v>2500</v>
      </c>
    </row>
    <row r="15" spans="1:8" x14ac:dyDescent="0.2">
      <c r="A15" s="8" t="s">
        <v>19</v>
      </c>
    </row>
    <row r="16" spans="1:8" x14ac:dyDescent="0.2">
      <c r="A16" s="2" t="s">
        <v>9</v>
      </c>
      <c r="B16" s="4">
        <f>2*PI()*$B$8^2*$B$7*0.000000001</f>
        <v>4.1469023027385275E-5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csinterpolate(CSTableU2,'BN-73-202'!B18*1000000)</f>
        <v>1008.474438524378</v>
      </c>
      <c r="C19" s="7">
        <f>csinterpolate(CSTableU2,'BN-73-202'!C18*1000000)</f>
        <v>1096.5224302244746</v>
      </c>
      <c r="D19" s="7">
        <f>csinterpolate(CSTableU2,'BN-73-202'!D18*1000000)</f>
        <v>1315.4077918841156</v>
      </c>
      <c r="E19" s="7">
        <f>csinterpolate(CSTableU2,'BN-73-202'!E18*1000000)</f>
        <v>1344.73888337266</v>
      </c>
      <c r="F19" s="7">
        <f>csinterpolate(CSTableU2,'BN-73-202'!F18*1000000)</f>
        <v>1309.0454962710626</v>
      </c>
      <c r="G19" s="7">
        <f>csinterpolate(CSTableU2,'BN-73-202'!G18*1000000)</f>
        <v>1176.6885594577207</v>
      </c>
      <c r="H19" s="7">
        <f>csinterpolate(CSTableU2,'BN-73-202'!H18*1000000)</f>
        <v>1071.2031537788589</v>
      </c>
      <c r="I19" s="7">
        <f>csinterpolate(CSTableU2,'BN-73-202'!I18*1000000)</f>
        <v>1015.4111176771675</v>
      </c>
      <c r="J19" s="7">
        <f>csinterpolate(CSTableU2,'BN-73-202'!J18*1000000)</f>
        <v>977.51422405264418</v>
      </c>
      <c r="K19" s="7">
        <f>csinterpolate(CSTableU2,'BN-73-202'!K18*1000000)</f>
        <v>940.55318033441972</v>
      </c>
      <c r="L19" s="7">
        <f>csinterpolate(CSTableU2,'BN-73-202'!L18*1000000)</f>
        <v>904.45129345633688</v>
      </c>
      <c r="M19" s="7">
        <f>csinterpolate(CSTableU2,'BN-73-202'!M18*1000000)</f>
        <v>870.0373999752328</v>
      </c>
      <c r="N19" s="7">
        <f>csinterpolate(CSTableU2,'BN-73-202'!N18*1000000)</f>
        <v>808.82143252607545</v>
      </c>
      <c r="O19" s="7">
        <f>csinterpolate(CSTableU2,'BN-73-202'!O18*1000000)</f>
        <v>758.74208547908893</v>
      </c>
      <c r="P19" s="7">
        <f>csinterpolate(CSTableU2,'BN-73-202'!P18*1000000)</f>
        <v>719.81653207649549</v>
      </c>
      <c r="Q19" s="7">
        <f>csinterpolate(CSTableU2,'BN-73-202'!Q18*1000000)</f>
        <v>688.55295507307926</v>
      </c>
      <c r="R19" s="7">
        <f>csinterpolate(CSTableU2,'BN-73-202'!R18*1000000)</f>
        <v>659.96790828542112</v>
      </c>
      <c r="S19" s="7">
        <f>csinterpolate(CSTableU2,'BN-73-202'!S18*1000000)</f>
        <v>630.11902693490038</v>
      </c>
      <c r="T19" s="7">
        <f>csinterpolate(CSTableU2,'BN-73-202'!T18*1000000)</f>
        <v>599.135075084758</v>
      </c>
      <c r="U19" s="7">
        <f>csinterpolate(CSTableU2,'BN-73-202'!U18*1000000)</f>
        <v>568.13461900419054</v>
      </c>
      <c r="V19" s="7">
        <f>csinterpolate(CSTableU2,'BN-73-202'!V18*1000000)</f>
        <v>538.23622620412345</v>
      </c>
      <c r="W19" s="7">
        <f>csinterpolate(CSTableU2,'BN-73-202'!W18*1000000)</f>
        <v>510.40732438497804</v>
      </c>
      <c r="X19" s="7">
        <f>csinterpolate(CSTableU2,'BN-73-202'!X18*1000000)</f>
        <v>484.75212189525962</v>
      </c>
      <c r="Y19" s="7">
        <f>csinterpolate(CSTableU2,'BN-73-202'!Y18*1000000)</f>
        <v>461.06894171160809</v>
      </c>
      <c r="Z19" s="7">
        <f>csinterpolate(CSTableU2,'BN-73-202'!Z18*1000000)</f>
        <v>439.15572862436142</v>
      </c>
      <c r="AA19" s="7">
        <f>csinterpolate(CSTableU2,'BN-73-202'!AA18*1000000)</f>
        <v>382.02406156220991</v>
      </c>
      <c r="AB19" s="7">
        <f>csinterpolate(CSTableU2,'BN-73-202'!AB18*1000000)</f>
        <v>349.55451135030944</v>
      </c>
      <c r="AC19" s="7">
        <f>csinterpolate(CSTableU2,'BN-73-202'!AC18*1000000)</f>
        <v>320.90950503555433</v>
      </c>
      <c r="AD19" s="7">
        <f>csinterpolate(CSTableU2,'BN-73-202'!AD18*1000000)</f>
        <v>295.64963377859482</v>
      </c>
      <c r="AE19" s="7">
        <f>csinterpolate(CSTableU2,'BN-73-202'!AE18*1000000)</f>
        <v>273.33685175710718</v>
      </c>
    </row>
    <row r="20" spans="1:31" x14ac:dyDescent="0.2">
      <c r="A20" t="s">
        <v>3</v>
      </c>
      <c r="B20" s="7">
        <f>csinterpolate(CSTableU1,'BN-73-202'!B18*1000000)</f>
        <v>2408.0202920390539</v>
      </c>
      <c r="C20" s="7">
        <f>csinterpolate(CSTableU1,'BN-73-202'!C18*1000000)</f>
        <v>2199.1407868443675</v>
      </c>
      <c r="D20" s="7">
        <f>csinterpolate(CSTableU1,'BN-73-202'!D18*1000000)</f>
        <v>1540.4204477093901</v>
      </c>
      <c r="E20" s="7">
        <f>csinterpolate(CSTableU1,'BN-73-202'!E18*1000000)</f>
        <v>1422.9345221206945</v>
      </c>
      <c r="F20" s="7">
        <f>csinterpolate(CSTableU1,'BN-73-202'!F18*1000000)</f>
        <v>1204.2232083931372</v>
      </c>
      <c r="G20" s="7">
        <f>csinterpolate(CSTableU1,'BN-73-202'!G18*1000000)</f>
        <v>993.6393415175736</v>
      </c>
      <c r="H20" s="7">
        <f>csinterpolate(CSTableU1,'BN-73-202'!H18*1000000)</f>
        <v>858.62013244361776</v>
      </c>
      <c r="I20" s="7">
        <f>csinterpolate(CSTableU1,'BN-73-202'!I18*1000000)</f>
        <v>781.02291322424003</v>
      </c>
      <c r="J20" s="7">
        <f>csinterpolate(CSTableU1,'BN-73-202'!J18*1000000)</f>
        <v>718.86406138452378</v>
      </c>
      <c r="K20" s="7">
        <f>csinterpolate(CSTableU1,'BN-73-202'!K18*1000000)</f>
        <v>657.13932295796235</v>
      </c>
      <c r="L20" s="7">
        <f>csinterpolate(CSTableU1,'BN-73-202'!L18*1000000)</f>
        <v>598.90779311343374</v>
      </c>
      <c r="M20" s="7">
        <f>csinterpolate(CSTableU1,'BN-73-202'!M18*1000000)</f>
        <v>547.34270284178956</v>
      </c>
      <c r="N20" s="7">
        <f>csinterpolate(CSTableU1,'BN-73-202'!N18*1000000)</f>
        <v>464.47729137838638</v>
      </c>
      <c r="O20" s="7">
        <f>csinterpolate(CSTableU1,'BN-73-202'!O18*1000000)</f>
        <v>400.10664707536381</v>
      </c>
      <c r="P20" s="7">
        <f>csinterpolate(CSTableU1,'BN-73-202'!P18*1000000)</f>
        <v>346.76605069083206</v>
      </c>
      <c r="Q20" s="7">
        <f>csinterpolate(CSTableU1,'BN-73-202'!Q18*1000000)</f>
        <v>300.95601456470132</v>
      </c>
      <c r="R20" s="7">
        <f>csinterpolate(CSTableU1,'BN-73-202'!R18*1000000)</f>
        <v>259.74817348479581</v>
      </c>
      <c r="S20" s="7">
        <f>csinterpolate(CSTableU1,'BN-73-202'!S18*1000000)</f>
        <v>222.58673898321507</v>
      </c>
      <c r="T20" s="7">
        <f>csinterpolate(CSTableU1,'BN-73-202'!T18*1000000)</f>
        <v>190.10095884267454</v>
      </c>
      <c r="U20" s="7">
        <f>csinterpolate(CSTableU1,'BN-73-202'!U18*1000000)</f>
        <v>162.81160083529107</v>
      </c>
      <c r="V20" s="7">
        <f>csinterpolate(CSTableU1,'BN-73-202'!V18*1000000)</f>
        <v>140.12406675106945</v>
      </c>
      <c r="W20" s="7">
        <f>csinterpolate(CSTableU1,'BN-73-202'!W18*1000000)</f>
        <v>120.82669631612335</v>
      </c>
      <c r="X20" s="7">
        <f>csinterpolate(CSTableU1,'BN-73-202'!X18*1000000)</f>
        <v>103.7012976241063</v>
      </c>
      <c r="Y20" s="7">
        <f>csinterpolate(CSTableU1,'BN-73-202'!Y18*1000000)</f>
        <v>87.696738686118977</v>
      </c>
      <c r="Z20" s="7">
        <f>csinterpolate(CSTableU1,'BN-73-202'!Z18*1000000)</f>
        <v>73.056200825802989</v>
      </c>
      <c r="AA20" s="7">
        <f>csinterpolate(CSTableU1,'BN-73-202'!AA18*1000000)</f>
        <v>43.536324528004357</v>
      </c>
      <c r="AB20" s="7">
        <f>csinterpolate(CSTableU1,'BN-73-202'!AB18*1000000)</f>
        <v>30.869350099132408</v>
      </c>
      <c r="AC20" s="7">
        <f>csinterpolate(CSTableU1,'BN-73-202'!AC18*1000000)</f>
        <v>18.386721560905574</v>
      </c>
      <c r="AD20" s="7">
        <f>csinterpolate(CSTableU1,'BN-73-202'!AD18*1000000)</f>
        <v>10.494890899429357</v>
      </c>
      <c r="AE20" s="7">
        <f>csinterpolate(CSTableU1,'BN-73-202'!AE18*1000000)</f>
        <v>2.2871020480833768</v>
      </c>
    </row>
    <row r="21" spans="1:31" x14ac:dyDescent="0.2">
      <c r="A21" t="s">
        <v>10</v>
      </c>
      <c r="B21" s="5">
        <f t="shared" ref="B21:AE21" si="1">B19/$B$13*$B$16*B18*1000000</f>
        <v>16.728179885478745</v>
      </c>
      <c r="C21" s="5">
        <f t="shared" si="1"/>
        <v>21.826422676331138</v>
      </c>
      <c r="D21" s="5">
        <f t="shared" si="1"/>
        <v>39.275046728671967</v>
      </c>
      <c r="E21" s="5">
        <f t="shared" si="1"/>
        <v>44.612006176320961</v>
      </c>
      <c r="F21" s="5">
        <f t="shared" si="1"/>
        <v>54.284837828759684</v>
      </c>
      <c r="G21" s="5">
        <f t="shared" si="1"/>
        <v>58.555349961855619</v>
      </c>
      <c r="H21" s="5">
        <f t="shared" si="1"/>
        <v>62.190447551488518</v>
      </c>
      <c r="I21" s="5">
        <f t="shared" si="1"/>
        <v>67.372971233947951</v>
      </c>
      <c r="J21" s="5">
        <f t="shared" si="1"/>
        <v>72.965807760304358</v>
      </c>
      <c r="K21" s="5">
        <f t="shared" si="1"/>
        <v>78.007642987537011</v>
      </c>
      <c r="L21" s="5">
        <f t="shared" si="1"/>
        <v>82.514765334076316</v>
      </c>
      <c r="M21" s="5">
        <f t="shared" si="1"/>
        <v>86.591042338222437</v>
      </c>
      <c r="N21" s="5">
        <f t="shared" si="1"/>
        <v>93.914896909306393</v>
      </c>
      <c r="O21" s="5">
        <f t="shared" si="1"/>
        <v>100.68573764665173</v>
      </c>
      <c r="P21" s="5">
        <f t="shared" si="1"/>
        <v>107.46031803902208</v>
      </c>
      <c r="Q21" s="5">
        <f t="shared" si="1"/>
        <v>114.21447339799882</v>
      </c>
      <c r="R21" s="5">
        <f t="shared" si="1"/>
        <v>120.42018729850305</v>
      </c>
      <c r="S21" s="5">
        <f t="shared" si="1"/>
        <v>125.42601810219354</v>
      </c>
      <c r="T21" s="5">
        <f t="shared" si="1"/>
        <v>129.196840371061</v>
      </c>
      <c r="U21" s="5">
        <f t="shared" si="1"/>
        <v>131.9359305495814</v>
      </c>
      <c r="V21" s="5">
        <f t="shared" si="1"/>
        <v>133.92078275179048</v>
      </c>
      <c r="W21" s="5">
        <f t="shared" si="1"/>
        <v>135.46299576490728</v>
      </c>
      <c r="X21" s="5">
        <f t="shared" si="1"/>
        <v>136.69493895704909</v>
      </c>
      <c r="Y21" s="5">
        <f t="shared" si="1"/>
        <v>137.66456563956601</v>
      </c>
      <c r="Z21" s="5">
        <f t="shared" si="1"/>
        <v>138.4063285742817</v>
      </c>
      <c r="AA21" s="5">
        <f t="shared" si="1"/>
        <v>139.41104853225909</v>
      </c>
      <c r="AB21" s="5">
        <f t="shared" si="1"/>
        <v>139.15856717291894</v>
      </c>
      <c r="AC21" s="5">
        <f t="shared" si="1"/>
        <v>138.40115800187263</v>
      </c>
      <c r="AD21" s="5">
        <f t="shared" si="1"/>
        <v>137.31537647746882</v>
      </c>
      <c r="AE21" s="5">
        <f t="shared" si="1"/>
        <v>136.02014639698166</v>
      </c>
    </row>
    <row r="22" spans="1:31" x14ac:dyDescent="0.2">
      <c r="A22" t="s">
        <v>11</v>
      </c>
      <c r="B22" s="5">
        <f t="shared" ref="B22:AE22" si="2">B20/$B$13*$B$16*B18*1000000</f>
        <v>39.943299576391418</v>
      </c>
      <c r="C22" s="5">
        <f t="shared" si="2"/>
        <v>43.774185566453397</v>
      </c>
      <c r="D22" s="5">
        <f t="shared" si="2"/>
        <v>45.993406332899404</v>
      </c>
      <c r="E22" s="5">
        <f t="shared" si="2"/>
        <v>47.206163571427638</v>
      </c>
      <c r="F22" s="5">
        <f t="shared" si="2"/>
        <v>49.937959958966779</v>
      </c>
      <c r="G22" s="5">
        <f t="shared" si="2"/>
        <v>49.44630328116984</v>
      </c>
      <c r="H22" s="5">
        <f t="shared" si="2"/>
        <v>49.848593261713376</v>
      </c>
      <c r="I22" s="5">
        <f t="shared" si="2"/>
        <v>51.821211477458469</v>
      </c>
      <c r="J22" s="5">
        <f t="shared" si="2"/>
        <v>53.659062567206135</v>
      </c>
      <c r="K22" s="5">
        <f t="shared" si="2"/>
        <v>54.50185143188822</v>
      </c>
      <c r="L22" s="5">
        <f t="shared" si="2"/>
        <v>54.639466340583255</v>
      </c>
      <c r="M22" s="5">
        <f t="shared" si="2"/>
        <v>54.474641155241919</v>
      </c>
      <c r="N22" s="5">
        <f t="shared" si="2"/>
        <v>53.931974577229958</v>
      </c>
      <c r="O22" s="5">
        <f t="shared" si="2"/>
        <v>53.09450163513015</v>
      </c>
      <c r="P22" s="5">
        <f t="shared" si="2"/>
        <v>51.768177628368825</v>
      </c>
      <c r="Q22" s="5">
        <f t="shared" si="2"/>
        <v>49.921407592854791</v>
      </c>
      <c r="R22" s="5">
        <f t="shared" si="2"/>
        <v>47.394613145273958</v>
      </c>
      <c r="S22" s="5">
        <f t="shared" si="2"/>
        <v>44.306182101530595</v>
      </c>
      <c r="T22" s="5">
        <f t="shared" si="2"/>
        <v>40.993165406829434</v>
      </c>
      <c r="U22" s="5">
        <f t="shared" si="2"/>
        <v>37.809172935319211</v>
      </c>
      <c r="V22" s="5">
        <f t="shared" si="2"/>
        <v>34.86484890474582</v>
      </c>
      <c r="W22" s="5">
        <f t="shared" si="2"/>
        <v>32.067616331879719</v>
      </c>
      <c r="X22" s="5">
        <f t="shared" si="2"/>
        <v>29.242662194177825</v>
      </c>
      <c r="Y22" s="5">
        <f t="shared" si="2"/>
        <v>26.184226147209053</v>
      </c>
      <c r="Z22" s="5">
        <f t="shared" si="2"/>
        <v>23.024726484972657</v>
      </c>
      <c r="AA22" s="5">
        <f t="shared" si="2"/>
        <v>15.887597830539873</v>
      </c>
      <c r="AB22" s="5">
        <f t="shared" si="2"/>
        <v>12.289169184972861</v>
      </c>
      <c r="AC22" s="5">
        <f t="shared" si="2"/>
        <v>7.9297855499960708</v>
      </c>
      <c r="AD22" s="5">
        <f t="shared" si="2"/>
        <v>4.8743841706373203</v>
      </c>
      <c r="AE22" s="5">
        <f t="shared" si="2"/>
        <v>1.138126649975395</v>
      </c>
    </row>
    <row r="23" spans="1:31" x14ac:dyDescent="0.2">
      <c r="A23" t="s">
        <v>12</v>
      </c>
      <c r="B23" s="5" t="str">
        <f t="shared" ref="B23:AE23" si="3">IMDIV(1,COMPLEX(B21,B22))</f>
        <v>0.00892027258059787-0.0212996944335343i</v>
      </c>
      <c r="C23" s="5" t="str">
        <f t="shared" si="3"/>
        <v>0.00912257697184182-0.0182958693291824i</v>
      </c>
      <c r="D23" s="5" t="str">
        <f t="shared" si="3"/>
        <v>0.0107369809909587-0.0125736407881921i</v>
      </c>
      <c r="E23" s="5" t="str">
        <f t="shared" si="3"/>
        <v>0.0105749409702729-0.0111898664953082i</v>
      </c>
      <c r="F23" s="5" t="str">
        <f t="shared" si="3"/>
        <v>0.00997765029051264-0.00917868636292061i</v>
      </c>
      <c r="G23" s="5" t="str">
        <f t="shared" si="3"/>
        <v>0.00996913184815337-0.0084183036585875i</v>
      </c>
      <c r="H23" s="5" t="str">
        <f t="shared" si="3"/>
        <v>0.00978986454645697-0.00784704074463477i</v>
      </c>
      <c r="I23" s="5" t="str">
        <f t="shared" si="3"/>
        <v>0.00932555282062805-0.00717292760005914i</v>
      </c>
      <c r="J23" s="5" t="str">
        <f t="shared" si="3"/>
        <v>0.00889468522576377-0.00654115243420243i</v>
      </c>
      <c r="K23" s="5" t="str">
        <f t="shared" si="3"/>
        <v>0.00861425664357773-0.00601855046254171i</v>
      </c>
      <c r="L23" s="5" t="str">
        <f t="shared" si="3"/>
        <v>0.00842489647262487-0.00557878151110467i</v>
      </c>
      <c r="M23" s="5" t="str">
        <f t="shared" si="3"/>
        <v>0.00827395561906675-0.00520516615936502i</v>
      </c>
      <c r="N23" s="5" t="str">
        <f t="shared" si="3"/>
        <v>0.00800729588214911-0.0045983043389321i</v>
      </c>
      <c r="O23" s="5" t="str">
        <f t="shared" si="3"/>
        <v>0.00777097361493143-0.00409785915014598i</v>
      </c>
      <c r="P23" s="5" t="str">
        <f t="shared" si="3"/>
        <v>0.00755291358933246-0.00363855774335508i</v>
      </c>
      <c r="Q23" s="5" t="str">
        <f t="shared" si="3"/>
        <v>0.00735108390973326-0.00321304686865982i</v>
      </c>
      <c r="R23" s="5" t="str">
        <f t="shared" si="3"/>
        <v>0.00719043647618695-0.00282999024316236i</v>
      </c>
      <c r="S23" s="5" t="str">
        <f t="shared" si="3"/>
        <v>0.0070883286789382-0.0025039205261914i</v>
      </c>
      <c r="T23" s="5" t="str">
        <f t="shared" si="3"/>
        <v>0.00703216795677106-0.00223125289591131i</v>
      </c>
      <c r="U23" s="5" t="str">
        <f t="shared" si="3"/>
        <v>0.00700422407200793-0.00200721606398762i</v>
      </c>
      <c r="V23" s="5" t="str">
        <f t="shared" si="3"/>
        <v>0.00699313048827229-0.00182058701297074i</v>
      </c>
      <c r="W23" s="5" t="str">
        <f t="shared" si="3"/>
        <v>0.00699035578739112-0.00165479912907304i</v>
      </c>
      <c r="X23" s="5" t="str">
        <f t="shared" si="3"/>
        <v>0.0069954178345555-0.0014965048611442i</v>
      </c>
      <c r="Y23" s="5" t="str">
        <f t="shared" si="3"/>
        <v>0.00701041604082902-0.00133340281245425i</v>
      </c>
      <c r="Z23" s="5" t="str">
        <f t="shared" si="3"/>
        <v>0.00703053774784008-0.00116957230463212i</v>
      </c>
      <c r="AA23" s="5" t="str">
        <f t="shared" si="3"/>
        <v>0.00708106799393441-0.00080697449508319i</v>
      </c>
      <c r="AB23" s="5" t="str">
        <f t="shared" si="3"/>
        <v>0.00713043844399327-0.000629692919246447i</v>
      </c>
      <c r="AC23" s="5" t="str">
        <f t="shared" si="3"/>
        <v>0.00720173128113919-0.000412627939481254i</v>
      </c>
      <c r="AD23" s="5" t="str">
        <f t="shared" si="3"/>
        <v>0.00727334055810083-0.000258187079943507i</v>
      </c>
      <c r="AE23" s="5" t="str">
        <f t="shared" si="3"/>
        <v>0.00735133742338629-0.0000615111309327562i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0.0000628318530717959i</v>
      </c>
      <c r="C24" s="6" t="str">
        <f t="shared" si="4"/>
        <v>0.000075398223686155i</v>
      </c>
      <c r="D24" s="6" t="str">
        <f t="shared" si="4"/>
        <v>0.000113097335529233i</v>
      </c>
      <c r="E24" s="6" t="str">
        <f t="shared" si="4"/>
        <v>0.000125663706143592i</v>
      </c>
      <c r="F24" s="6" t="str">
        <f t="shared" si="4"/>
        <v>0.00015707963267949i</v>
      </c>
      <c r="G24" s="6" t="str">
        <f t="shared" si="4"/>
        <v>0.000188495559215388i</v>
      </c>
      <c r="H24" s="6" t="str">
        <f t="shared" si="4"/>
        <v>0.000219911485751286i</v>
      </c>
      <c r="I24" s="6" t="str">
        <f t="shared" si="4"/>
        <v>0.000251327412287183i</v>
      </c>
      <c r="J24" s="6" t="str">
        <f t="shared" si="4"/>
        <v>0.000282743338823081i</v>
      </c>
      <c r="K24" s="6" t="str">
        <f t="shared" si="4"/>
        <v>0.000314159265358979i</v>
      </c>
      <c r="L24" s="6" t="str">
        <f t="shared" si="4"/>
        <v>0.000345575191894877i</v>
      </c>
      <c r="M24" s="6" t="str">
        <f t="shared" si="4"/>
        <v>0.000376991118430775i</v>
      </c>
      <c r="N24" s="6" t="str">
        <f t="shared" si="4"/>
        <v>0.000439822971502571i</v>
      </c>
      <c r="O24" s="6" t="str">
        <f t="shared" si="4"/>
        <v>0.000502654824574367i</v>
      </c>
      <c r="P24" s="6" t="str">
        <f t="shared" si="4"/>
        <v>0.000565486677646163i</v>
      </c>
      <c r="Q24" s="6" t="str">
        <f t="shared" si="4"/>
        <v>0.000628318530717959i</v>
      </c>
      <c r="R24" s="6" t="str">
        <f t="shared" si="4"/>
        <v>0.000691150383789754i</v>
      </c>
      <c r="S24" s="6" t="str">
        <f t="shared" si="4"/>
        <v>0.00075398223686155i</v>
      </c>
      <c r="T24" s="6" t="str">
        <f t="shared" si="4"/>
        <v>0.000816814089933346i</v>
      </c>
      <c r="U24" s="6" t="str">
        <f t="shared" si="4"/>
        <v>0.000879645943005142i</v>
      </c>
      <c r="V24" s="6" t="str">
        <f t="shared" si="4"/>
        <v>0.000942477796076938i</v>
      </c>
      <c r="W24" s="6" t="str">
        <f t="shared" si="4"/>
        <v>0.00100530964914873i</v>
      </c>
      <c r="X24" s="6" t="str">
        <f t="shared" si="4"/>
        <v>0.00106814150222053i</v>
      </c>
      <c r="Y24" s="6" t="str">
        <f t="shared" si="4"/>
        <v>0.00113097335529233i</v>
      </c>
      <c r="Z24" s="6" t="str">
        <f t="shared" si="4"/>
        <v>0.00119380520836412i</v>
      </c>
      <c r="AA24" s="6" t="str">
        <f t="shared" si="4"/>
        <v>0.00138230076757951i</v>
      </c>
      <c r="AB24" s="6" t="str">
        <f t="shared" si="4"/>
        <v>0.0015079644737231i</v>
      </c>
      <c r="AC24" s="6" t="str">
        <f t="shared" si="4"/>
        <v>0.00163362817986669i</v>
      </c>
      <c r="AD24" s="6" t="str">
        <f t="shared" si="4"/>
        <v>0.00175929188601028i</v>
      </c>
      <c r="AE24" s="6" t="str">
        <f t="shared" si="4"/>
        <v>0.00188495559215388i</v>
      </c>
    </row>
    <row r="25" spans="1:31" x14ac:dyDescent="0.2">
      <c r="A25" t="s">
        <v>14</v>
      </c>
      <c r="B25" s="6" t="str">
        <f t="shared" ref="B25:AE25" si="5">IMDIV(1,IMSUM(B23,B24))</f>
        <v>16.8124441865423+40.0260825670155i</v>
      </c>
      <c r="C25" s="6" t="str">
        <f t="shared" si="5"/>
        <v>21.9711552481291+43.8828634264823i</v>
      </c>
      <c r="D25" s="6" t="str">
        <f t="shared" si="5"/>
        <v>39.6860623747513+46.056699280933i</v>
      </c>
      <c r="E25" s="6" t="str">
        <f t="shared" si="5"/>
        <v>45.144603456497+47.2332705102764i</v>
      </c>
      <c r="F25" s="6" t="str">
        <f t="shared" si="5"/>
        <v>55.1425375582357+49.8588619036871i</v>
      </c>
      <c r="G25" s="6" t="str">
        <f t="shared" si="5"/>
        <v>59.6549166906775+49.2468676336392i</v>
      </c>
      <c r="H25" s="6" t="str">
        <f t="shared" si="5"/>
        <v>63.5645439822008+49.5221349522847i</v>
      </c>
      <c r="I25" s="6" t="str">
        <f t="shared" si="5"/>
        <v>69.1424538183099+51.31882586877i</v>
      </c>
      <c r="J25" s="6" t="str">
        <f t="shared" si="5"/>
        <v>75.1982700703257+52.9104207085089i</v>
      </c>
      <c r="K25" s="6" t="str">
        <f t="shared" si="5"/>
        <v>80.6990171005278+53.4391743613478i</v>
      </c>
      <c r="L25" s="6" t="str">
        <f t="shared" si="5"/>
        <v>85.6490448639312+53.2017365759463i</v>
      </c>
      <c r="M25" s="6" t="str">
        <f t="shared" si="5"/>
        <v>90.1600769038852+52.6119129758096i</v>
      </c>
      <c r="N25" s="6" t="str">
        <f t="shared" si="5"/>
        <v>98.3579414872756+51.0808733726699i</v>
      </c>
      <c r="O25" s="6" t="str">
        <f t="shared" si="5"/>
        <v>105.996453012938+49.0387595236641i</v>
      </c>
      <c r="P25" s="6" t="str">
        <f t="shared" si="5"/>
        <v>113.594269512712+46.2183578219262i</v>
      </c>
      <c r="Q25" s="6" t="str">
        <f t="shared" si="5"/>
        <v>121.066766745099+42.5685118863526i</v>
      </c>
      <c r="R25" s="6" t="str">
        <f t="shared" si="5"/>
        <v>127.768624098036+38.005568494083i</v>
      </c>
      <c r="S25" s="6" t="str">
        <f t="shared" si="5"/>
        <v>132.972597143286+32.8277439876739i</v>
      </c>
      <c r="T25" s="6" t="str">
        <f t="shared" si="5"/>
        <v>136.674274491841+27.4904409008042i</v>
      </c>
      <c r="U25" s="6" t="str">
        <f t="shared" si="5"/>
        <v>139.164411993655+22.403285682315i</v>
      </c>
      <c r="V25" s="6" t="str">
        <f t="shared" si="5"/>
        <v>140.777806786288+17.6771032487447i</v>
      </c>
      <c r="W25" s="6" t="str">
        <f t="shared" si="5"/>
        <v>141.82986313446+13.1777275501617i</v>
      </c>
      <c r="X25" s="6" t="str">
        <f t="shared" si="5"/>
        <v>142.416696834088+8.72086500985115i</v>
      </c>
      <c r="Y25" s="6" t="str">
        <f t="shared" si="5"/>
        <v>142.526048776866+4.1155147593669i</v>
      </c>
      <c r="Z25" s="6" t="str">
        <f t="shared" si="5"/>
        <v>142.234940701769-0.490256328744076i</v>
      </c>
      <c r="AA25" s="6" t="str">
        <f t="shared" si="5"/>
        <v>140.29549935372-11.3988012486713i</v>
      </c>
      <c r="AB25" s="6" t="str">
        <f t="shared" si="5"/>
        <v>138.147935229412-17.0159805423867i</v>
      </c>
      <c r="AC25" s="6" t="str">
        <f t="shared" si="5"/>
        <v>134.975666208904-22.884125282329i</v>
      </c>
      <c r="AD25" s="6" t="str">
        <f t="shared" si="5"/>
        <v>131.871401114777-27.2162141198898i</v>
      </c>
      <c r="AE25" s="6" t="str">
        <f t="shared" si="5"/>
        <v>128.145503867104-31.785537215788i</v>
      </c>
    </row>
    <row r="26" spans="1:31" x14ac:dyDescent="0.2">
      <c r="A26" t="s">
        <v>6</v>
      </c>
      <c r="B26" s="5">
        <f t="shared" ref="B26:AE26" si="6">IMREAL(B25)</f>
        <v>16.812444186542301</v>
      </c>
      <c r="C26" s="5">
        <f t="shared" si="6"/>
        <v>21.971155248129101</v>
      </c>
      <c r="D26" s="5">
        <f t="shared" si="6"/>
        <v>39.686062374751302</v>
      </c>
      <c r="E26" s="5">
        <f t="shared" si="6"/>
        <v>45.144603456497002</v>
      </c>
      <c r="F26" s="5">
        <f t="shared" si="6"/>
        <v>55.142537558235702</v>
      </c>
      <c r="G26" s="5">
        <f t="shared" si="6"/>
        <v>59.654916690677503</v>
      </c>
      <c r="H26" s="5">
        <f t="shared" si="6"/>
        <v>63.564543982200803</v>
      </c>
      <c r="I26" s="5">
        <f t="shared" si="6"/>
        <v>69.142453818309903</v>
      </c>
      <c r="J26" s="5">
        <f t="shared" si="6"/>
        <v>75.198270070325705</v>
      </c>
      <c r="K26" s="5">
        <f t="shared" si="6"/>
        <v>80.699017100527797</v>
      </c>
      <c r="L26" s="5">
        <f t="shared" si="6"/>
        <v>85.649044863931195</v>
      </c>
      <c r="M26" s="5">
        <f t="shared" si="6"/>
        <v>90.160076903885198</v>
      </c>
      <c r="N26" s="5">
        <f t="shared" si="6"/>
        <v>98.357941487275596</v>
      </c>
      <c r="O26" s="5">
        <f t="shared" si="6"/>
        <v>105.99645301293801</v>
      </c>
      <c r="P26" s="5">
        <f t="shared" si="6"/>
        <v>113.594269512712</v>
      </c>
      <c r="Q26" s="5">
        <f t="shared" si="6"/>
        <v>121.066766745099</v>
      </c>
      <c r="R26" s="5">
        <f t="shared" si="6"/>
        <v>127.768624098036</v>
      </c>
      <c r="S26" s="5">
        <f t="shared" si="6"/>
        <v>132.97259714328601</v>
      </c>
      <c r="T26" s="5">
        <f t="shared" si="6"/>
        <v>136.674274491841</v>
      </c>
      <c r="U26" s="5">
        <f t="shared" si="6"/>
        <v>139.16441199365499</v>
      </c>
      <c r="V26" s="5">
        <f t="shared" si="6"/>
        <v>140.77780678628801</v>
      </c>
      <c r="W26" s="5">
        <f t="shared" si="6"/>
        <v>141.82986313446</v>
      </c>
      <c r="X26" s="5">
        <f t="shared" si="6"/>
        <v>142.41669683408799</v>
      </c>
      <c r="Y26" s="5">
        <f t="shared" si="6"/>
        <v>142.52604877686599</v>
      </c>
      <c r="Z26" s="5">
        <f t="shared" si="6"/>
        <v>142.23494070176901</v>
      </c>
      <c r="AA26" s="5">
        <f t="shared" si="6"/>
        <v>140.29549935372</v>
      </c>
      <c r="AB26" s="5">
        <f t="shared" si="6"/>
        <v>138.14793522941201</v>
      </c>
      <c r="AC26" s="5">
        <f t="shared" si="6"/>
        <v>134.97566620890399</v>
      </c>
      <c r="AD26" s="5">
        <f t="shared" si="6"/>
        <v>131.871401114777</v>
      </c>
      <c r="AE26" s="5">
        <f t="shared" si="6"/>
        <v>128.145503867104</v>
      </c>
    </row>
    <row r="27" spans="1:31" x14ac:dyDescent="0.2">
      <c r="A27" t="s">
        <v>7</v>
      </c>
      <c r="B27" s="5">
        <f t="shared" ref="B27:AE27" si="7">IMAGINARY(B25)</f>
        <v>40.0260825670155</v>
      </c>
      <c r="C27" s="5">
        <f t="shared" si="7"/>
        <v>43.882863426482302</v>
      </c>
      <c r="D27" s="5">
        <f t="shared" si="7"/>
        <v>46.056699280933003</v>
      </c>
      <c r="E27" s="5">
        <f t="shared" si="7"/>
        <v>47.233270510276398</v>
      </c>
      <c r="F27" s="5">
        <f t="shared" si="7"/>
        <v>49.858861903687099</v>
      </c>
      <c r="G27" s="5">
        <f t="shared" si="7"/>
        <v>49.246867633639198</v>
      </c>
      <c r="H27" s="5">
        <f t="shared" si="7"/>
        <v>49.522134952284702</v>
      </c>
      <c r="I27" s="5">
        <f t="shared" si="7"/>
        <v>51.318825868769999</v>
      </c>
      <c r="J27" s="5">
        <f t="shared" si="7"/>
        <v>52.910420708508902</v>
      </c>
      <c r="K27" s="5">
        <f t="shared" si="7"/>
        <v>53.439174361347803</v>
      </c>
      <c r="L27" s="5">
        <f t="shared" si="7"/>
        <v>53.201736575946299</v>
      </c>
      <c r="M27" s="5">
        <f t="shared" si="7"/>
        <v>52.611912975809602</v>
      </c>
      <c r="N27" s="5">
        <f t="shared" si="7"/>
        <v>51.080873372669899</v>
      </c>
      <c r="O27" s="5">
        <f t="shared" si="7"/>
        <v>49.038759523664098</v>
      </c>
      <c r="P27" s="5">
        <f t="shared" si="7"/>
        <v>46.218357821926197</v>
      </c>
      <c r="Q27" s="5">
        <f t="shared" si="7"/>
        <v>42.568511886352603</v>
      </c>
      <c r="R27" s="5">
        <f t="shared" si="7"/>
        <v>38.005568494083001</v>
      </c>
      <c r="S27" s="5">
        <f t="shared" si="7"/>
        <v>32.827743987673898</v>
      </c>
      <c r="T27" s="5">
        <f t="shared" si="7"/>
        <v>27.490440900804199</v>
      </c>
      <c r="U27" s="5">
        <f t="shared" si="7"/>
        <v>22.403285682315001</v>
      </c>
      <c r="V27" s="5">
        <f t="shared" si="7"/>
        <v>17.6771032487447</v>
      </c>
      <c r="W27" s="5">
        <f t="shared" si="7"/>
        <v>13.1777275501617</v>
      </c>
      <c r="X27" s="5">
        <f t="shared" si="7"/>
        <v>8.7208650098511509</v>
      </c>
      <c r="Y27" s="5">
        <f t="shared" si="7"/>
        <v>4.1155147593669001</v>
      </c>
      <c r="Z27" s="5">
        <f t="shared" si="7"/>
        <v>-0.49025632874407599</v>
      </c>
      <c r="AA27" s="5">
        <f t="shared" si="7"/>
        <v>-11.398801248671299</v>
      </c>
      <c r="AB27" s="5">
        <f t="shared" si="7"/>
        <v>-17.0159805423867</v>
      </c>
      <c r="AC27" s="5">
        <f t="shared" si="7"/>
        <v>-22.884125282328998</v>
      </c>
      <c r="AD27" s="5">
        <f t="shared" si="7"/>
        <v>-27.216214119889798</v>
      </c>
      <c r="AE27" s="5">
        <f t="shared" si="7"/>
        <v>-31.785537215788001</v>
      </c>
    </row>
    <row r="28" spans="1:31" x14ac:dyDescent="0.2">
      <c r="A28" t="s">
        <v>15</v>
      </c>
      <c r="B28" s="5">
        <f t="shared" ref="B28:AE28" si="8">IMABS(B25)</f>
        <v>43.413656436507878</v>
      </c>
      <c r="C28" s="5">
        <f t="shared" si="8"/>
        <v>49.075832804392519</v>
      </c>
      <c r="D28" s="5">
        <f t="shared" si="8"/>
        <v>60.796406928920938</v>
      </c>
      <c r="E28" s="5">
        <f t="shared" si="8"/>
        <v>65.337715481498947</v>
      </c>
      <c r="F28" s="5">
        <f t="shared" si="8"/>
        <v>74.341143108593485</v>
      </c>
      <c r="G28" s="5">
        <f t="shared" si="8"/>
        <v>77.356079638880701</v>
      </c>
      <c r="H28" s="5">
        <f t="shared" si="8"/>
        <v>80.578490317810235</v>
      </c>
      <c r="I28" s="5">
        <f t="shared" si="8"/>
        <v>86.106334311514232</v>
      </c>
      <c r="J28" s="5">
        <f t="shared" si="8"/>
        <v>91.947226391670171</v>
      </c>
      <c r="K28" s="5">
        <f t="shared" si="8"/>
        <v>96.788825374698135</v>
      </c>
      <c r="L28" s="5">
        <f t="shared" si="8"/>
        <v>100.82749456770252</v>
      </c>
      <c r="M28" s="5">
        <f t="shared" si="8"/>
        <v>104.38799190658213</v>
      </c>
      <c r="N28" s="5">
        <f t="shared" si="8"/>
        <v>110.83113406497773</v>
      </c>
      <c r="O28" s="5">
        <f t="shared" si="8"/>
        <v>116.79061600549818</v>
      </c>
      <c r="P28" s="5">
        <f t="shared" si="8"/>
        <v>122.6368405736313</v>
      </c>
      <c r="Q28" s="5">
        <f t="shared" si="8"/>
        <v>128.33253762912489</v>
      </c>
      <c r="R28" s="5">
        <f t="shared" si="8"/>
        <v>133.30132985256995</v>
      </c>
      <c r="S28" s="5">
        <f t="shared" si="8"/>
        <v>136.96485814379866</v>
      </c>
      <c r="T28" s="5">
        <f t="shared" si="8"/>
        <v>139.41155493283802</v>
      </c>
      <c r="U28" s="5">
        <f t="shared" si="8"/>
        <v>140.95616614715075</v>
      </c>
      <c r="V28" s="5">
        <f t="shared" si="8"/>
        <v>141.88330015482521</v>
      </c>
      <c r="W28" s="5">
        <f t="shared" si="8"/>
        <v>142.44073357058346</v>
      </c>
      <c r="X28" s="5">
        <f t="shared" si="8"/>
        <v>142.6834574281566</v>
      </c>
      <c r="Y28" s="5">
        <f t="shared" si="8"/>
        <v>142.58545522485858</v>
      </c>
      <c r="Z28" s="5">
        <f t="shared" si="8"/>
        <v>142.23578560862813</v>
      </c>
      <c r="AA28" s="5">
        <f t="shared" si="8"/>
        <v>140.75780549872309</v>
      </c>
      <c r="AB28" s="5">
        <f t="shared" si="8"/>
        <v>139.19193799199974</v>
      </c>
      <c r="AC28" s="5">
        <f t="shared" si="8"/>
        <v>136.90183949996725</v>
      </c>
      <c r="AD28" s="5">
        <f t="shared" si="8"/>
        <v>134.6506173138248</v>
      </c>
      <c r="AE28" s="5">
        <f t="shared" si="8"/>
        <v>132.02874890511615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  <row r="60" spans="2:31" x14ac:dyDescent="0.2">
      <c r="B60" s="14">
        <f>1/IMREAL(IMDIV(1,B25))</f>
        <v>112.10419759762277</v>
      </c>
      <c r="C60" s="14">
        <f t="shared" ref="C60:AE60" si="9">1/IMREAL(IMDIV(1,C25))</f>
        <v>109.61814880670752</v>
      </c>
      <c r="D60" s="14">
        <f t="shared" si="9"/>
        <v>93.136050146877494</v>
      </c>
      <c r="E60" s="14">
        <f t="shared" si="9"/>
        <v>94.563175606472797</v>
      </c>
      <c r="F60" s="14">
        <f t="shared" si="9"/>
        <v>100.2239977232778</v>
      </c>
      <c r="G60" s="14">
        <f t="shared" si="9"/>
        <v>100.30963731162146</v>
      </c>
      <c r="H60" s="14">
        <f t="shared" si="9"/>
        <v>102.14645925432207</v>
      </c>
      <c r="I60" s="14">
        <f t="shared" si="9"/>
        <v>107.23224877221303</v>
      </c>
      <c r="J60" s="14">
        <f t="shared" si="9"/>
        <v>112.4266879173492</v>
      </c>
      <c r="K60" s="14">
        <f t="shared" si="9"/>
        <v>116.08662724781246</v>
      </c>
      <c r="L60" s="14">
        <f t="shared" si="9"/>
        <v>118.69582056578543</v>
      </c>
      <c r="M60" s="14">
        <f t="shared" si="9"/>
        <v>120.86117523951545</v>
      </c>
      <c r="N60" s="14">
        <f t="shared" si="9"/>
        <v>124.8861057113336</v>
      </c>
      <c r="O60" s="14">
        <f t="shared" si="9"/>
        <v>128.68400403246338</v>
      </c>
      <c r="P60" s="14">
        <f t="shared" si="9"/>
        <v>132.39923748265494</v>
      </c>
      <c r="Q60" s="14">
        <f t="shared" si="9"/>
        <v>136.03436068467937</v>
      </c>
      <c r="R60" s="14">
        <f t="shared" si="9"/>
        <v>139.07361581063461</v>
      </c>
      <c r="S60" s="14">
        <f t="shared" si="9"/>
        <v>141.07697953839721</v>
      </c>
      <c r="T60" s="14">
        <f t="shared" si="9"/>
        <v>142.20365698705015</v>
      </c>
      <c r="U60" s="14">
        <f t="shared" si="9"/>
        <v>142.77098929436818</v>
      </c>
      <c r="V60" s="14">
        <f t="shared" si="9"/>
        <v>142.99747468991688</v>
      </c>
      <c r="W60" s="14">
        <f t="shared" si="9"/>
        <v>143.05423506536749</v>
      </c>
      <c r="X60" s="14">
        <f t="shared" si="9"/>
        <v>142.95071769126776</v>
      </c>
      <c r="Y60" s="14">
        <f t="shared" si="9"/>
        <v>142.64488643412182</v>
      </c>
      <c r="Z60" s="14">
        <f t="shared" si="9"/>
        <v>142.23663052050622</v>
      </c>
      <c r="AA60" s="14">
        <f t="shared" si="9"/>
        <v>141.22163504948543</v>
      </c>
      <c r="AB60" s="14">
        <f t="shared" si="9"/>
        <v>140.24383042565992</v>
      </c>
      <c r="AC60" s="14">
        <f t="shared" si="9"/>
        <v>138.85550029045476</v>
      </c>
      <c r="AD60" s="14">
        <f t="shared" si="9"/>
        <v>137.48840605108609</v>
      </c>
      <c r="AE60" s="14">
        <f t="shared" si="9"/>
        <v>136.02966948827171</v>
      </c>
    </row>
    <row r="61" spans="2:31" x14ac:dyDescent="0.2">
      <c r="B61" s="14">
        <f>-1/IMAGINARY(IMDIV(1,B25))</f>
        <v>47.08793477431928</v>
      </c>
      <c r="C61" s="14">
        <f t="shared" ref="C61:AE61" si="10">-1/IMAGINARY(IMDIV(1,C25))</f>
        <v>54.883322950873115</v>
      </c>
      <c r="D61" s="14">
        <f t="shared" si="10"/>
        <v>80.253321518355889</v>
      </c>
      <c r="E61" s="14">
        <f t="shared" si="10"/>
        <v>90.381568293318011</v>
      </c>
      <c r="F61" s="14">
        <f t="shared" si="10"/>
        <v>110.84500022018506</v>
      </c>
      <c r="G61" s="14">
        <f t="shared" si="10"/>
        <v>121.50951613030864</v>
      </c>
      <c r="H61" s="14">
        <f t="shared" si="10"/>
        <v>131.11092864137299</v>
      </c>
      <c r="I61" s="14">
        <f t="shared" si="10"/>
        <v>144.47526191510588</v>
      </c>
      <c r="J61" s="14">
        <f t="shared" si="10"/>
        <v>159.78501640909201</v>
      </c>
      <c r="K61" s="14">
        <f t="shared" si="10"/>
        <v>175.30354518706176</v>
      </c>
      <c r="L61" s="14">
        <f t="shared" si="10"/>
        <v>191.08744028097084</v>
      </c>
      <c r="M61" s="14">
        <f t="shared" si="10"/>
        <v>207.1175944371935</v>
      </c>
      <c r="N61" s="14">
        <f t="shared" si="10"/>
        <v>240.47240125501082</v>
      </c>
      <c r="O61" s="14">
        <f t="shared" si="10"/>
        <v>278.14830797996808</v>
      </c>
      <c r="P61" s="14">
        <f t="shared" si="10"/>
        <v>325.40737868335373</v>
      </c>
      <c r="Q61" s="14">
        <f t="shared" si="10"/>
        <v>386.88785406216635</v>
      </c>
      <c r="R61" s="14">
        <f t="shared" si="10"/>
        <v>467.54318497380501</v>
      </c>
      <c r="S61" s="14">
        <f t="shared" si="10"/>
        <v>571.44872256206861</v>
      </c>
      <c r="T61" s="14">
        <f t="shared" si="10"/>
        <v>706.99417731867231</v>
      </c>
      <c r="U61" s="14">
        <f t="shared" si="10"/>
        <v>886.86280470847794</v>
      </c>
      <c r="V61" s="14">
        <f t="shared" si="10"/>
        <v>1138.8105041618601</v>
      </c>
      <c r="W61" s="14">
        <f t="shared" si="10"/>
        <v>1539.6708197899409</v>
      </c>
      <c r="X61" s="14">
        <f t="shared" si="10"/>
        <v>2334.4667072194534</v>
      </c>
      <c r="Y61" s="14">
        <f t="shared" si="10"/>
        <v>4939.992499214758</v>
      </c>
      <c r="Z61" s="14">
        <f t="shared" si="10"/>
        <v>-41266.206107998245</v>
      </c>
      <c r="AA61" s="14">
        <f t="shared" si="10"/>
        <v>-1738.1441588979224</v>
      </c>
      <c r="AB61" s="14">
        <f t="shared" si="10"/>
        <v>-1138.6000091917833</v>
      </c>
      <c r="AC61" s="14">
        <f t="shared" si="10"/>
        <v>-819.00065775935013</v>
      </c>
      <c r="AD61" s="14">
        <f t="shared" si="10"/>
        <v>-666.17600314012941</v>
      </c>
      <c r="AE61" s="14">
        <f t="shared" si="10"/>
        <v>-548.41264500610146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61"/>
  <sheetViews>
    <sheetView tabSelected="1" workbookViewId="0">
      <selection activeCell="B7" sqref="B7"/>
    </sheetView>
  </sheetViews>
  <sheetFormatPr defaultRowHeight="12.75" x14ac:dyDescent="0.2"/>
  <cols>
    <col min="1" max="1" width="22" customWidth="1"/>
    <col min="2" max="2" width="12.5703125" bestFit="1" customWidth="1"/>
    <col min="3" max="3" width="13.28515625" bestFit="1" customWidth="1"/>
    <col min="4" max="31" width="9.5703125" bestFit="1" customWidth="1"/>
  </cols>
  <sheetData>
    <row r="1" spans="1:8" ht="20.25" x14ac:dyDescent="0.3">
      <c r="A1" s="9" t="s">
        <v>25</v>
      </c>
    </row>
    <row r="3" spans="1:8" x14ac:dyDescent="0.2">
      <c r="A3" s="8" t="s">
        <v>27</v>
      </c>
    </row>
    <row r="4" spans="1:8" x14ac:dyDescent="0.2">
      <c r="A4" s="12" t="s">
        <v>26</v>
      </c>
      <c r="H4" s="15" t="s">
        <v>33</v>
      </c>
    </row>
    <row r="6" spans="1:8" x14ac:dyDescent="0.2">
      <c r="A6" s="8" t="s">
        <v>16</v>
      </c>
    </row>
    <row r="7" spans="1:8" x14ac:dyDescent="0.2">
      <c r="A7" t="s">
        <v>1</v>
      </c>
      <c r="B7" s="3">
        <v>6600</v>
      </c>
    </row>
    <row r="8" spans="1:8" x14ac:dyDescent="0.2">
      <c r="A8" t="s">
        <v>5</v>
      </c>
      <c r="B8" s="3">
        <v>3</v>
      </c>
    </row>
    <row r="9" spans="1:8" x14ac:dyDescent="0.2">
      <c r="A9" t="s">
        <v>8</v>
      </c>
      <c r="B9" s="3">
        <v>13</v>
      </c>
    </row>
    <row r="11" spans="1:8" x14ac:dyDescent="0.2">
      <c r="A11" s="8" t="s">
        <v>17</v>
      </c>
    </row>
    <row r="12" spans="1:8" x14ac:dyDescent="0.2">
      <c r="A12" t="s">
        <v>18</v>
      </c>
      <c r="B12" t="str">
        <f>Mix!B1</f>
        <v>#73</v>
      </c>
    </row>
    <row r="13" spans="1:8" x14ac:dyDescent="0.2">
      <c r="A13" t="s">
        <v>29</v>
      </c>
      <c r="B13">
        <f>Mix!B2</f>
        <v>2500</v>
      </c>
    </row>
    <row r="15" spans="1:8" x14ac:dyDescent="0.2">
      <c r="A15" s="8" t="s">
        <v>19</v>
      </c>
    </row>
    <row r="16" spans="1:8" x14ac:dyDescent="0.2">
      <c r="A16" s="2" t="s">
        <v>9</v>
      </c>
      <c r="B16" s="4">
        <f>2*PI()*$B$8^2*$B$7*0.000000001</f>
        <v>3.7322120724646746E-4</v>
      </c>
    </row>
    <row r="18" spans="1:31" x14ac:dyDescent="0.2">
      <c r="A18" t="s">
        <v>2</v>
      </c>
      <c r="B18" s="10">
        <v>1.5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csinterpolate(CSTableU2,'BN-73-202 (2)'!B18*1000000)</f>
        <v>1218.6419065022405</v>
      </c>
      <c r="C19" s="7">
        <f>csinterpolate(CSTableU2,'BN-73-202 (2)'!C18*1000000)</f>
        <v>1096.5224302244746</v>
      </c>
      <c r="D19" s="7">
        <f>csinterpolate(CSTableU2,'BN-73-202 (2)'!D18*1000000)</f>
        <v>1315.4077918841156</v>
      </c>
      <c r="E19" s="7">
        <f>csinterpolate(CSTableU2,'BN-73-202 (2)'!E18*1000000)</f>
        <v>1344.73888337266</v>
      </c>
      <c r="F19" s="7">
        <f>csinterpolate(CSTableU2,'BN-73-202 (2)'!F18*1000000)</f>
        <v>1309.0454962710626</v>
      </c>
      <c r="G19" s="7">
        <f>csinterpolate(CSTableU2,'BN-73-202 (2)'!G18*1000000)</f>
        <v>1176.6885594577207</v>
      </c>
      <c r="H19" s="7">
        <f>csinterpolate(CSTableU2,'BN-73-202 (2)'!H18*1000000)</f>
        <v>1071.2031537788589</v>
      </c>
      <c r="I19" s="7">
        <f>csinterpolate(CSTableU2,'BN-73-202 (2)'!I18*1000000)</f>
        <v>1015.4111176771675</v>
      </c>
      <c r="J19" s="7">
        <f>csinterpolate(CSTableU2,'BN-73-202 (2)'!J18*1000000)</f>
        <v>977.51422405264418</v>
      </c>
      <c r="K19" s="7">
        <f>csinterpolate(CSTableU2,'BN-73-202 (2)'!K18*1000000)</f>
        <v>940.55318033441972</v>
      </c>
      <c r="L19" s="7">
        <f>csinterpolate(CSTableU2,'BN-73-202 (2)'!L18*1000000)</f>
        <v>904.45129345633688</v>
      </c>
      <c r="M19" s="7">
        <f>csinterpolate(CSTableU2,'BN-73-202 (2)'!M18*1000000)</f>
        <v>870.0373999752328</v>
      </c>
      <c r="N19" s="7">
        <f>csinterpolate(CSTableU2,'BN-73-202 (2)'!N18*1000000)</f>
        <v>808.82143252607545</v>
      </c>
      <c r="O19" s="7">
        <f>csinterpolate(CSTableU2,'BN-73-202 (2)'!O18*1000000)</f>
        <v>758.74208547908893</v>
      </c>
      <c r="P19" s="7">
        <f>csinterpolate(CSTableU2,'BN-73-202 (2)'!P18*1000000)</f>
        <v>719.81653207649549</v>
      </c>
      <c r="Q19" s="7">
        <f>csinterpolate(CSTableU2,'BN-73-202 (2)'!Q18*1000000)</f>
        <v>688.55295507307926</v>
      </c>
      <c r="R19" s="7">
        <f>csinterpolate(CSTableU2,'BN-73-202 (2)'!R18*1000000)</f>
        <v>659.96790828542112</v>
      </c>
      <c r="S19" s="7">
        <f>csinterpolate(CSTableU2,'BN-73-202 (2)'!S18*1000000)</f>
        <v>630.11902693490038</v>
      </c>
      <c r="T19" s="7">
        <f>csinterpolate(CSTableU2,'BN-73-202 (2)'!T18*1000000)</f>
        <v>599.135075084758</v>
      </c>
      <c r="U19" s="7">
        <f>csinterpolate(CSTableU2,'BN-73-202 (2)'!U18*1000000)</f>
        <v>568.13461900419054</v>
      </c>
      <c r="V19" s="7">
        <f>csinterpolate(CSTableU2,'BN-73-202 (2)'!V18*1000000)</f>
        <v>538.23622620412345</v>
      </c>
      <c r="W19" s="7">
        <f>csinterpolate(CSTableU2,'BN-73-202 (2)'!W18*1000000)</f>
        <v>510.40732438497804</v>
      </c>
      <c r="X19" s="7">
        <f>csinterpolate(CSTableU2,'BN-73-202 (2)'!X18*1000000)</f>
        <v>484.75212189525962</v>
      </c>
      <c r="Y19" s="7">
        <f>csinterpolate(CSTableU2,'BN-73-202 (2)'!Y18*1000000)</f>
        <v>461.06894171160809</v>
      </c>
      <c r="Z19" s="7">
        <f>csinterpolate(CSTableU2,'BN-73-202 (2)'!Z18*1000000)</f>
        <v>439.15572862436142</v>
      </c>
      <c r="AA19" s="7">
        <f>csinterpolate(CSTableU2,'BN-73-202 (2)'!AA18*1000000)</f>
        <v>382.02406156220991</v>
      </c>
      <c r="AB19" s="7">
        <f>csinterpolate(CSTableU2,'BN-73-202 (2)'!AB18*1000000)</f>
        <v>349.55451135030944</v>
      </c>
      <c r="AC19" s="7">
        <f>csinterpolate(CSTableU2,'BN-73-202 (2)'!AC18*1000000)</f>
        <v>320.90950503555433</v>
      </c>
      <c r="AD19" s="7">
        <f>csinterpolate(CSTableU2,'BN-73-202 (2)'!AD18*1000000)</f>
        <v>295.64963377859482</v>
      </c>
      <c r="AE19" s="7">
        <f>csinterpolate(CSTableU2,'BN-73-202 (2)'!AE18*1000000)</f>
        <v>273.33685175710718</v>
      </c>
    </row>
    <row r="20" spans="1:31" x14ac:dyDescent="0.2">
      <c r="A20" t="s">
        <v>3</v>
      </c>
      <c r="B20" s="7">
        <f>csinterpolate(CSTableU1,'BN-73-202 (2)'!B18*1000000)</f>
        <v>1819.3370233748562</v>
      </c>
      <c r="C20" s="7">
        <f>csinterpolate(CSTableU1,'BN-73-202 (2)'!C18*1000000)</f>
        <v>2199.1407868443675</v>
      </c>
      <c r="D20" s="7">
        <f>csinterpolate(CSTableU1,'BN-73-202 (2)'!D18*1000000)</f>
        <v>1540.4204477093901</v>
      </c>
      <c r="E20" s="7">
        <f>csinterpolate(CSTableU1,'BN-73-202 (2)'!E18*1000000)</f>
        <v>1422.9345221206945</v>
      </c>
      <c r="F20" s="7">
        <f>csinterpolate(CSTableU1,'BN-73-202 (2)'!F18*1000000)</f>
        <v>1204.2232083931372</v>
      </c>
      <c r="G20" s="7">
        <f>csinterpolate(CSTableU1,'BN-73-202 (2)'!G18*1000000)</f>
        <v>993.6393415175736</v>
      </c>
      <c r="H20" s="7">
        <f>csinterpolate(CSTableU1,'BN-73-202 (2)'!H18*1000000)</f>
        <v>858.62013244361776</v>
      </c>
      <c r="I20" s="7">
        <f>csinterpolate(CSTableU1,'BN-73-202 (2)'!I18*1000000)</f>
        <v>781.02291322424003</v>
      </c>
      <c r="J20" s="7">
        <f>csinterpolate(CSTableU1,'BN-73-202 (2)'!J18*1000000)</f>
        <v>718.86406138452378</v>
      </c>
      <c r="K20" s="7">
        <f>csinterpolate(CSTableU1,'BN-73-202 (2)'!K18*1000000)</f>
        <v>657.13932295796235</v>
      </c>
      <c r="L20" s="7">
        <f>csinterpolate(CSTableU1,'BN-73-202 (2)'!L18*1000000)</f>
        <v>598.90779311343374</v>
      </c>
      <c r="M20" s="7">
        <f>csinterpolate(CSTableU1,'BN-73-202 (2)'!M18*1000000)</f>
        <v>547.34270284178956</v>
      </c>
      <c r="N20" s="7">
        <f>csinterpolate(CSTableU1,'BN-73-202 (2)'!N18*1000000)</f>
        <v>464.47729137838638</v>
      </c>
      <c r="O20" s="7">
        <f>csinterpolate(CSTableU1,'BN-73-202 (2)'!O18*1000000)</f>
        <v>400.10664707536381</v>
      </c>
      <c r="P20" s="7">
        <f>csinterpolate(CSTableU1,'BN-73-202 (2)'!P18*1000000)</f>
        <v>346.76605069083206</v>
      </c>
      <c r="Q20" s="7">
        <f>csinterpolate(CSTableU1,'BN-73-202 (2)'!Q18*1000000)</f>
        <v>300.95601456470132</v>
      </c>
      <c r="R20" s="7">
        <f>csinterpolate(CSTableU1,'BN-73-202 (2)'!R18*1000000)</f>
        <v>259.74817348479581</v>
      </c>
      <c r="S20" s="7">
        <f>csinterpolate(CSTableU1,'BN-73-202 (2)'!S18*1000000)</f>
        <v>222.58673898321507</v>
      </c>
      <c r="T20" s="7">
        <f>csinterpolate(CSTableU1,'BN-73-202 (2)'!T18*1000000)</f>
        <v>190.10095884267454</v>
      </c>
      <c r="U20" s="7">
        <f>csinterpolate(CSTableU1,'BN-73-202 (2)'!U18*1000000)</f>
        <v>162.81160083529107</v>
      </c>
      <c r="V20" s="7">
        <f>csinterpolate(CSTableU1,'BN-73-202 (2)'!V18*1000000)</f>
        <v>140.12406675106945</v>
      </c>
      <c r="W20" s="7">
        <f>csinterpolate(CSTableU1,'BN-73-202 (2)'!W18*1000000)</f>
        <v>120.82669631612335</v>
      </c>
      <c r="X20" s="7">
        <f>csinterpolate(CSTableU1,'BN-73-202 (2)'!X18*1000000)</f>
        <v>103.7012976241063</v>
      </c>
      <c r="Y20" s="7">
        <f>csinterpolate(CSTableU1,'BN-73-202 (2)'!Y18*1000000)</f>
        <v>87.696738686118977</v>
      </c>
      <c r="Z20" s="7">
        <f>csinterpolate(CSTableU1,'BN-73-202 (2)'!Z18*1000000)</f>
        <v>73.056200825802989</v>
      </c>
      <c r="AA20" s="7">
        <f>csinterpolate(CSTableU1,'BN-73-202 (2)'!AA18*1000000)</f>
        <v>43.536324528004357</v>
      </c>
      <c r="AB20" s="7">
        <f>csinterpolate(CSTableU1,'BN-73-202 (2)'!AB18*1000000)</f>
        <v>30.869350099132408</v>
      </c>
      <c r="AC20" s="7">
        <f>csinterpolate(CSTableU1,'BN-73-202 (2)'!AC18*1000000)</f>
        <v>18.386721560905574</v>
      </c>
      <c r="AD20" s="7">
        <f>csinterpolate(CSTableU1,'BN-73-202 (2)'!AD18*1000000)</f>
        <v>10.494890899429357</v>
      </c>
      <c r="AE20" s="7">
        <f>csinterpolate(CSTableU1,'BN-73-202 (2)'!AE18*1000000)</f>
        <v>2.2871020480833768</v>
      </c>
    </row>
    <row r="21" spans="1:31" x14ac:dyDescent="0.2">
      <c r="A21" t="s">
        <v>10</v>
      </c>
      <c r="B21" s="5">
        <f t="shared" ref="B21:AE21" si="1">B19/$B$13*$B$16*B18*1000000</f>
        <v>272.89380212754173</v>
      </c>
      <c r="C21" s="5">
        <f t="shared" si="1"/>
        <v>196.43780408698024</v>
      </c>
      <c r="D21" s="5">
        <f t="shared" si="1"/>
        <v>353.47542055804774</v>
      </c>
      <c r="E21" s="5">
        <f t="shared" si="1"/>
        <v>401.50805558688864</v>
      </c>
      <c r="F21" s="5">
        <f t="shared" si="1"/>
        <v>488.56354045883711</v>
      </c>
      <c r="G21" s="5">
        <f t="shared" si="1"/>
        <v>526.99814965670055</v>
      </c>
      <c r="H21" s="5">
        <f t="shared" si="1"/>
        <v>559.7140279633968</v>
      </c>
      <c r="I21" s="5">
        <f t="shared" si="1"/>
        <v>606.35674110553157</v>
      </c>
      <c r="J21" s="5">
        <f t="shared" si="1"/>
        <v>656.69226984273917</v>
      </c>
      <c r="K21" s="5">
        <f t="shared" si="1"/>
        <v>702.06878688783308</v>
      </c>
      <c r="L21" s="5">
        <f t="shared" si="1"/>
        <v>742.6328880066867</v>
      </c>
      <c r="M21" s="5">
        <f t="shared" si="1"/>
        <v>779.31938104400183</v>
      </c>
      <c r="N21" s="5">
        <f t="shared" si="1"/>
        <v>845.23407218375746</v>
      </c>
      <c r="O21" s="5">
        <f t="shared" si="1"/>
        <v>906.17163881986562</v>
      </c>
      <c r="P21" s="5">
        <f t="shared" si="1"/>
        <v>967.14286235119869</v>
      </c>
      <c r="Q21" s="5">
        <f t="shared" si="1"/>
        <v>1027.9302605819892</v>
      </c>
      <c r="R21" s="5">
        <f t="shared" si="1"/>
        <v>1083.7816856865275</v>
      </c>
      <c r="S21" s="5">
        <f t="shared" si="1"/>
        <v>1128.8341629197416</v>
      </c>
      <c r="T21" s="5">
        <f t="shared" si="1"/>
        <v>1162.7715633395487</v>
      </c>
      <c r="U21" s="5">
        <f t="shared" si="1"/>
        <v>1187.4233749462326</v>
      </c>
      <c r="V21" s="5">
        <f t="shared" si="1"/>
        <v>1205.2870447661144</v>
      </c>
      <c r="W21" s="5">
        <f t="shared" si="1"/>
        <v>1219.1669618841654</v>
      </c>
      <c r="X21" s="5">
        <f t="shared" si="1"/>
        <v>1230.2544506134416</v>
      </c>
      <c r="Y21" s="5">
        <f t="shared" si="1"/>
        <v>1238.9810907560941</v>
      </c>
      <c r="Z21" s="5">
        <f t="shared" si="1"/>
        <v>1245.6569571685352</v>
      </c>
      <c r="AA21" s="5">
        <f t="shared" si="1"/>
        <v>1254.6994367903317</v>
      </c>
      <c r="AB21" s="5">
        <f t="shared" si="1"/>
        <v>1252.4271045562705</v>
      </c>
      <c r="AC21" s="5">
        <f t="shared" si="1"/>
        <v>1245.6104220168536</v>
      </c>
      <c r="AD21" s="5">
        <f t="shared" si="1"/>
        <v>1235.8383882972191</v>
      </c>
      <c r="AE21" s="5">
        <f t="shared" si="1"/>
        <v>1224.181317572835</v>
      </c>
    </row>
    <row r="22" spans="1:31" x14ac:dyDescent="0.2">
      <c r="A22" t="s">
        <v>11</v>
      </c>
      <c r="B22" s="5">
        <f t="shared" ref="B22:AE22" si="2">B20/$B$13*$B$16*B18*1000000</f>
        <v>407.40909615129505</v>
      </c>
      <c r="C22" s="5">
        <f t="shared" si="2"/>
        <v>393.96767009808053</v>
      </c>
      <c r="D22" s="5">
        <f t="shared" si="2"/>
        <v>413.94065699609462</v>
      </c>
      <c r="E22" s="5">
        <f t="shared" si="2"/>
        <v>424.85547214284873</v>
      </c>
      <c r="F22" s="5">
        <f t="shared" si="2"/>
        <v>449.44163963070105</v>
      </c>
      <c r="G22" s="5">
        <f t="shared" si="2"/>
        <v>445.01672953052855</v>
      </c>
      <c r="H22" s="5">
        <f t="shared" si="2"/>
        <v>448.63733935542035</v>
      </c>
      <c r="I22" s="5">
        <f t="shared" si="2"/>
        <v>466.39090329712616</v>
      </c>
      <c r="J22" s="5">
        <f t="shared" si="2"/>
        <v>482.93156310485517</v>
      </c>
      <c r="K22" s="5">
        <f t="shared" si="2"/>
        <v>490.51666288699397</v>
      </c>
      <c r="L22" s="5">
        <f t="shared" si="2"/>
        <v>491.75519706524926</v>
      </c>
      <c r="M22" s="5">
        <f t="shared" si="2"/>
        <v>490.27177039717731</v>
      </c>
      <c r="N22" s="5">
        <f t="shared" si="2"/>
        <v>485.38777119506972</v>
      </c>
      <c r="O22" s="5">
        <f t="shared" si="2"/>
        <v>477.85051471617135</v>
      </c>
      <c r="P22" s="5">
        <f t="shared" si="2"/>
        <v>465.91359865531939</v>
      </c>
      <c r="Q22" s="5">
        <f t="shared" si="2"/>
        <v>449.29266833569312</v>
      </c>
      <c r="R22" s="5">
        <f t="shared" si="2"/>
        <v>426.55151830746564</v>
      </c>
      <c r="S22" s="5">
        <f t="shared" si="2"/>
        <v>398.75563891377539</v>
      </c>
      <c r="T22" s="5">
        <f t="shared" si="2"/>
        <v>368.93848866146487</v>
      </c>
      <c r="U22" s="5">
        <f t="shared" si="2"/>
        <v>340.28255641787291</v>
      </c>
      <c r="V22" s="5">
        <f t="shared" si="2"/>
        <v>313.78364014271239</v>
      </c>
      <c r="W22" s="5">
        <f t="shared" si="2"/>
        <v>288.60854698691747</v>
      </c>
      <c r="X22" s="5">
        <f t="shared" si="2"/>
        <v>263.1839597476004</v>
      </c>
      <c r="Y22" s="5">
        <f t="shared" si="2"/>
        <v>235.65803532488144</v>
      </c>
      <c r="Z22" s="5">
        <f t="shared" si="2"/>
        <v>207.22253836475389</v>
      </c>
      <c r="AA22" s="5">
        <f t="shared" si="2"/>
        <v>142.98838047485884</v>
      </c>
      <c r="AB22" s="5">
        <f t="shared" si="2"/>
        <v>110.60252266475575</v>
      </c>
      <c r="AC22" s="5">
        <f t="shared" si="2"/>
        <v>71.368069949964635</v>
      </c>
      <c r="AD22" s="5">
        <f t="shared" si="2"/>
        <v>43.869457535735883</v>
      </c>
      <c r="AE22" s="5">
        <f t="shared" si="2"/>
        <v>10.243139849778554</v>
      </c>
    </row>
    <row r="23" spans="1:31" x14ac:dyDescent="0.2">
      <c r="A23" t="s">
        <v>12</v>
      </c>
      <c r="B23" s="5" t="str">
        <f t="shared" ref="B23:AE23" si="3">IMDIV(1,COMPLEX(B21,B22))</f>
        <v>0.0011349144175001-0.00169433843289225i</v>
      </c>
      <c r="C23" s="5" t="str">
        <f t="shared" si="3"/>
        <v>0.00101361966353798-0.00203287436990916i</v>
      </c>
      <c r="D23" s="5" t="str">
        <f t="shared" si="3"/>
        <v>0.0011929978878843-0.00139707119868801i</v>
      </c>
      <c r="E23" s="5" t="str">
        <f t="shared" si="3"/>
        <v>0.00117499344114143-0.00124331849947868i</v>
      </c>
      <c r="F23" s="5" t="str">
        <f t="shared" si="3"/>
        <v>0.00110862781005696-0.00101985404032451i</v>
      </c>
      <c r="G23" s="5" t="str">
        <f t="shared" si="3"/>
        <v>0.00110768131646148-0.000935367073176388i</v>
      </c>
      <c r="H23" s="5" t="str">
        <f t="shared" si="3"/>
        <v>0.00108776272738411-0.000871893416070528i</v>
      </c>
      <c r="I23" s="5" t="str">
        <f t="shared" si="3"/>
        <v>0.00103617253562534-0.000796991955562126i</v>
      </c>
      <c r="J23" s="5" t="str">
        <f t="shared" si="3"/>
        <v>0.000988298358418197-0.000726794714911382i</v>
      </c>
      <c r="K23" s="5" t="str">
        <f t="shared" si="3"/>
        <v>0.000957139627064191-0.000668727829171301i</v>
      </c>
      <c r="L23" s="5" t="str">
        <f t="shared" si="3"/>
        <v>0.00093609960806943-0.000619864612344963i</v>
      </c>
      <c r="M23" s="5" t="str">
        <f t="shared" si="3"/>
        <v>0.000919328402118528-0.000578351795485001i</v>
      </c>
      <c r="N23" s="5" t="str">
        <f t="shared" si="3"/>
        <v>0.000889699542461013-0.000510922704325789i</v>
      </c>
      <c r="O23" s="5" t="str">
        <f t="shared" si="3"/>
        <v>0.000863441512770161-0.000455317683349555i</v>
      </c>
      <c r="P23" s="5" t="str">
        <f t="shared" si="3"/>
        <v>0.00083921262103694-0.000404284193706119i</v>
      </c>
      <c r="Q23" s="5" t="str">
        <f t="shared" si="3"/>
        <v>0.000816787101081474-0.000357005207628869i</v>
      </c>
      <c r="R23" s="5" t="str">
        <f t="shared" si="3"/>
        <v>0.000798937386242992-0.000314443360351372i</v>
      </c>
      <c r="S23" s="5" t="str">
        <f t="shared" si="3"/>
        <v>0.000787592075437581-0.000278213391799047i</v>
      </c>
      <c r="T23" s="5" t="str">
        <f t="shared" si="3"/>
        <v>0.000781351995196783-0.00024791698843459i</v>
      </c>
      <c r="U23" s="5" t="str">
        <f t="shared" si="3"/>
        <v>0.000778247119111991-0.000223024007109735i</v>
      </c>
      <c r="V23" s="5" t="str">
        <f t="shared" si="3"/>
        <v>0.000777014498696921-0.000202287445885638i</v>
      </c>
      <c r="W23" s="5" t="str">
        <f t="shared" si="3"/>
        <v>0.00077670619859901-0.000183866569897003i</v>
      </c>
      <c r="X23" s="5" t="str">
        <f t="shared" si="3"/>
        <v>0.000777268648283945-0.000166278317904911i</v>
      </c>
      <c r="Y23" s="5" t="str">
        <f t="shared" si="3"/>
        <v>0.000778935115647672-0.000148155868050472i</v>
      </c>
      <c r="Z23" s="5" t="str">
        <f t="shared" si="3"/>
        <v>0.000781170860871119-0.000129952478292457i</v>
      </c>
      <c r="AA23" s="5" t="str">
        <f t="shared" si="3"/>
        <v>0.000786785332659379-0.0000896638327870212i</v>
      </c>
      <c r="AB23" s="5" t="str">
        <f t="shared" si="3"/>
        <v>0.000792270938221475-0.0000699658799162719i</v>
      </c>
      <c r="AC23" s="5" t="str">
        <f t="shared" si="3"/>
        <v>0.000800192364571026-0.0000458475488312509i</v>
      </c>
      <c r="AD23" s="5" t="str">
        <f t="shared" si="3"/>
        <v>0.000808148950900093-0.0000286874533270564i</v>
      </c>
      <c r="AE23" s="5" t="str">
        <f t="shared" si="3"/>
        <v>0.000816815269265142-6.83457010363956E-06i</v>
      </c>
    </row>
    <row r="24" spans="1:31" x14ac:dyDescent="0.2">
      <c r="A24" t="s">
        <v>13</v>
      </c>
      <c r="B24" s="6" t="str">
        <f t="shared" ref="B24:AE24" si="4">COMPLEX(0,2*PI()*B18*1000000*$B$9*0.000000000001)</f>
        <v>0.000122522113490002i</v>
      </c>
      <c r="C24" s="6" t="str">
        <f t="shared" si="4"/>
        <v>0.0000980176907920015i</v>
      </c>
      <c r="D24" s="6" t="str">
        <f t="shared" si="4"/>
        <v>0.000147026536188002i</v>
      </c>
      <c r="E24" s="6" t="str">
        <f t="shared" si="4"/>
        <v>0.000163362817986669i</v>
      </c>
      <c r="F24" s="6" t="str">
        <f t="shared" si="4"/>
        <v>0.000204203522483337i</v>
      </c>
      <c r="G24" s="6" t="str">
        <f t="shared" si="4"/>
        <v>0.000245044226980004i</v>
      </c>
      <c r="H24" s="6" t="str">
        <f t="shared" si="4"/>
        <v>0.000285884931476671i</v>
      </c>
      <c r="I24" s="6" t="str">
        <f t="shared" si="4"/>
        <v>0.000326725635973338i</v>
      </c>
      <c r="J24" s="6" t="str">
        <f t="shared" si="4"/>
        <v>0.000367566340470006i</v>
      </c>
      <c r="K24" s="6" t="str">
        <f t="shared" si="4"/>
        <v>0.000408407044966673i</v>
      </c>
      <c r="L24" s="6" t="str">
        <f t="shared" si="4"/>
        <v>0.00044924774946334i</v>
      </c>
      <c r="M24" s="6" t="str">
        <f t="shared" si="4"/>
        <v>0.000490088453960008i</v>
      </c>
      <c r="N24" s="6" t="str">
        <f t="shared" si="4"/>
        <v>0.000571769862953342i</v>
      </c>
      <c r="O24" s="6" t="str">
        <f t="shared" si="4"/>
        <v>0.000653451271946677i</v>
      </c>
      <c r="P24" s="6" t="str">
        <f t="shared" si="4"/>
        <v>0.000735132680940012i</v>
      </c>
      <c r="Q24" s="6" t="str">
        <f t="shared" si="4"/>
        <v>0.000816814089933346i</v>
      </c>
      <c r="R24" s="6" t="str">
        <f t="shared" si="4"/>
        <v>0.000898495498926681i</v>
      </c>
      <c r="S24" s="6" t="str">
        <f t="shared" si="4"/>
        <v>0.000980176907920015i</v>
      </c>
      <c r="T24" s="6" t="str">
        <f t="shared" si="4"/>
        <v>0.00106185831691335i</v>
      </c>
      <c r="U24" s="6" t="str">
        <f t="shared" si="4"/>
        <v>0.00114353972590668i</v>
      </c>
      <c r="V24" s="6" t="str">
        <f t="shared" si="4"/>
        <v>0.00122522113490002i</v>
      </c>
      <c r="W24" s="6" t="str">
        <f t="shared" si="4"/>
        <v>0.00130690254389335i</v>
      </c>
      <c r="X24" s="6" t="str">
        <f t="shared" si="4"/>
        <v>0.00138858395288669i</v>
      </c>
      <c r="Y24" s="6" t="str">
        <f t="shared" si="4"/>
        <v>0.00147026536188002i</v>
      </c>
      <c r="Z24" s="6" t="str">
        <f t="shared" si="4"/>
        <v>0.00155194677087336i</v>
      </c>
      <c r="AA24" s="6" t="str">
        <f t="shared" si="4"/>
        <v>0.00179699099785336i</v>
      </c>
      <c r="AB24" s="6" t="str">
        <f t="shared" si="4"/>
        <v>0.00196035381584003i</v>
      </c>
      <c r="AC24" s="6" t="str">
        <f t="shared" si="4"/>
        <v>0.0021237166338267i</v>
      </c>
      <c r="AD24" s="6" t="str">
        <f t="shared" si="4"/>
        <v>0.00228707945181337i</v>
      </c>
      <c r="AE24" s="6" t="str">
        <f t="shared" si="4"/>
        <v>0.00245044226980004i</v>
      </c>
    </row>
    <row r="25" spans="1:31" x14ac:dyDescent="0.2">
      <c r="A25" t="s">
        <v>14</v>
      </c>
      <c r="B25" s="6" t="str">
        <f t="shared" ref="B25:AE25" si="5">IMDIV(1,IMSUM(B23,B24))</f>
        <v>301.94837486668+418.187817437251i</v>
      </c>
      <c r="C25" s="6" t="str">
        <f t="shared" si="5"/>
        <v>212.450102744244+405.537219788184i</v>
      </c>
      <c r="D25" s="6" t="str">
        <f t="shared" si="5"/>
        <v>399.549757327941+418.655428164014i</v>
      </c>
      <c r="E25" s="6" t="str">
        <f t="shared" si="5"/>
        <v>461.340078777866+424.025208763832i</v>
      </c>
      <c r="F25" s="6" t="str">
        <f t="shared" si="5"/>
        <v>585.231266547391+430.572083151784i</v>
      </c>
      <c r="G25" s="6" t="str">
        <f t="shared" si="5"/>
        <v>650.237170878802+405.237109115173i</v>
      </c>
      <c r="H25" s="6" t="str">
        <f t="shared" si="5"/>
        <v>712.523725156844+383.856642542311i</v>
      </c>
      <c r="I25" s="6" t="str">
        <f t="shared" si="5"/>
        <v>800.254391941043+363.195003432278i</v>
      </c>
      <c r="J25" s="6" t="str">
        <f t="shared" si="5"/>
        <v>893.757842326157+324.864626262184i</v>
      </c>
      <c r="K25" s="6" t="str">
        <f t="shared" si="5"/>
        <v>972.818369128387+264.585054864921i</v>
      </c>
      <c r="L25" s="6" t="str">
        <f t="shared" si="5"/>
        <v>1033.91569389562+188.445172560593i</v>
      </c>
      <c r="M25" s="6" t="str">
        <f t="shared" si="5"/>
        <v>1077.81566873764+103.479466370836i</v>
      </c>
      <c r="N25" s="6" t="str">
        <f t="shared" si="5"/>
        <v>1118.74227448791-76.5115473149726i</v>
      </c>
      <c r="O25" s="6" t="str">
        <f t="shared" si="5"/>
        <v>1100.22239297462-252.467605218099i</v>
      </c>
      <c r="P25" s="6" t="str">
        <f t="shared" si="5"/>
        <v>1031.30498903694-406.578365180019i</v>
      </c>
      <c r="Q25" s="6" t="str">
        <f t="shared" si="5"/>
        <v>929.682779115438-523.363308500815i</v>
      </c>
      <c r="R25" s="6" t="str">
        <f t="shared" si="5"/>
        <v>815.726799455459-596.325807151865i</v>
      </c>
      <c r="S25" s="6" t="str">
        <f t="shared" si="5"/>
        <v>707.595531158401-630.664353456665i</v>
      </c>
      <c r="T25" s="6" t="str">
        <f t="shared" si="5"/>
        <v>613.782389433325-639.382578560395i</v>
      </c>
      <c r="U25" s="6" t="str">
        <f t="shared" si="5"/>
        <v>535.607434960077-633.519933292955i</v>
      </c>
      <c r="V25" s="6" t="str">
        <f t="shared" si="5"/>
        <v>470.87653694858-619.90538634596i</v>
      </c>
      <c r="W25" s="6" t="str">
        <f t="shared" si="5"/>
        <v>416.580082938053-602.331254770047i</v>
      </c>
      <c r="X25" s="6" t="str">
        <f t="shared" si="5"/>
        <v>370.4494042918-582.555845190989i</v>
      </c>
      <c r="Y25" s="6" t="str">
        <f t="shared" si="5"/>
        <v>330.798264605955-561.473629050889i</v>
      </c>
      <c r="Z25" s="6" t="str">
        <f t="shared" si="5"/>
        <v>296.764100709073-540.210699846917i</v>
      </c>
      <c r="AA25" s="6" t="str">
        <f t="shared" si="5"/>
        <v>222.633263778511-483.115029371029i</v>
      </c>
      <c r="AB25" s="6" t="str">
        <f t="shared" si="5"/>
        <v>188.579373385877-449.957401205431i</v>
      </c>
      <c r="AC25" s="6" t="str">
        <f t="shared" si="5"/>
        <v>161.399140143591-419.107077869959i</v>
      </c>
      <c r="AD25" s="6" t="str">
        <f t="shared" si="5"/>
        <v>140.463630611022-392.529049375065i</v>
      </c>
      <c r="AE25" s="6" t="str">
        <f t="shared" si="5"/>
        <v>123.043889912468-368.101586863338i</v>
      </c>
    </row>
    <row r="26" spans="1:31" x14ac:dyDescent="0.2">
      <c r="A26" t="s">
        <v>6</v>
      </c>
      <c r="B26" s="5">
        <f t="shared" ref="B26:AE26" si="6">IMREAL(B25)</f>
        <v>301.94837486668001</v>
      </c>
      <c r="C26" s="5">
        <f t="shared" si="6"/>
        <v>212.45010274424399</v>
      </c>
      <c r="D26" s="5">
        <f t="shared" si="6"/>
        <v>399.54975732794099</v>
      </c>
      <c r="E26" s="5">
        <f t="shared" si="6"/>
        <v>461.34007877786598</v>
      </c>
      <c r="F26" s="5">
        <f t="shared" si="6"/>
        <v>585.23126654739099</v>
      </c>
      <c r="G26" s="5">
        <f t="shared" si="6"/>
        <v>650.23717087880198</v>
      </c>
      <c r="H26" s="5">
        <f t="shared" si="6"/>
        <v>712.52372515684397</v>
      </c>
      <c r="I26" s="5">
        <f t="shared" si="6"/>
        <v>800.25439194104297</v>
      </c>
      <c r="J26" s="5">
        <f t="shared" si="6"/>
        <v>893.75784232615695</v>
      </c>
      <c r="K26" s="5">
        <f t="shared" si="6"/>
        <v>972.81836912838696</v>
      </c>
      <c r="L26" s="5">
        <f t="shared" si="6"/>
        <v>1033.9156938956201</v>
      </c>
      <c r="M26" s="5">
        <f t="shared" si="6"/>
        <v>1077.81566873764</v>
      </c>
      <c r="N26" s="5">
        <f t="shared" si="6"/>
        <v>1118.74227448791</v>
      </c>
      <c r="O26" s="5">
        <f t="shared" si="6"/>
        <v>1100.2223929746201</v>
      </c>
      <c r="P26" s="5">
        <f t="shared" si="6"/>
        <v>1031.30498903694</v>
      </c>
      <c r="Q26" s="5">
        <f t="shared" si="6"/>
        <v>929.68277911543805</v>
      </c>
      <c r="R26" s="5">
        <f t="shared" si="6"/>
        <v>815.72679945545894</v>
      </c>
      <c r="S26" s="5">
        <f t="shared" si="6"/>
        <v>707.59553115840095</v>
      </c>
      <c r="T26" s="5">
        <f t="shared" si="6"/>
        <v>613.78238943332497</v>
      </c>
      <c r="U26" s="5">
        <f t="shared" si="6"/>
        <v>535.60743496007694</v>
      </c>
      <c r="V26" s="5">
        <f t="shared" si="6"/>
        <v>470.87653694858</v>
      </c>
      <c r="W26" s="5">
        <f t="shared" si="6"/>
        <v>416.58008293805301</v>
      </c>
      <c r="X26" s="5">
        <f t="shared" si="6"/>
        <v>370.44940429180002</v>
      </c>
      <c r="Y26" s="5">
        <f t="shared" si="6"/>
        <v>330.79826460595501</v>
      </c>
      <c r="Z26" s="5">
        <f t="shared" si="6"/>
        <v>296.76410070907298</v>
      </c>
      <c r="AA26" s="5">
        <f t="shared" si="6"/>
        <v>222.63326377851101</v>
      </c>
      <c r="AB26" s="5">
        <f t="shared" si="6"/>
        <v>188.57937338587701</v>
      </c>
      <c r="AC26" s="5">
        <f t="shared" si="6"/>
        <v>161.39914014359101</v>
      </c>
      <c r="AD26" s="5">
        <f t="shared" si="6"/>
        <v>140.46363061102201</v>
      </c>
      <c r="AE26" s="5">
        <f t="shared" si="6"/>
        <v>123.043889912468</v>
      </c>
    </row>
    <row r="27" spans="1:31" x14ac:dyDescent="0.2">
      <c r="A27" t="s">
        <v>7</v>
      </c>
      <c r="B27" s="5">
        <f t="shared" ref="B27:AE27" si="7">IMAGINARY(B25)</f>
        <v>418.187817437251</v>
      </c>
      <c r="C27" s="5">
        <f t="shared" si="7"/>
        <v>405.53721978818402</v>
      </c>
      <c r="D27" s="5">
        <f t="shared" si="7"/>
        <v>418.65542816401398</v>
      </c>
      <c r="E27" s="5">
        <f t="shared" si="7"/>
        <v>424.02520876383198</v>
      </c>
      <c r="F27" s="5">
        <f t="shared" si="7"/>
        <v>430.572083151784</v>
      </c>
      <c r="G27" s="5">
        <f t="shared" si="7"/>
        <v>405.23710911517298</v>
      </c>
      <c r="H27" s="5">
        <f t="shared" si="7"/>
        <v>383.85664254231102</v>
      </c>
      <c r="I27" s="5">
        <f t="shared" si="7"/>
        <v>363.19500343227799</v>
      </c>
      <c r="J27" s="5">
        <f t="shared" si="7"/>
        <v>324.864626262184</v>
      </c>
      <c r="K27" s="5">
        <f t="shared" si="7"/>
        <v>264.58505486492101</v>
      </c>
      <c r="L27" s="5">
        <f t="shared" si="7"/>
        <v>188.44517256059299</v>
      </c>
      <c r="M27" s="5">
        <f t="shared" si="7"/>
        <v>103.47946637083599</v>
      </c>
      <c r="N27" s="5">
        <f t="shared" si="7"/>
        <v>-76.511547314972603</v>
      </c>
      <c r="O27" s="5">
        <f t="shared" si="7"/>
        <v>-252.46760521809901</v>
      </c>
      <c r="P27" s="5">
        <f t="shared" si="7"/>
        <v>-406.57836518001898</v>
      </c>
      <c r="Q27" s="5">
        <f t="shared" si="7"/>
        <v>-523.36330850081504</v>
      </c>
      <c r="R27" s="5">
        <f t="shared" si="7"/>
        <v>-596.32580715186498</v>
      </c>
      <c r="S27" s="5">
        <f t="shared" si="7"/>
        <v>-630.66435345666503</v>
      </c>
      <c r="T27" s="5">
        <f t="shared" si="7"/>
        <v>-639.38257856039502</v>
      </c>
      <c r="U27" s="5">
        <f t="shared" si="7"/>
        <v>-633.51993329295499</v>
      </c>
      <c r="V27" s="5">
        <f t="shared" si="7"/>
        <v>-619.90538634595998</v>
      </c>
      <c r="W27" s="5">
        <f t="shared" si="7"/>
        <v>-602.33125477004705</v>
      </c>
      <c r="X27" s="5">
        <f t="shared" si="7"/>
        <v>-582.55584519098898</v>
      </c>
      <c r="Y27" s="5">
        <f t="shared" si="7"/>
        <v>-561.47362905088903</v>
      </c>
      <c r="Z27" s="5">
        <f t="shared" si="7"/>
        <v>-540.21069984691701</v>
      </c>
      <c r="AA27" s="5">
        <f t="shared" si="7"/>
        <v>-483.11502937102898</v>
      </c>
      <c r="AB27" s="5">
        <f t="shared" si="7"/>
        <v>-449.95740120543098</v>
      </c>
      <c r="AC27" s="5">
        <f t="shared" si="7"/>
        <v>-419.10707786995903</v>
      </c>
      <c r="AD27" s="5">
        <f t="shared" si="7"/>
        <v>-392.52904937506497</v>
      </c>
      <c r="AE27" s="5">
        <f t="shared" si="7"/>
        <v>-368.10158686333801</v>
      </c>
    </row>
    <row r="28" spans="1:31" x14ac:dyDescent="0.2">
      <c r="A28" t="s">
        <v>15</v>
      </c>
      <c r="B28" s="5">
        <f t="shared" ref="B28:AE28" si="8">IMABS(B25)</f>
        <v>515.8041020945459</v>
      </c>
      <c r="C28" s="5">
        <f t="shared" si="8"/>
        <v>457.81599228245591</v>
      </c>
      <c r="D28" s="5">
        <f t="shared" si="8"/>
        <v>578.71614467890072</v>
      </c>
      <c r="E28" s="5">
        <f t="shared" si="8"/>
        <v>626.60357958918405</v>
      </c>
      <c r="F28" s="5">
        <f t="shared" si="8"/>
        <v>726.55898186887077</v>
      </c>
      <c r="G28" s="5">
        <f t="shared" si="8"/>
        <v>766.17588907279696</v>
      </c>
      <c r="H28" s="5">
        <f t="shared" si="8"/>
        <v>809.34293160269294</v>
      </c>
      <c r="I28" s="5">
        <f t="shared" si="8"/>
        <v>878.81607992747888</v>
      </c>
      <c r="J28" s="5">
        <f t="shared" si="8"/>
        <v>950.96798374917762</v>
      </c>
      <c r="K28" s="5">
        <f t="shared" si="8"/>
        <v>1008.1571457721697</v>
      </c>
      <c r="L28" s="5">
        <f t="shared" si="8"/>
        <v>1050.9487357359792</v>
      </c>
      <c r="M28" s="5">
        <f t="shared" si="8"/>
        <v>1082.7717283604882</v>
      </c>
      <c r="N28" s="5">
        <f t="shared" si="8"/>
        <v>1121.3555607383919</v>
      </c>
      <c r="O28" s="5">
        <f t="shared" si="8"/>
        <v>1128.8176140047433</v>
      </c>
      <c r="P28" s="5">
        <f t="shared" si="8"/>
        <v>1108.5557935642842</v>
      </c>
      <c r="Q28" s="5">
        <f t="shared" si="8"/>
        <v>1066.8735737980971</v>
      </c>
      <c r="R28" s="5">
        <f t="shared" si="8"/>
        <v>1010.4527102369361</v>
      </c>
      <c r="S28" s="5">
        <f t="shared" si="8"/>
        <v>947.8549268934845</v>
      </c>
      <c r="T28" s="5">
        <f t="shared" si="8"/>
        <v>886.30632590827292</v>
      </c>
      <c r="U28" s="5">
        <f t="shared" si="8"/>
        <v>829.59196612794119</v>
      </c>
      <c r="V28" s="5">
        <f t="shared" si="8"/>
        <v>778.46477188721997</v>
      </c>
      <c r="W28" s="5">
        <f t="shared" si="8"/>
        <v>732.35367546939676</v>
      </c>
      <c r="X28" s="5">
        <f t="shared" si="8"/>
        <v>690.3651743145341</v>
      </c>
      <c r="Y28" s="5">
        <f t="shared" si="8"/>
        <v>651.67486370573386</v>
      </c>
      <c r="Z28" s="5">
        <f t="shared" si="8"/>
        <v>616.3574707089715</v>
      </c>
      <c r="AA28" s="5">
        <f t="shared" si="8"/>
        <v>531.94520558497595</v>
      </c>
      <c r="AB28" s="5">
        <f t="shared" si="8"/>
        <v>487.87687275188114</v>
      </c>
      <c r="AC28" s="5">
        <f t="shared" si="8"/>
        <v>449.11070479313491</v>
      </c>
      <c r="AD28" s="5">
        <f t="shared" si="8"/>
        <v>416.9041689977708</v>
      </c>
      <c r="AE28" s="5">
        <f t="shared" si="8"/>
        <v>388.12185856519233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  <row r="60" spans="2:31" x14ac:dyDescent="0.2">
      <c r="B60" s="14">
        <f>1/IMREAL(IMDIV(1,B25))</f>
        <v>881.12370816710677</v>
      </c>
      <c r="C60" s="14">
        <f t="shared" ref="C60:AE60" si="9">1/IMREAL(IMDIV(1,C25))</f>
        <v>986.56333926036768</v>
      </c>
      <c r="D60" s="14">
        <f t="shared" si="9"/>
        <v>838.2244513218975</v>
      </c>
      <c r="E60" s="14">
        <f t="shared" si="9"/>
        <v>851.06858045825743</v>
      </c>
      <c r="F60" s="14">
        <f t="shared" si="9"/>
        <v>902.0159795094994</v>
      </c>
      <c r="G60" s="14">
        <f t="shared" si="9"/>
        <v>902.78673580459849</v>
      </c>
      <c r="H60" s="14">
        <f t="shared" si="9"/>
        <v>919.31813328889768</v>
      </c>
      <c r="I60" s="14">
        <f t="shared" si="9"/>
        <v>965.09023894991628</v>
      </c>
      <c r="J60" s="14">
        <f t="shared" si="9"/>
        <v>1011.8401912561425</v>
      </c>
      <c r="K60" s="14">
        <f t="shared" si="9"/>
        <v>1044.7796452303135</v>
      </c>
      <c r="L60" s="14">
        <f t="shared" si="9"/>
        <v>1068.2623850920652</v>
      </c>
      <c r="M60" s="14">
        <f t="shared" si="9"/>
        <v>1087.7505771556387</v>
      </c>
      <c r="N60" s="14">
        <f t="shared" si="9"/>
        <v>1123.9749514020014</v>
      </c>
      <c r="O60" s="14">
        <f t="shared" si="9"/>
        <v>1158.1560362921605</v>
      </c>
      <c r="P60" s="14">
        <f t="shared" si="9"/>
        <v>1191.5931373438957</v>
      </c>
      <c r="Q60" s="14">
        <f t="shared" si="9"/>
        <v>1224.3092461621166</v>
      </c>
      <c r="R60" s="14">
        <f t="shared" si="9"/>
        <v>1251.6625422957188</v>
      </c>
      <c r="S60" s="14">
        <f t="shared" si="9"/>
        <v>1269.6928158455714</v>
      </c>
      <c r="T60" s="14">
        <f t="shared" si="9"/>
        <v>1279.8329128834591</v>
      </c>
      <c r="U60" s="14">
        <f t="shared" si="9"/>
        <v>1284.9389036493155</v>
      </c>
      <c r="V60" s="14">
        <f t="shared" si="9"/>
        <v>1286.97727220925</v>
      </c>
      <c r="W60" s="14">
        <f t="shared" si="9"/>
        <v>1287.4881155883061</v>
      </c>
      <c r="X60" s="14">
        <f t="shared" si="9"/>
        <v>1286.5564592214052</v>
      </c>
      <c r="Y60" s="14">
        <f t="shared" si="9"/>
        <v>1283.8039779070893</v>
      </c>
      <c r="Z60" s="14">
        <f t="shared" si="9"/>
        <v>1280.1296746845576</v>
      </c>
      <c r="AA60" s="14">
        <f t="shared" si="9"/>
        <v>1270.9947154453691</v>
      </c>
      <c r="AB60" s="14">
        <f t="shared" si="9"/>
        <v>1262.1944738309387</v>
      </c>
      <c r="AC60" s="14">
        <f t="shared" si="9"/>
        <v>1249.6995026140837</v>
      </c>
      <c r="AD60" s="14">
        <f t="shared" si="9"/>
        <v>1237.3956544597766</v>
      </c>
      <c r="AE60" s="14">
        <f t="shared" si="9"/>
        <v>1224.2670253944475</v>
      </c>
    </row>
    <row r="61" spans="2:31" x14ac:dyDescent="0.2">
      <c r="B61" s="14">
        <f>-1/IMAGINARY(IMDIV(1,B25))</f>
        <v>636.20665319233512</v>
      </c>
      <c r="C61" s="14">
        <f t="shared" ref="C61:AE61" si="10">-1/IMAGINARY(IMDIV(1,C25))</f>
        <v>516.83414631841458</v>
      </c>
      <c r="D61" s="14">
        <f t="shared" si="10"/>
        <v>799.97141702126339</v>
      </c>
      <c r="E61" s="14">
        <f t="shared" si="10"/>
        <v>925.96392346253742</v>
      </c>
      <c r="F61" s="14">
        <f t="shared" si="10"/>
        <v>1226.0152824358586</v>
      </c>
      <c r="G61" s="14">
        <f t="shared" si="10"/>
        <v>1448.5975735989457</v>
      </c>
      <c r="H61" s="14">
        <f t="shared" si="10"/>
        <v>1706.4599340964608</v>
      </c>
      <c r="I61" s="14">
        <f t="shared" si="10"/>
        <v>2126.454645687626</v>
      </c>
      <c r="J61" s="14">
        <f t="shared" si="10"/>
        <v>2783.7444677221383</v>
      </c>
      <c r="K61" s="14">
        <f t="shared" si="10"/>
        <v>3841.4143651854511</v>
      </c>
      <c r="L61" s="14">
        <f t="shared" si="10"/>
        <v>5861.0853763839978</v>
      </c>
      <c r="M61" s="14">
        <f t="shared" si="10"/>
        <v>11329.731944454432</v>
      </c>
      <c r="N61" s="14">
        <f t="shared" si="10"/>
        <v>-16434.6211483929</v>
      </c>
      <c r="O61" s="14">
        <f t="shared" si="10"/>
        <v>-5047.0998233084065</v>
      </c>
      <c r="P61" s="14">
        <f t="shared" si="10"/>
        <v>-3022.5315774016344</v>
      </c>
      <c r="Q61" s="14">
        <f t="shared" si="10"/>
        <v>-2174.8166216106679</v>
      </c>
      <c r="R61" s="14">
        <f t="shared" si="10"/>
        <v>-1712.1759068279757</v>
      </c>
      <c r="S61" s="14">
        <f t="shared" si="10"/>
        <v>-1424.5754615937503</v>
      </c>
      <c r="T61" s="14">
        <f t="shared" si="10"/>
        <v>-1228.5897828397285</v>
      </c>
      <c r="U61" s="14">
        <f t="shared" si="10"/>
        <v>-1086.3475545066583</v>
      </c>
      <c r="V61" s="14">
        <f t="shared" si="10"/>
        <v>-977.58047343569535</v>
      </c>
      <c r="W61" s="14">
        <f t="shared" si="10"/>
        <v>-890.44342581607282</v>
      </c>
      <c r="X61" s="14">
        <f t="shared" si="10"/>
        <v>-818.12598369875491</v>
      </c>
      <c r="Y61" s="14">
        <f t="shared" si="10"/>
        <v>-756.36700641446475</v>
      </c>
      <c r="Z61" s="14">
        <f t="shared" si="10"/>
        <v>-703.23770300442891</v>
      </c>
      <c r="AA61" s="14">
        <f t="shared" si="10"/>
        <v>-585.71082359668537</v>
      </c>
      <c r="AB61" s="14">
        <f t="shared" si="10"/>
        <v>-528.99194974566865</v>
      </c>
      <c r="AC61" s="14">
        <f t="shared" si="10"/>
        <v>-481.26227355761915</v>
      </c>
      <c r="AD61" s="14">
        <f t="shared" si="10"/>
        <v>-442.79292552854031</v>
      </c>
      <c r="AE61" s="14">
        <f t="shared" si="10"/>
        <v>-409.230990770017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66"/>
  <sheetViews>
    <sheetView workbookViewId="0">
      <selection activeCell="F26" sqref="F26"/>
    </sheetView>
  </sheetViews>
  <sheetFormatPr defaultRowHeight="12.75" x14ac:dyDescent="0.2"/>
  <cols>
    <col min="5" max="5" width="10" bestFit="1" customWidth="1"/>
    <col min="6" max="6" width="9.28515625" bestFit="1" customWidth="1"/>
    <col min="7" max="7" width="13.140625" bestFit="1" customWidth="1"/>
    <col min="14" max="14" width="10" bestFit="1" customWidth="1"/>
    <col min="15" max="15" width="9.42578125" bestFit="1" customWidth="1"/>
    <col min="16" max="16" width="13.28515625" bestFit="1" customWidth="1"/>
  </cols>
  <sheetData>
    <row r="1" spans="1:16" x14ac:dyDescent="0.2">
      <c r="A1" t="s">
        <v>18</v>
      </c>
      <c r="B1" s="16" t="s">
        <v>31</v>
      </c>
    </row>
    <row r="2" spans="1:16" x14ac:dyDescent="0.2">
      <c r="A2" t="s">
        <v>29</v>
      </c>
      <c r="B2">
        <v>2500</v>
      </c>
    </row>
    <row r="5" spans="1:16" x14ac:dyDescent="0.2">
      <c r="A5" s="16" t="s">
        <v>32</v>
      </c>
      <c r="E5" s="17" t="s">
        <v>0</v>
      </c>
      <c r="F5" s="17"/>
      <c r="G5" s="17"/>
      <c r="J5" s="16" t="s">
        <v>30</v>
      </c>
      <c r="N5" s="17" t="s">
        <v>0</v>
      </c>
      <c r="O5" s="17"/>
      <c r="P5" s="17"/>
    </row>
    <row r="6" spans="1:16" x14ac:dyDescent="0.2">
      <c r="A6">
        <v>102389.7329</v>
      </c>
      <c r="B6">
        <v>2391.1753039999999</v>
      </c>
      <c r="E6">
        <f t="array" ref="E6:G24">cstable(A6:A24,B6:B24)</f>
        <v>102389.7329</v>
      </c>
      <c r="F6">
        <v>2391.1753039999999</v>
      </c>
      <c r="G6">
        <v>0</v>
      </c>
      <c r="J6">
        <v>101187.81200000001</v>
      </c>
      <c r="K6">
        <v>28.068856700000001</v>
      </c>
      <c r="N6">
        <f t="array" ref="N6:P29">cstable(Mix!J6:J29,Mix!K6:K29)</f>
        <v>101187.81200000001</v>
      </c>
      <c r="O6">
        <v>28.068856700000001</v>
      </c>
      <c r="P6">
        <v>0</v>
      </c>
    </row>
    <row r="7" spans="1:16" x14ac:dyDescent="0.2">
      <c r="A7">
        <v>205504.11040000001</v>
      </c>
      <c r="B7">
        <v>2419.9716349999999</v>
      </c>
      <c r="E7">
        <v>205504.11040000001</v>
      </c>
      <c r="F7">
        <v>2419.9716349999999</v>
      </c>
      <c r="G7">
        <v>3.4978625937201302E-9</v>
      </c>
      <c r="J7">
        <v>164204.3339</v>
      </c>
      <c r="K7">
        <v>40.402088579999997</v>
      </c>
      <c r="N7">
        <v>164204.3339</v>
      </c>
      <c r="O7">
        <v>40.402088579999997</v>
      </c>
      <c r="P7">
        <v>8.5055038642183112E-10</v>
      </c>
    </row>
    <row r="8" spans="1:16" x14ac:dyDescent="0.2">
      <c r="A8">
        <v>398107.17060000001</v>
      </c>
      <c r="B8">
        <v>2536.746009</v>
      </c>
      <c r="E8">
        <v>398107.17060000001</v>
      </c>
      <c r="F8">
        <v>2536.746009</v>
      </c>
      <c r="G8">
        <v>-5.5336739016612483E-10</v>
      </c>
      <c r="J8">
        <v>242446.20170000001</v>
      </c>
      <c r="K8">
        <v>60.224082869999997</v>
      </c>
      <c r="N8">
        <v>242446.20170000001</v>
      </c>
      <c r="O8">
        <v>60.224082869999997</v>
      </c>
      <c r="P8">
        <v>1.3480632902939547E-9</v>
      </c>
    </row>
    <row r="9" spans="1:16" x14ac:dyDescent="0.2">
      <c r="A9">
        <v>608997.32440000004</v>
      </c>
      <c r="B9">
        <v>2627.922497</v>
      </c>
      <c r="E9">
        <v>608997.32440000004</v>
      </c>
      <c r="F9">
        <v>2627.922497</v>
      </c>
      <c r="G9">
        <v>-6.0261961581871576E-9</v>
      </c>
      <c r="J9">
        <v>333485.47509999998</v>
      </c>
      <c r="K9">
        <v>99.745792489999999</v>
      </c>
      <c r="N9">
        <v>333485.47509999998</v>
      </c>
      <c r="O9">
        <v>99.745792489999999</v>
      </c>
      <c r="P9">
        <v>6.1698157952671455E-9</v>
      </c>
    </row>
    <row r="10" spans="1:16" x14ac:dyDescent="0.2">
      <c r="A10">
        <v>818126.59920000006</v>
      </c>
      <c r="B10">
        <v>2537.3617869999998</v>
      </c>
      <c r="E10">
        <v>818126.59920000006</v>
      </c>
      <c r="F10">
        <v>2537.3617869999998</v>
      </c>
      <c r="G10">
        <v>-6.3740578049487258E-11</v>
      </c>
      <c r="J10">
        <v>448004.16470000002</v>
      </c>
      <c r="K10">
        <v>208.83550990000001</v>
      </c>
      <c r="N10">
        <v>448004.16470000002</v>
      </c>
      <c r="O10">
        <v>208.83550990000001</v>
      </c>
      <c r="P10">
        <v>3.9436330189219816E-9</v>
      </c>
    </row>
    <row r="11" spans="1:16" x14ac:dyDescent="0.2">
      <c r="A11">
        <v>1048365.741</v>
      </c>
      <c r="B11">
        <v>2365.2445080000002</v>
      </c>
      <c r="E11">
        <v>1048365.741</v>
      </c>
      <c r="F11">
        <v>2365.2445080000002</v>
      </c>
      <c r="G11">
        <v>-2.4794447205848111E-9</v>
      </c>
      <c r="J11">
        <v>601848.49589999998</v>
      </c>
      <c r="K11">
        <v>432.09220269999997</v>
      </c>
      <c r="N11">
        <v>601848.49589999998</v>
      </c>
      <c r="O11">
        <v>432.09220269999997</v>
      </c>
      <c r="P11">
        <v>1.0942594375598808E-9</v>
      </c>
    </row>
    <row r="12" spans="1:16" x14ac:dyDescent="0.2">
      <c r="A12">
        <v>1566288.628</v>
      </c>
      <c r="B12">
        <v>1744.2126390000001</v>
      </c>
      <c r="E12">
        <v>1566288.628</v>
      </c>
      <c r="F12">
        <v>1744.2126390000001</v>
      </c>
      <c r="G12">
        <v>1.9608910439690445E-9</v>
      </c>
      <c r="J12">
        <v>799031.87139999995</v>
      </c>
      <c r="K12">
        <v>758.62783809999996</v>
      </c>
      <c r="N12">
        <v>799031.87139999995</v>
      </c>
      <c r="O12">
        <v>758.62783809999996</v>
      </c>
      <c r="P12">
        <v>-7.4068905374668435E-10</v>
      </c>
    </row>
    <row r="13" spans="1:16" x14ac:dyDescent="0.2">
      <c r="A13">
        <v>2312610.878</v>
      </c>
      <c r="B13">
        <v>1286.311989</v>
      </c>
      <c r="E13">
        <v>2312610.878</v>
      </c>
      <c r="F13">
        <v>1286.311989</v>
      </c>
      <c r="G13">
        <v>-2.1532155711107761E-10</v>
      </c>
      <c r="J13">
        <v>920666.97320000001</v>
      </c>
      <c r="K13">
        <v>936.91151879999995</v>
      </c>
      <c r="N13">
        <v>920666.97320000001</v>
      </c>
      <c r="O13">
        <v>936.91151879999995</v>
      </c>
      <c r="P13">
        <v>-7.2768837977766723E-9</v>
      </c>
    </row>
    <row r="14" spans="1:16" x14ac:dyDescent="0.2">
      <c r="A14">
        <v>2998631.3489999999</v>
      </c>
      <c r="B14">
        <v>994.12818870000001</v>
      </c>
      <c r="E14">
        <v>2998631.3489999999</v>
      </c>
      <c r="F14">
        <v>994.12818870000001</v>
      </c>
      <c r="G14">
        <v>4.0692894384296138E-10</v>
      </c>
      <c r="J14">
        <v>1152228.098</v>
      </c>
      <c r="K14">
        <v>1078.5470459999999</v>
      </c>
      <c r="N14">
        <v>1152228.098</v>
      </c>
      <c r="O14">
        <v>1078.5470459999999</v>
      </c>
      <c r="P14">
        <v>4.5778958022620341E-10</v>
      </c>
    </row>
    <row r="15" spans="1:16" x14ac:dyDescent="0.2">
      <c r="A15">
        <v>4173619.1889999998</v>
      </c>
      <c r="B15">
        <v>759.42241769999998</v>
      </c>
      <c r="E15">
        <v>4173619.1889999998</v>
      </c>
      <c r="F15">
        <v>759.42241769999998</v>
      </c>
      <c r="G15">
        <v>-8.4461039111658707E-12</v>
      </c>
      <c r="J15">
        <v>1741909.7139999999</v>
      </c>
      <c r="K15">
        <v>1301.290107</v>
      </c>
      <c r="N15">
        <v>1741909.7139999999</v>
      </c>
      <c r="O15">
        <v>1301.290107</v>
      </c>
      <c r="P15">
        <v>-7.9770645731052385E-10</v>
      </c>
    </row>
    <row r="16" spans="1:16" x14ac:dyDescent="0.2">
      <c r="A16">
        <v>5673435.9179999996</v>
      </c>
      <c r="B16">
        <v>580.14460459999998</v>
      </c>
      <c r="E16">
        <v>5673435.9179999996</v>
      </c>
      <c r="F16">
        <v>580.14460459999998</v>
      </c>
      <c r="G16">
        <v>3.2242520087552206E-11</v>
      </c>
      <c r="J16">
        <v>2180025.3229999999</v>
      </c>
      <c r="K16">
        <v>1348.0049799999999</v>
      </c>
      <c r="N16">
        <v>2180025.3229999999</v>
      </c>
      <c r="O16">
        <v>1348.0049799999999</v>
      </c>
      <c r="P16">
        <v>-5.8622638644526421E-10</v>
      </c>
    </row>
    <row r="17" spans="1:16" x14ac:dyDescent="0.2">
      <c r="A17">
        <v>7621690.0259999996</v>
      </c>
      <c r="B17">
        <v>422.91293769999999</v>
      </c>
      <c r="E17">
        <v>7621690.0259999996</v>
      </c>
      <c r="F17">
        <v>422.91293769999999</v>
      </c>
      <c r="G17">
        <v>1.1956457868748744E-11</v>
      </c>
      <c r="J17">
        <v>2664655.233</v>
      </c>
      <c r="K17">
        <v>1271.4170710000001</v>
      </c>
      <c r="N17">
        <v>2664655.233</v>
      </c>
      <c r="O17">
        <v>1271.4170710000001</v>
      </c>
      <c r="P17">
        <v>-3.2313429613713956E-10</v>
      </c>
    </row>
    <row r="18" spans="1:16" x14ac:dyDescent="0.2">
      <c r="A18">
        <v>10238973.289999999</v>
      </c>
      <c r="B18">
        <v>290.76868380000002</v>
      </c>
      <c r="E18">
        <v>10238973.289999999</v>
      </c>
      <c r="F18">
        <v>290.76868380000002</v>
      </c>
      <c r="G18">
        <v>3.5520811567189201E-12</v>
      </c>
      <c r="J18">
        <v>3070290.63</v>
      </c>
      <c r="K18">
        <v>1157.72775</v>
      </c>
      <c r="N18">
        <v>3070290.63</v>
      </c>
      <c r="O18">
        <v>1157.72775</v>
      </c>
      <c r="P18">
        <v>3.1064411929294331E-10</v>
      </c>
    </row>
    <row r="19" spans="1:16" x14ac:dyDescent="0.2">
      <c r="A19">
        <v>13276295.890000001</v>
      </c>
      <c r="B19">
        <v>182.03502839999999</v>
      </c>
      <c r="E19">
        <v>13276295.890000001</v>
      </c>
      <c r="F19">
        <v>182.03502839999999</v>
      </c>
      <c r="G19">
        <v>5.4899665384059832E-12</v>
      </c>
      <c r="J19">
        <v>4273357.5420000004</v>
      </c>
      <c r="K19">
        <v>994.32783470000004</v>
      </c>
      <c r="N19">
        <v>4273357.5420000004</v>
      </c>
      <c r="O19">
        <v>994.32783470000004</v>
      </c>
      <c r="P19">
        <v>-1.3814936960100262E-12</v>
      </c>
    </row>
    <row r="20" spans="1:16" x14ac:dyDescent="0.2">
      <c r="A20">
        <v>17214619.82</v>
      </c>
      <c r="B20">
        <v>100.19173139999999</v>
      </c>
      <c r="E20">
        <v>17214619.82</v>
      </c>
      <c r="F20">
        <v>100.19173139999999</v>
      </c>
      <c r="G20">
        <v>6.9233034683659925E-13</v>
      </c>
      <c r="J20">
        <v>6089973.2439999999</v>
      </c>
      <c r="K20">
        <v>864.08788200000004</v>
      </c>
      <c r="N20">
        <v>6089973.2439999999</v>
      </c>
      <c r="O20">
        <v>864.08788200000004</v>
      </c>
      <c r="P20">
        <v>1.0663872396702527E-11</v>
      </c>
    </row>
    <row r="21" spans="1:16" x14ac:dyDescent="0.2">
      <c r="A21">
        <v>20070773.16</v>
      </c>
      <c r="B21">
        <v>59.853590089999997</v>
      </c>
      <c r="E21">
        <v>20070773.16</v>
      </c>
      <c r="F21">
        <v>59.853590089999997</v>
      </c>
      <c r="G21">
        <v>3.1226430792647464E-12</v>
      </c>
      <c r="J21">
        <v>8181265.9919999996</v>
      </c>
      <c r="K21">
        <v>750.89729369999998</v>
      </c>
      <c r="N21">
        <v>8181265.9919999996</v>
      </c>
      <c r="O21">
        <v>750.89729369999998</v>
      </c>
      <c r="P21">
        <v>1.1752037893004568E-11</v>
      </c>
    </row>
    <row r="22" spans="1:16" x14ac:dyDescent="0.2">
      <c r="A22">
        <v>23678761.02</v>
      </c>
      <c r="B22">
        <v>32.943267589999998</v>
      </c>
      <c r="E22">
        <v>23678761.02</v>
      </c>
      <c r="F22">
        <v>32.943267589999998</v>
      </c>
      <c r="G22">
        <v>-6.5399603547483606E-13</v>
      </c>
      <c r="J22">
        <v>10990707.27</v>
      </c>
      <c r="K22">
        <v>660.23646069999995</v>
      </c>
      <c r="N22">
        <v>10990707.27</v>
      </c>
      <c r="O22">
        <v>660.23646069999995</v>
      </c>
      <c r="P22">
        <v>-2.2640314169356034E-12</v>
      </c>
    </row>
    <row r="23" spans="1:16" x14ac:dyDescent="0.2">
      <c r="A23">
        <v>26333756.809999999</v>
      </c>
      <c r="B23">
        <v>16.703965400000001</v>
      </c>
      <c r="E23">
        <v>26333756.809999999</v>
      </c>
      <c r="F23">
        <v>16.703965400000001</v>
      </c>
      <c r="G23">
        <v>1.8748314658598267E-12</v>
      </c>
      <c r="J23">
        <v>15117750.710000001</v>
      </c>
      <c r="K23">
        <v>534.8401556</v>
      </c>
      <c r="N23">
        <v>15117750.710000001</v>
      </c>
      <c r="O23">
        <v>534.8401556</v>
      </c>
      <c r="P23">
        <v>2.3523402791631659E-12</v>
      </c>
    </row>
    <row r="24" spans="1:16" x14ac:dyDescent="0.2">
      <c r="A24">
        <v>27935332.579999998</v>
      </c>
      <c r="B24">
        <v>10.70481109</v>
      </c>
      <c r="E24">
        <v>27935332.579999998</v>
      </c>
      <c r="F24">
        <v>10.70481109</v>
      </c>
      <c r="G24">
        <v>0</v>
      </c>
      <c r="J24">
        <v>21291444.57</v>
      </c>
      <c r="K24">
        <v>394.52753360000003</v>
      </c>
      <c r="N24">
        <v>21291444.57</v>
      </c>
      <c r="O24">
        <v>394.52753360000003</v>
      </c>
      <c r="P24">
        <v>1.1049136069034182E-12</v>
      </c>
    </row>
    <row r="25" spans="1:16" x14ac:dyDescent="0.2">
      <c r="J25">
        <v>29286445.649999999</v>
      </c>
      <c r="K25">
        <v>280.9862723</v>
      </c>
      <c r="N25">
        <v>29286445.649999999</v>
      </c>
      <c r="O25">
        <v>280.9862723</v>
      </c>
      <c r="P25">
        <v>6.6576705540037324E-13</v>
      </c>
    </row>
    <row r="26" spans="1:16" x14ac:dyDescent="0.2">
      <c r="J26">
        <v>43754793.75</v>
      </c>
      <c r="K26">
        <v>175.95712700000001</v>
      </c>
      <c r="N26">
        <v>43754793.75</v>
      </c>
      <c r="O26">
        <v>175.95712700000001</v>
      </c>
      <c r="P26">
        <v>2.0107868521965236E-13</v>
      </c>
    </row>
    <row r="27" spans="1:16" x14ac:dyDescent="0.2">
      <c r="J27">
        <v>62355073.409999996</v>
      </c>
      <c r="K27">
        <v>115.47482770000001</v>
      </c>
      <c r="N27">
        <v>62355073.409999996</v>
      </c>
      <c r="O27">
        <v>115.47482770000001</v>
      </c>
      <c r="P27">
        <v>5.9888613847072379E-14</v>
      </c>
    </row>
    <row r="28" spans="1:16" x14ac:dyDescent="0.2">
      <c r="J28">
        <v>87819254</v>
      </c>
      <c r="K28">
        <v>75.786777180000001</v>
      </c>
      <c r="N28">
        <v>87819254</v>
      </c>
      <c r="O28">
        <v>75.786777180000001</v>
      </c>
      <c r="P28">
        <v>4.4791796600232174E-14</v>
      </c>
    </row>
    <row r="29" spans="1:16" x14ac:dyDescent="0.2">
      <c r="J29">
        <v>98826131.370000005</v>
      </c>
      <c r="K29">
        <v>67.422875199999993</v>
      </c>
      <c r="N29">
        <v>98826131.370000005</v>
      </c>
      <c r="O29">
        <v>67.422875199999993</v>
      </c>
      <c r="P29">
        <v>0</v>
      </c>
    </row>
    <row r="30" spans="1:16" x14ac:dyDescent="0.2">
      <c r="J30" s="1"/>
    </row>
    <row r="31" spans="1:16" x14ac:dyDescent="0.2">
      <c r="J31" s="1"/>
    </row>
    <row r="32" spans="1:16" x14ac:dyDescent="0.2">
      <c r="J32" s="1"/>
    </row>
    <row r="33" spans="1:12" x14ac:dyDescent="0.2">
      <c r="J33" s="1"/>
    </row>
    <row r="34" spans="1:12" x14ac:dyDescent="0.2">
      <c r="J34" s="1"/>
    </row>
    <row r="35" spans="1:12" x14ac:dyDescent="0.2">
      <c r="J35" s="1"/>
    </row>
    <row r="36" spans="1:12" x14ac:dyDescent="0.2">
      <c r="J36" s="1"/>
    </row>
    <row r="37" spans="1:12" x14ac:dyDescent="0.2">
      <c r="J37" s="1"/>
    </row>
    <row r="38" spans="1:12" x14ac:dyDescent="0.2">
      <c r="J38" s="1"/>
    </row>
    <row r="39" spans="1:12" x14ac:dyDescent="0.2">
      <c r="J39" s="1"/>
    </row>
    <row r="40" spans="1:12" x14ac:dyDescent="0.2">
      <c r="J40" s="1"/>
    </row>
    <row r="41" spans="1:12" x14ac:dyDescent="0.2">
      <c r="J41" s="1"/>
    </row>
    <row r="42" spans="1:12" x14ac:dyDescent="0.2">
      <c r="J42" s="1"/>
    </row>
    <row r="43" spans="1:12" x14ac:dyDescent="0.2">
      <c r="A43">
        <v>102389.7329</v>
      </c>
      <c r="B43">
        <v>2391.1753039999999</v>
      </c>
      <c r="J43" s="1"/>
      <c r="K43">
        <v>101187.81200000001</v>
      </c>
      <c r="L43">
        <v>28.068856700000001</v>
      </c>
    </row>
    <row r="44" spans="1:12" x14ac:dyDescent="0.2">
      <c r="A44">
        <v>205504.11040000001</v>
      </c>
      <c r="B44">
        <v>2419.9716349999999</v>
      </c>
      <c r="J44" s="1"/>
      <c r="K44">
        <v>164204.3339</v>
      </c>
      <c r="L44">
        <v>40.402088579999997</v>
      </c>
    </row>
    <row r="45" spans="1:12" x14ac:dyDescent="0.2">
      <c r="A45">
        <v>398107.17060000001</v>
      </c>
      <c r="B45">
        <v>2536.746009</v>
      </c>
      <c r="J45" s="1"/>
      <c r="K45">
        <v>242446.20170000001</v>
      </c>
      <c r="L45">
        <v>60.224082869999997</v>
      </c>
    </row>
    <row r="46" spans="1:12" x14ac:dyDescent="0.2">
      <c r="A46">
        <v>608997.32440000004</v>
      </c>
      <c r="B46">
        <v>2627.922497</v>
      </c>
      <c r="J46" s="1"/>
      <c r="K46">
        <v>333485.47509999998</v>
      </c>
      <c r="L46">
        <v>99.745792489999999</v>
      </c>
    </row>
    <row r="47" spans="1:12" x14ac:dyDescent="0.2">
      <c r="A47">
        <v>818126.59920000006</v>
      </c>
      <c r="B47">
        <v>2537.3617869999998</v>
      </c>
      <c r="J47" s="1"/>
      <c r="K47">
        <v>448004.16470000002</v>
      </c>
      <c r="L47">
        <v>208.83550990000001</v>
      </c>
    </row>
    <row r="48" spans="1:12" x14ac:dyDescent="0.2">
      <c r="A48">
        <v>1048365.741</v>
      </c>
      <c r="B48">
        <v>2365.2445080000002</v>
      </c>
      <c r="J48" s="1"/>
      <c r="K48">
        <v>601848.49589999998</v>
      </c>
      <c r="L48">
        <v>432.09220269999997</v>
      </c>
    </row>
    <row r="49" spans="1:12" x14ac:dyDescent="0.2">
      <c r="A49">
        <v>1566288.628</v>
      </c>
      <c r="B49">
        <v>1744.2126390000001</v>
      </c>
      <c r="J49" s="1"/>
      <c r="K49">
        <v>799031.87139999995</v>
      </c>
      <c r="L49">
        <v>758.62783809999996</v>
      </c>
    </row>
    <row r="50" spans="1:12" x14ac:dyDescent="0.2">
      <c r="A50">
        <v>2312610.878</v>
      </c>
      <c r="B50">
        <v>1286.311989</v>
      </c>
      <c r="J50" s="1"/>
      <c r="K50">
        <v>920666.97320000001</v>
      </c>
      <c r="L50">
        <v>936.91151879999995</v>
      </c>
    </row>
    <row r="51" spans="1:12" x14ac:dyDescent="0.2">
      <c r="A51">
        <v>2998631.3489999999</v>
      </c>
      <c r="B51">
        <v>994.12818870000001</v>
      </c>
      <c r="J51" s="1"/>
      <c r="K51">
        <v>1152228.098</v>
      </c>
      <c r="L51">
        <v>1078.5470459999999</v>
      </c>
    </row>
    <row r="52" spans="1:12" x14ac:dyDescent="0.2">
      <c r="A52">
        <v>4173619.1889999998</v>
      </c>
      <c r="B52">
        <v>759.42241769999998</v>
      </c>
      <c r="J52" s="1"/>
      <c r="K52">
        <v>1741909.7139999999</v>
      </c>
      <c r="L52">
        <v>1301.290107</v>
      </c>
    </row>
    <row r="53" spans="1:12" x14ac:dyDescent="0.2">
      <c r="A53">
        <v>5673435.9179999996</v>
      </c>
      <c r="B53">
        <v>580.14460459999998</v>
      </c>
      <c r="J53" s="1"/>
      <c r="K53">
        <v>2180025.3229999999</v>
      </c>
      <c r="L53">
        <v>1348.0049799999999</v>
      </c>
    </row>
    <row r="54" spans="1:12" x14ac:dyDescent="0.2">
      <c r="A54">
        <v>7621690.0259999996</v>
      </c>
      <c r="B54">
        <v>422.91293769999999</v>
      </c>
      <c r="J54" s="1"/>
      <c r="K54">
        <v>2664655.233</v>
      </c>
      <c r="L54">
        <v>1271.4170710000001</v>
      </c>
    </row>
    <row r="55" spans="1:12" x14ac:dyDescent="0.2">
      <c r="A55">
        <v>10238973.289999999</v>
      </c>
      <c r="B55">
        <v>290.76868380000002</v>
      </c>
      <c r="J55" s="1"/>
      <c r="K55">
        <v>3070290.63</v>
      </c>
      <c r="L55">
        <v>1157.72775</v>
      </c>
    </row>
    <row r="56" spans="1:12" x14ac:dyDescent="0.2">
      <c r="A56">
        <v>13276295.890000001</v>
      </c>
      <c r="B56">
        <v>182.03502839999999</v>
      </c>
      <c r="J56" s="1"/>
      <c r="K56">
        <v>4273357.5420000004</v>
      </c>
      <c r="L56">
        <v>994.32783470000004</v>
      </c>
    </row>
    <row r="57" spans="1:12" x14ac:dyDescent="0.2">
      <c r="A57">
        <v>17214619.82</v>
      </c>
      <c r="B57">
        <v>100.19173139999999</v>
      </c>
      <c r="J57" s="1"/>
      <c r="K57">
        <v>6089973.2439999999</v>
      </c>
      <c r="L57">
        <v>864.08788200000004</v>
      </c>
    </row>
    <row r="58" spans="1:12" x14ac:dyDescent="0.2">
      <c r="A58">
        <v>20070773.16</v>
      </c>
      <c r="B58">
        <v>59.853590089999997</v>
      </c>
      <c r="J58" s="1"/>
      <c r="K58">
        <v>8181265.9919999996</v>
      </c>
      <c r="L58">
        <v>750.89729369999998</v>
      </c>
    </row>
    <row r="59" spans="1:12" x14ac:dyDescent="0.2">
      <c r="A59">
        <v>23678761.02</v>
      </c>
      <c r="B59">
        <v>32.943267589999998</v>
      </c>
      <c r="J59" s="1"/>
      <c r="K59">
        <v>10990707.27</v>
      </c>
      <c r="L59">
        <v>660.23646069999995</v>
      </c>
    </row>
    <row r="60" spans="1:12" x14ac:dyDescent="0.2">
      <c r="A60">
        <v>26333756.809999999</v>
      </c>
      <c r="B60">
        <v>16.703965400000001</v>
      </c>
      <c r="J60" s="1"/>
      <c r="K60">
        <v>15117750.710000001</v>
      </c>
      <c r="L60">
        <v>534.8401556</v>
      </c>
    </row>
    <row r="61" spans="1:12" x14ac:dyDescent="0.2">
      <c r="A61">
        <v>27935332.579999998</v>
      </c>
      <c r="B61">
        <v>10.70481109</v>
      </c>
      <c r="J61" s="1"/>
      <c r="K61">
        <v>21291444.57</v>
      </c>
      <c r="L61">
        <v>394.52753360000003</v>
      </c>
    </row>
    <row r="62" spans="1:12" x14ac:dyDescent="0.2">
      <c r="J62" s="1"/>
      <c r="K62">
        <v>29286445.649999999</v>
      </c>
      <c r="L62">
        <v>280.9862723</v>
      </c>
    </row>
    <row r="63" spans="1:12" x14ac:dyDescent="0.2">
      <c r="J63" s="1"/>
      <c r="K63">
        <v>43754793.75</v>
      </c>
      <c r="L63">
        <v>175.95712700000001</v>
      </c>
    </row>
    <row r="64" spans="1:12" x14ac:dyDescent="0.2">
      <c r="J64" s="1"/>
      <c r="K64">
        <v>62355073.409999996</v>
      </c>
      <c r="L64">
        <v>115.47482770000001</v>
      </c>
    </row>
    <row r="65" spans="10:17" x14ac:dyDescent="0.2">
      <c r="J65" s="1"/>
      <c r="K65">
        <v>87819254</v>
      </c>
      <c r="L65">
        <v>75.786777180000001</v>
      </c>
    </row>
    <row r="66" spans="10:17" x14ac:dyDescent="0.2">
      <c r="J66" s="1"/>
      <c r="K66">
        <v>98826131.370000005</v>
      </c>
      <c r="L66">
        <v>67.422875199999993</v>
      </c>
      <c r="Q66" t="s">
        <v>28</v>
      </c>
    </row>
  </sheetData>
  <mergeCells count="2">
    <mergeCell ref="E5:G5"/>
    <mergeCell ref="N5:P5"/>
  </mergeCells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BN-73-202</vt:lpstr>
      <vt:lpstr>BN-73-202 (2)</vt:lpstr>
      <vt:lpstr>Mix</vt:lpstr>
      <vt:lpstr>CSTableU1</vt:lpstr>
      <vt:lpstr>CSTableU2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OWEN DUFFY</dc:creator>
  <cp:lastModifiedBy>owen</cp:lastModifiedBy>
  <dcterms:created xsi:type="dcterms:W3CDTF">2010-06-30T06:45:52Z</dcterms:created>
  <dcterms:modified xsi:type="dcterms:W3CDTF">2015-04-06T22:38:18Z</dcterms:modified>
</cp:coreProperties>
</file>