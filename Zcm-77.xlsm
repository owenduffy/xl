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/>
  </bookViews>
  <sheets>
    <sheet name="5977000201" sheetId="1" r:id="rId1"/>
    <sheet name="Mix" sheetId="2" r:id="rId2"/>
  </sheets>
  <functionGroups builtInGroupCount="18"/>
  <definedNames>
    <definedName name="CSTableU1">Mix!$E$6:$G$58</definedName>
    <definedName name="CSTableU2">Mix!$N$6:$P$58</definedName>
  </definedNames>
  <calcPr calcId="152511"/>
</workbook>
</file>

<file path=xl/calcChain.xml><?xml version="1.0" encoding="utf-8"?>
<calcChain xmlns="http://schemas.openxmlformats.org/spreadsheetml/2006/main">
  <c r="B7" i="1" l="1"/>
  <c r="C18" i="1"/>
  <c r="D18" i="1"/>
  <c r="B12" i="1"/>
  <c r="B13" i="1"/>
  <c r="B16" i="1"/>
  <c r="B24" i="1"/>
  <c r="C24" i="1"/>
  <c r="E6" i="2" a="1"/>
  <c r="N6" i="2" a="1"/>
  <c r="B33" i="1"/>
  <c r="C33" i="1"/>
  <c r="O7" i="2" l="1"/>
  <c r="N10" i="2"/>
  <c r="P12" i="2"/>
  <c r="O15" i="2"/>
  <c r="N18" i="2"/>
  <c r="P20" i="2"/>
  <c r="O23" i="2"/>
  <c r="N26" i="2"/>
  <c r="P28" i="2"/>
  <c r="O31" i="2"/>
  <c r="N34" i="2"/>
  <c r="P36" i="2"/>
  <c r="O39" i="2"/>
  <c r="N42" i="2"/>
  <c r="P44" i="2"/>
  <c r="O47" i="2"/>
  <c r="N50" i="2"/>
  <c r="P52" i="2"/>
  <c r="O55" i="2"/>
  <c r="N58" i="2"/>
  <c r="P7" i="2"/>
  <c r="N11" i="2"/>
  <c r="O16" i="2"/>
  <c r="P21" i="2"/>
  <c r="N27" i="2"/>
  <c r="O32" i="2"/>
  <c r="P37" i="2"/>
  <c r="N43" i="2"/>
  <c r="O48" i="2"/>
  <c r="P53" i="2"/>
  <c r="P11" i="2"/>
  <c r="N17" i="2"/>
  <c r="O22" i="2"/>
  <c r="P27" i="2"/>
  <c r="N33" i="2"/>
  <c r="O38" i="2"/>
  <c r="P43" i="2"/>
  <c r="N49" i="2"/>
  <c r="O54" i="2"/>
  <c r="O56" i="2"/>
  <c r="O9" i="2"/>
  <c r="P14" i="2"/>
  <c r="N20" i="2"/>
  <c r="O25" i="2"/>
  <c r="P30" i="2"/>
  <c r="N36" i="2"/>
  <c r="O41" i="2"/>
  <c r="P46" i="2"/>
  <c r="N52" i="2"/>
  <c r="O57" i="2"/>
  <c r="P9" i="2"/>
  <c r="O20" i="2"/>
  <c r="N31" i="2"/>
  <c r="P41" i="2"/>
  <c r="O52" i="2"/>
  <c r="P15" i="2"/>
  <c r="O26" i="2"/>
  <c r="N37" i="2"/>
  <c r="P47" i="2"/>
  <c r="O58" i="2"/>
  <c r="P10" i="2"/>
  <c r="N16" i="2"/>
  <c r="O21" i="2"/>
  <c r="P26" i="2"/>
  <c r="N32" i="2"/>
  <c r="O37" i="2"/>
  <c r="P42" i="2"/>
  <c r="N48" i="2"/>
  <c r="O53" i="2"/>
  <c r="P58" i="2"/>
  <c r="O12" i="2"/>
  <c r="N23" i="2"/>
  <c r="P33" i="2"/>
  <c r="O44" i="2"/>
  <c r="N55" i="2"/>
  <c r="O18" i="2"/>
  <c r="N29" i="2"/>
  <c r="P39" i="2"/>
  <c r="O50" i="2"/>
  <c r="P8" i="2"/>
  <c r="N14" i="2"/>
  <c r="O19" i="2"/>
  <c r="P24" i="2"/>
  <c r="N30" i="2"/>
  <c r="O35" i="2"/>
  <c r="P40" i="2"/>
  <c r="N46" i="2"/>
  <c r="O51" i="2"/>
  <c r="P56" i="2"/>
  <c r="N9" i="2"/>
  <c r="N19" i="2"/>
  <c r="P29" i="2"/>
  <c r="O40" i="2"/>
  <c r="N51" i="2"/>
  <c r="O14" i="2"/>
  <c r="N25" i="2"/>
  <c r="P35" i="2"/>
  <c r="O46" i="2"/>
  <c r="N57" i="2"/>
  <c r="N12" i="2"/>
  <c r="P22" i="2"/>
  <c r="O33" i="2"/>
  <c r="N44" i="2"/>
  <c r="P54" i="2"/>
  <c r="N15" i="2"/>
  <c r="O36" i="2"/>
  <c r="O10" i="2"/>
  <c r="P31" i="2"/>
  <c r="N53" i="2"/>
  <c r="O13" i="2"/>
  <c r="N24" i="2"/>
  <c r="P34" i="2"/>
  <c r="O45" i="2"/>
  <c r="N56" i="2"/>
  <c r="P17" i="2"/>
  <c r="N39" i="2"/>
  <c r="N13" i="2"/>
  <c r="O34" i="2"/>
  <c r="P55" i="2"/>
  <c r="O11" i="2"/>
  <c r="N22" i="2"/>
  <c r="P32" i="2"/>
  <c r="O43" i="2"/>
  <c r="N54" i="2"/>
  <c r="P13" i="2"/>
  <c r="N35" i="2"/>
  <c r="P57" i="2"/>
  <c r="O30" i="2"/>
  <c r="P51" i="2"/>
  <c r="O17" i="2"/>
  <c r="P38" i="2"/>
  <c r="N7" i="2"/>
  <c r="N47" i="2"/>
  <c r="O42" i="2"/>
  <c r="P18" i="2"/>
  <c r="N40" i="2"/>
  <c r="O8" i="2"/>
  <c r="P49" i="2"/>
  <c r="N45" i="2"/>
  <c r="N6" i="2"/>
  <c r="P16" i="2"/>
  <c r="O27" i="2"/>
  <c r="N38" i="2"/>
  <c r="P48" i="2"/>
  <c r="O6" i="2"/>
  <c r="O24" i="2"/>
  <c r="P45" i="2"/>
  <c r="P19" i="2"/>
  <c r="N41" i="2"/>
  <c r="P6" i="2"/>
  <c r="N28" i="2"/>
  <c r="O49" i="2"/>
  <c r="P25" i="2"/>
  <c r="N21" i="2"/>
  <c r="N8" i="2"/>
  <c r="O29" i="2"/>
  <c r="P50" i="2"/>
  <c r="O28" i="2"/>
  <c r="P23" i="2"/>
  <c r="F6" i="2"/>
  <c r="G7" i="2"/>
  <c r="E9" i="2"/>
  <c r="F10" i="2"/>
  <c r="F12" i="2"/>
  <c r="G13" i="2"/>
  <c r="E15" i="2"/>
  <c r="E17" i="2"/>
  <c r="F20" i="2"/>
  <c r="E6" i="2"/>
  <c r="F7" i="2"/>
  <c r="G8" i="2"/>
  <c r="E10" i="2"/>
  <c r="F11" i="2"/>
  <c r="G12" i="2"/>
  <c r="E14" i="2"/>
  <c r="F15" i="2"/>
  <c r="G16" i="2"/>
  <c r="E18" i="2"/>
  <c r="F19" i="2"/>
  <c r="G20" i="2"/>
  <c r="E22" i="2"/>
  <c r="F23" i="2"/>
  <c r="G24" i="2"/>
  <c r="E26" i="2"/>
  <c r="F27" i="2"/>
  <c r="G28" i="2"/>
  <c r="E30" i="2"/>
  <c r="F31" i="2"/>
  <c r="G32" i="2"/>
  <c r="E34" i="2"/>
  <c r="F35" i="2"/>
  <c r="G36" i="2"/>
  <c r="E38" i="2"/>
  <c r="F39" i="2"/>
  <c r="G40" i="2"/>
  <c r="E42" i="2"/>
  <c r="F43" i="2"/>
  <c r="G44" i="2"/>
  <c r="E46" i="2"/>
  <c r="F47" i="2"/>
  <c r="G48" i="2"/>
  <c r="E50" i="2"/>
  <c r="F51" i="2"/>
  <c r="G52" i="2"/>
  <c r="E54" i="2"/>
  <c r="F55" i="2"/>
  <c r="G56" i="2"/>
  <c r="E58" i="2"/>
  <c r="G11" i="2"/>
  <c r="G17" i="2"/>
  <c r="G19" i="2"/>
  <c r="E23" i="2"/>
  <c r="G25" i="2"/>
  <c r="F28" i="2"/>
  <c r="E31" i="2"/>
  <c r="E7" i="2"/>
  <c r="G9" i="2"/>
  <c r="E13" i="2"/>
  <c r="F16" i="2"/>
  <c r="G21" i="2"/>
  <c r="E8" i="2"/>
  <c r="G10" i="2"/>
  <c r="F13" i="2"/>
  <c r="E16" i="2"/>
  <c r="G18" i="2"/>
  <c r="F21" i="2"/>
  <c r="E24" i="2"/>
  <c r="G26" i="2"/>
  <c r="F29" i="2"/>
  <c r="E32" i="2"/>
  <c r="G34" i="2"/>
  <c r="F37" i="2"/>
  <c r="E40" i="2"/>
  <c r="G42" i="2"/>
  <c r="F45" i="2"/>
  <c r="E48" i="2"/>
  <c r="G50" i="2"/>
  <c r="F53" i="2"/>
  <c r="E56" i="2"/>
  <c r="G58" i="2"/>
  <c r="E19" i="2"/>
  <c r="F24" i="2"/>
  <c r="G29" i="2"/>
  <c r="G33" i="2"/>
  <c r="F36" i="2"/>
  <c r="E39" i="2"/>
  <c r="G41" i="2"/>
  <c r="F44" i="2"/>
  <c r="E47" i="2"/>
  <c r="G49" i="2"/>
  <c r="F52" i="2"/>
  <c r="E55" i="2"/>
  <c r="G57" i="2"/>
  <c r="G23" i="2"/>
  <c r="F26" i="2"/>
  <c r="E29" i="2"/>
  <c r="G31" i="2"/>
  <c r="F34" i="2"/>
  <c r="E37" i="2"/>
  <c r="G39" i="2"/>
  <c r="F42" i="2"/>
  <c r="E45" i="2"/>
  <c r="G47" i="2"/>
  <c r="F50" i="2"/>
  <c r="E53" i="2"/>
  <c r="G55" i="2"/>
  <c r="F58" i="2"/>
  <c r="F8" i="2"/>
  <c r="F14" i="2"/>
  <c r="G6" i="2"/>
  <c r="E12" i="2"/>
  <c r="F17" i="2"/>
  <c r="G22" i="2"/>
  <c r="E28" i="2"/>
  <c r="F33" i="2"/>
  <c r="G38" i="2"/>
  <c r="E44" i="2"/>
  <c r="F49" i="2"/>
  <c r="G54" i="2"/>
  <c r="G15" i="2"/>
  <c r="E27" i="2"/>
  <c r="E35" i="2"/>
  <c r="F40" i="2"/>
  <c r="G45" i="2"/>
  <c r="E51" i="2"/>
  <c r="F56" i="2"/>
  <c r="E25" i="2"/>
  <c r="F30" i="2"/>
  <c r="G35" i="2"/>
  <c r="E41" i="2"/>
  <c r="F46" i="2"/>
  <c r="G51" i="2"/>
  <c r="E57" i="2"/>
  <c r="E11" i="2"/>
  <c r="F9" i="2"/>
  <c r="E20" i="2"/>
  <c r="G30" i="2"/>
  <c r="F41" i="2"/>
  <c r="E52" i="2"/>
  <c r="E21" i="2"/>
  <c r="G37" i="2"/>
  <c r="F48" i="2"/>
  <c r="F22" i="2"/>
  <c r="E33" i="2"/>
  <c r="G43" i="2"/>
  <c r="F54" i="2"/>
  <c r="F18" i="2"/>
  <c r="G14" i="2"/>
  <c r="F25" i="2"/>
  <c r="E36" i="2"/>
  <c r="G46" i="2"/>
  <c r="F57" i="2"/>
  <c r="F32" i="2"/>
  <c r="E43" i="2"/>
  <c r="G53" i="2"/>
  <c r="G27" i="2"/>
  <c r="F38" i="2"/>
  <c r="E49" i="2"/>
  <c r="E18" i="1"/>
  <c r="D24" i="1"/>
  <c r="D19" i="1"/>
  <c r="B19" i="1"/>
  <c r="C19" i="1"/>
  <c r="C20" i="1"/>
  <c r="D20" i="1"/>
  <c r="B20" i="1"/>
  <c r="B22" i="1" l="1"/>
  <c r="D22" i="1"/>
  <c r="C22" i="1"/>
  <c r="C21" i="1"/>
  <c r="C23" i="1" s="1"/>
  <c r="C25" i="1" s="1"/>
  <c r="C26" i="1" s="1"/>
  <c r="B21" i="1"/>
  <c r="B23" i="1" s="1"/>
  <c r="B25" i="1" s="1"/>
  <c r="D21" i="1"/>
  <c r="D23" i="1" s="1"/>
  <c r="D25" i="1" s="1"/>
  <c r="D27" i="1" s="1"/>
  <c r="F18" i="1"/>
  <c r="E24" i="1"/>
  <c r="C27" i="1"/>
  <c r="B28" i="1"/>
  <c r="B26" i="1"/>
  <c r="B27" i="1"/>
  <c r="D26" i="1"/>
  <c r="E20" i="1"/>
  <c r="E19" i="1"/>
  <c r="D28" i="1" l="1"/>
  <c r="C28" i="1"/>
  <c r="E21" i="1"/>
  <c r="E23" i="1" s="1"/>
  <c r="E25" i="1" s="1"/>
  <c r="E22" i="1"/>
  <c r="G18" i="1"/>
  <c r="F24" i="1"/>
  <c r="F19" i="1"/>
  <c r="F20" i="1"/>
  <c r="F22" i="1" l="1"/>
  <c r="F21" i="1"/>
  <c r="F23" i="1" s="1"/>
  <c r="F25" i="1" s="1"/>
  <c r="G24" i="1"/>
  <c r="H18" i="1"/>
  <c r="E26" i="1"/>
  <c r="E27" i="1"/>
  <c r="E28" i="1"/>
  <c r="G19" i="1"/>
  <c r="G20" i="1"/>
  <c r="G22" i="1" l="1"/>
  <c r="G21" i="1"/>
  <c r="G23" i="1" s="1"/>
  <c r="G25" i="1" s="1"/>
  <c r="I18" i="1"/>
  <c r="H24" i="1"/>
  <c r="F28" i="1"/>
  <c r="F26" i="1"/>
  <c r="F27" i="1"/>
  <c r="H20" i="1"/>
  <c r="H19" i="1"/>
  <c r="H21" i="1" l="1"/>
  <c r="H22" i="1"/>
  <c r="J18" i="1"/>
  <c r="I24" i="1"/>
  <c r="G26" i="1"/>
  <c r="G28" i="1"/>
  <c r="G27" i="1"/>
  <c r="I20" i="1"/>
  <c r="I19" i="1"/>
  <c r="H23" i="1" l="1"/>
  <c r="H25" i="1" s="1"/>
  <c r="H26" i="1" s="1"/>
  <c r="I21" i="1"/>
  <c r="I22" i="1"/>
  <c r="K18" i="1"/>
  <c r="J24" i="1"/>
  <c r="J19" i="1"/>
  <c r="J20" i="1"/>
  <c r="H28" i="1" l="1"/>
  <c r="H27" i="1"/>
  <c r="I23" i="1"/>
  <c r="I25" i="1" s="1"/>
  <c r="I27" i="1" s="1"/>
  <c r="J22" i="1"/>
  <c r="J21" i="1"/>
  <c r="J23" i="1" s="1"/>
  <c r="J25" i="1" s="1"/>
  <c r="L18" i="1"/>
  <c r="K24" i="1"/>
  <c r="I28" i="1"/>
  <c r="K20" i="1"/>
  <c r="K19" i="1"/>
  <c r="I26" i="1" l="1"/>
  <c r="K21" i="1"/>
  <c r="K22" i="1"/>
  <c r="M18" i="1"/>
  <c r="L24" i="1"/>
  <c r="J26" i="1"/>
  <c r="J28" i="1"/>
  <c r="J27" i="1"/>
  <c r="L20" i="1"/>
  <c r="L19" i="1"/>
  <c r="K23" i="1" l="1"/>
  <c r="K25" i="1" s="1"/>
  <c r="L21" i="1"/>
  <c r="L23" i="1" s="1"/>
  <c r="L25" i="1" s="1"/>
  <c r="L22" i="1"/>
  <c r="N18" i="1"/>
  <c r="M24" i="1"/>
  <c r="K27" i="1"/>
  <c r="K28" i="1"/>
  <c r="K26" i="1"/>
  <c r="M20" i="1"/>
  <c r="M19" i="1"/>
  <c r="M21" i="1" l="1"/>
  <c r="M23" i="1" s="1"/>
  <c r="M25" i="1" s="1"/>
  <c r="M22" i="1"/>
  <c r="O18" i="1"/>
  <c r="N24" i="1"/>
  <c r="L27" i="1"/>
  <c r="L26" i="1"/>
  <c r="L28" i="1"/>
  <c r="N19" i="1"/>
  <c r="N20" i="1"/>
  <c r="N22" i="1" l="1"/>
  <c r="N21" i="1"/>
  <c r="N23" i="1" s="1"/>
  <c r="N25" i="1" s="1"/>
  <c r="O24" i="1"/>
  <c r="P18" i="1"/>
  <c r="M26" i="1"/>
  <c r="M27" i="1"/>
  <c r="M28" i="1"/>
  <c r="O19" i="1"/>
  <c r="O20" i="1"/>
  <c r="O22" i="1" l="1"/>
  <c r="O21" i="1"/>
  <c r="O23" i="1" s="1"/>
  <c r="O25" i="1" s="1"/>
  <c r="Q18" i="1"/>
  <c r="P24" i="1"/>
  <c r="N28" i="1"/>
  <c r="N27" i="1"/>
  <c r="N26" i="1"/>
  <c r="P20" i="1"/>
  <c r="P19" i="1"/>
  <c r="P21" i="1" l="1"/>
  <c r="P22" i="1"/>
  <c r="Q24" i="1"/>
  <c r="R18" i="1"/>
  <c r="O28" i="1"/>
  <c r="O26" i="1"/>
  <c r="O27" i="1"/>
  <c r="Q20" i="1"/>
  <c r="Q19" i="1"/>
  <c r="P23" i="1" l="1"/>
  <c r="P25" i="1" s="1"/>
  <c r="P26" i="1" s="1"/>
  <c r="Q21" i="1"/>
  <c r="Q22" i="1"/>
  <c r="S18" i="1"/>
  <c r="R24" i="1"/>
  <c r="R20" i="1"/>
  <c r="R19" i="1"/>
  <c r="P28" i="1" l="1"/>
  <c r="P27" i="1"/>
  <c r="Q23" i="1"/>
  <c r="Q25" i="1" s="1"/>
  <c r="R21" i="1"/>
  <c r="R23" i="1" s="1"/>
  <c r="R25" i="1" s="1"/>
  <c r="R22" i="1"/>
  <c r="S24" i="1"/>
  <c r="T18" i="1"/>
  <c r="Q28" i="1"/>
  <c r="Q26" i="1"/>
  <c r="Q27" i="1"/>
  <c r="S19" i="1"/>
  <c r="S20" i="1"/>
  <c r="S22" i="1" l="1"/>
  <c r="S21" i="1"/>
  <c r="S23" i="1" s="1"/>
  <c r="S25" i="1" s="1"/>
  <c r="U18" i="1"/>
  <c r="T24" i="1"/>
  <c r="R27" i="1"/>
  <c r="R28" i="1"/>
  <c r="R26" i="1"/>
  <c r="T19" i="1"/>
  <c r="T20" i="1"/>
  <c r="T22" i="1" l="1"/>
  <c r="T21" i="1"/>
  <c r="T23" i="1" s="1"/>
  <c r="T25" i="1" s="1"/>
  <c r="U24" i="1"/>
  <c r="V18" i="1"/>
  <c r="S27" i="1"/>
  <c r="S28" i="1"/>
  <c r="S26" i="1"/>
  <c r="U20" i="1"/>
  <c r="U19" i="1"/>
  <c r="U21" i="1" l="1"/>
  <c r="U22" i="1"/>
  <c r="W18" i="1"/>
  <c r="V24" i="1"/>
  <c r="T26" i="1"/>
  <c r="T27" i="1"/>
  <c r="T28" i="1"/>
  <c r="V19" i="1"/>
  <c r="V20" i="1"/>
  <c r="U23" i="1" l="1"/>
  <c r="U25" i="1" s="1"/>
  <c r="V22" i="1"/>
  <c r="V21" i="1"/>
  <c r="W24" i="1"/>
  <c r="X18" i="1"/>
  <c r="U27" i="1"/>
  <c r="U28" i="1"/>
  <c r="U26" i="1"/>
  <c r="W19" i="1"/>
  <c r="W20" i="1"/>
  <c r="V23" i="1" l="1"/>
  <c r="V25" i="1" s="1"/>
  <c r="W22" i="1"/>
  <c r="W21" i="1"/>
  <c r="Y18" i="1"/>
  <c r="X24" i="1"/>
  <c r="V27" i="1"/>
  <c r="V28" i="1"/>
  <c r="V26" i="1"/>
  <c r="X19" i="1"/>
  <c r="X20" i="1"/>
  <c r="W23" i="1" l="1"/>
  <c r="W25" i="1" s="1"/>
  <c r="X22" i="1"/>
  <c r="X21" i="1"/>
  <c r="Y24" i="1"/>
  <c r="Z18" i="1"/>
  <c r="W28" i="1"/>
  <c r="W26" i="1"/>
  <c r="W27" i="1"/>
  <c r="Y20" i="1"/>
  <c r="Y19" i="1"/>
  <c r="X23" i="1" l="1"/>
  <c r="X25" i="1" s="1"/>
  <c r="X26" i="1" s="1"/>
  <c r="Y21" i="1"/>
  <c r="Y22" i="1"/>
  <c r="AA18" i="1"/>
  <c r="Z24" i="1"/>
  <c r="Z20" i="1"/>
  <c r="Z19" i="1"/>
  <c r="X27" i="1" l="1"/>
  <c r="X28" i="1"/>
  <c r="Y23" i="1"/>
  <c r="Y25" i="1" s="1"/>
  <c r="Y27" i="1" s="1"/>
  <c r="Z21" i="1"/>
  <c r="Z22" i="1"/>
  <c r="AA24" i="1"/>
  <c r="AB18" i="1"/>
  <c r="AA20" i="1"/>
  <c r="AA19" i="1"/>
  <c r="Y26" i="1" l="1"/>
  <c r="Y28" i="1"/>
  <c r="Z23" i="1"/>
  <c r="Z25" i="1" s="1"/>
  <c r="AA21" i="1"/>
  <c r="AA23" i="1" s="1"/>
  <c r="AA25" i="1" s="1"/>
  <c r="AA22" i="1"/>
  <c r="AC18" i="1"/>
  <c r="AB24" i="1"/>
  <c r="Z27" i="1"/>
  <c r="Z28" i="1"/>
  <c r="Z26" i="1"/>
  <c r="AB19" i="1"/>
  <c r="AB20" i="1"/>
  <c r="AB22" i="1" l="1"/>
  <c r="AB21" i="1"/>
  <c r="AB23" i="1" s="1"/>
  <c r="AB25" i="1" s="1"/>
  <c r="AC24" i="1"/>
  <c r="AD18" i="1"/>
  <c r="AA28" i="1"/>
  <c r="AA26" i="1"/>
  <c r="AA27" i="1"/>
  <c r="AC20" i="1"/>
  <c r="AC19" i="1"/>
  <c r="AC21" i="1" l="1"/>
  <c r="AC23" i="1" s="1"/>
  <c r="AC25" i="1" s="1"/>
  <c r="AC22" i="1"/>
  <c r="AE18" i="1"/>
  <c r="AD24" i="1"/>
  <c r="AB28" i="1"/>
  <c r="AB26" i="1"/>
  <c r="AB27" i="1"/>
  <c r="AD20" i="1"/>
  <c r="AD19" i="1"/>
  <c r="AD21" i="1" l="1"/>
  <c r="AD23" i="1" s="1"/>
  <c r="AD25" i="1" s="1"/>
  <c r="AD22" i="1"/>
  <c r="AE24" i="1"/>
  <c r="AC28" i="1"/>
  <c r="AC26" i="1"/>
  <c r="AC27" i="1"/>
  <c r="AE19" i="1"/>
  <c r="AE20" i="1"/>
  <c r="AE22" i="1" l="1"/>
  <c r="AE21" i="1"/>
  <c r="AE23" i="1" s="1"/>
  <c r="AE25" i="1" s="1"/>
  <c r="AD28" i="1"/>
  <c r="AD26" i="1"/>
  <c r="AD27" i="1"/>
  <c r="AE27" i="1" l="1"/>
  <c r="AE28" i="1"/>
  <c r="AE26" i="1"/>
</calcChain>
</file>

<file path=xl/sharedStrings.xml><?xml version="1.0" encoding="utf-8"?>
<sst xmlns="http://schemas.openxmlformats.org/spreadsheetml/2006/main" count="36" uniqueCount="33">
  <si>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</si>
  <si>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</si>
  <si>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</si>
  <si>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</si>
  <si>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</si>
  <si>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</si>
  <si>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</si>
  <si>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</si>
  <si>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</si>
  <si>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</si>
  <si>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</si>
  <si>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</si>
  <si>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</si>
  <si>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</si>
  <si>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</si>
  <si>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</si>
  <si>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</si>
  <si>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</si>
  <si>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</si>
  <si>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</si>
  <si>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</si>
  <si>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</si>
  <si>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</si>
  <si>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</si>
  <si>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</si>
  <si>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</si>
  <si>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</si>
  <si>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</si>
  <si>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</si>
  <si>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</si>
  <si>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# #77 mix u''</t>
  </si>
  <si>
    <t>#77</t>
  </si>
  <si>
    <t># #77 mix u'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</si>
</sst>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'5977000201'!$A$26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'5977000201'!$B$26:$AE$26</c:f>
              <c:numCache>
                <c:formatCode>0</c:formatCode>
                <c:ptCount val="30"/>
                <c:pt idx="0">
                  <c:v>0.81914117123770602</c:v>
                </c:pt>
                <c:pt idx="1">
                  <c:v>1.14259462105587</c:v>
                </c:pt>
                <c:pt idx="2">
                  <c:v>1.5827472698734699</c:v>
                </c:pt>
                <c:pt idx="3">
                  <c:v>2.1786856050549002</c:v>
                </c:pt>
                <c:pt idx="4">
                  <c:v>3.0284385171507999</c:v>
                </c:pt>
                <c:pt idx="5">
                  <c:v>4.2102491521342102</c:v>
                </c:pt>
                <c:pt idx="6">
                  <c:v>5.8290826576735402</c:v>
                </c:pt>
                <c:pt idx="7">
                  <c:v>9.0311776958624996</c:v>
                </c:pt>
                <c:pt idx="8">
                  <c:v>13.620653895117799</c:v>
                </c:pt>
                <c:pt idx="9">
                  <c:v>21.343958947710899</c:v>
                </c:pt>
                <c:pt idx="10">
                  <c:v>36.239491297973203</c:v>
                </c:pt>
                <c:pt idx="11">
                  <c:v>60.454511843638997</c:v>
                </c:pt>
                <c:pt idx="12">
                  <c:v>100.205591745547</c:v>
                </c:pt>
                <c:pt idx="13">
                  <c:v>155.20867633143001</c:v>
                </c:pt>
                <c:pt idx="14">
                  <c:v>216.69485380467799</c:v>
                </c:pt>
                <c:pt idx="15">
                  <c:v>276.92117757083503</c:v>
                </c:pt>
                <c:pt idx="16">
                  <c:v>338.547631686145</c:v>
                </c:pt>
                <c:pt idx="17">
                  <c:v>397.61160453253501</c:v>
                </c:pt>
                <c:pt idx="18">
                  <c:v>445.00385942447502</c:v>
                </c:pt>
                <c:pt idx="19">
                  <c:v>485.07732391853</c:v>
                </c:pt>
                <c:pt idx="20">
                  <c:v>519.30124744377304</c:v>
                </c:pt>
                <c:pt idx="21">
                  <c:v>534.34340690755403</c:v>
                </c:pt>
                <c:pt idx="22">
                  <c:v>529.30933110214198</c:v>
                </c:pt>
                <c:pt idx="23">
                  <c:v>513.78178737000599</c:v>
                </c:pt>
                <c:pt idx="24">
                  <c:v>489.500441664329</c:v>
                </c:pt>
                <c:pt idx="25">
                  <c:v>472.84887558532</c:v>
                </c:pt>
                <c:pt idx="26">
                  <c:v>407.81665571073302</c:v>
                </c:pt>
                <c:pt idx="27">
                  <c:v>572.43645456704201</c:v>
                </c:pt>
                <c:pt idx="28">
                  <c:v>872.44733256310406</c:v>
                </c:pt>
                <c:pt idx="29">
                  <c:v>244.982006001488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'5977000201'!$A$27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'5977000201'!$B$27:$AE$27</c:f>
              <c:numCache>
                <c:formatCode>0</c:formatCode>
                <c:ptCount val="30"/>
                <c:pt idx="0">
                  <c:v>28.067245636511998</c:v>
                </c:pt>
                <c:pt idx="1">
                  <c:v>33.6364121549095</c:v>
                </c:pt>
                <c:pt idx="2">
                  <c:v>40.259225994846901</c:v>
                </c:pt>
                <c:pt idx="3">
                  <c:v>48.172075199746601</c:v>
                </c:pt>
                <c:pt idx="4">
                  <c:v>57.665217434663198</c:v>
                </c:pt>
                <c:pt idx="5">
                  <c:v>69.585131308225797</c:v>
                </c:pt>
                <c:pt idx="6">
                  <c:v>83.843783811324997</c:v>
                </c:pt>
                <c:pt idx="7">
                  <c:v>102.383333645249</c:v>
                </c:pt>
                <c:pt idx="8">
                  <c:v>125.887803413458</c:v>
                </c:pt>
                <c:pt idx="9">
                  <c:v>154.023331855854</c:v>
                </c:pt>
                <c:pt idx="10">
                  <c:v>188.206766695303</c:v>
                </c:pt>
                <c:pt idx="11">
                  <c:v>225.458940030625</c:v>
                </c:pt>
                <c:pt idx="12">
                  <c:v>260.57429727311899</c:v>
                </c:pt>
                <c:pt idx="13">
                  <c:v>300.791029981576</c:v>
                </c:pt>
                <c:pt idx="14">
                  <c:v>313.40440496391301</c:v>
                </c:pt>
                <c:pt idx="15">
                  <c:v>310.48587571112603</c:v>
                </c:pt>
                <c:pt idx="16">
                  <c:v>295.77272973234</c:v>
                </c:pt>
                <c:pt idx="17">
                  <c:v>268.33527874045598</c:v>
                </c:pt>
                <c:pt idx="18">
                  <c:v>231.98673171308701</c:v>
                </c:pt>
                <c:pt idx="19">
                  <c:v>183.95891818048099</c:v>
                </c:pt>
                <c:pt idx="20">
                  <c:v>128.18321161801001</c:v>
                </c:pt>
                <c:pt idx="21">
                  <c:v>67.305782488108704</c:v>
                </c:pt>
                <c:pt idx="22">
                  <c:v>4.8300619937298803</c:v>
                </c:pt>
                <c:pt idx="23">
                  <c:v>-41.378361950642102</c:v>
                </c:pt>
                <c:pt idx="24">
                  <c:v>-57.236275715492397</c:v>
                </c:pt>
                <c:pt idx="25">
                  <c:v>-67.621355649659193</c:v>
                </c:pt>
                <c:pt idx="26">
                  <c:v>-62.7674239162506</c:v>
                </c:pt>
                <c:pt idx="27">
                  <c:v>-182.70325062798199</c:v>
                </c:pt>
                <c:pt idx="28">
                  <c:v>-1189.36688803318</c:v>
                </c:pt>
                <c:pt idx="29">
                  <c:v>-1552.15822615088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'5977000201'!$A$28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'5977000201'!$B$28:$AE$28</c:f>
              <c:numCache>
                <c:formatCode>0</c:formatCode>
                <c:ptCount val="30"/>
                <c:pt idx="0">
                  <c:v>28.079196389475225</c:v>
                </c:pt>
                <c:pt idx="1">
                  <c:v>33.655812946993407</c:v>
                </c:pt>
                <c:pt idx="2">
                  <c:v>40.290325968207902</c:v>
                </c:pt>
                <c:pt idx="3">
                  <c:v>48.221317900029604</c:v>
                </c:pt>
                <c:pt idx="4">
                  <c:v>57.744685830292184</c:v>
                </c:pt>
                <c:pt idx="5">
                  <c:v>69.712385535900808</c:v>
                </c:pt>
                <c:pt idx="6">
                  <c:v>84.046167601088129</c:v>
                </c:pt>
                <c:pt idx="7">
                  <c:v>102.78087944208602</c:v>
                </c:pt>
                <c:pt idx="8">
                  <c:v>126.6225148257451</c:v>
                </c:pt>
                <c:pt idx="9">
                  <c:v>155.49518108140873</c:v>
                </c:pt>
                <c:pt idx="10">
                  <c:v>191.6639970350094</c:v>
                </c:pt>
                <c:pt idx="11">
                  <c:v>233.42339566115825</c:v>
                </c:pt>
                <c:pt idx="12">
                  <c:v>279.17758688056432</c:v>
                </c:pt>
                <c:pt idx="13">
                  <c:v>338.47448489647184</c:v>
                </c:pt>
                <c:pt idx="14">
                  <c:v>381.02359600976831</c:v>
                </c:pt>
                <c:pt idx="15">
                  <c:v>416.03703873972898</c:v>
                </c:pt>
                <c:pt idx="16">
                  <c:v>449.55089430855048</c:v>
                </c:pt>
                <c:pt idx="17">
                  <c:v>479.6861576861013</c:v>
                </c:pt>
                <c:pt idx="18">
                  <c:v>501.84288237813809</c:v>
                </c:pt>
                <c:pt idx="19">
                  <c:v>518.78790826126169</c:v>
                </c:pt>
                <c:pt idx="20">
                  <c:v>534.8875782230939</c:v>
                </c:pt>
                <c:pt idx="21">
                  <c:v>538.56563654016065</c:v>
                </c:pt>
                <c:pt idx="22">
                  <c:v>529.33136832296293</c:v>
                </c:pt>
                <c:pt idx="23">
                  <c:v>515.44533548266429</c:v>
                </c:pt>
                <c:pt idx="24">
                  <c:v>492.83534131325541</c:v>
                </c:pt>
                <c:pt idx="25">
                  <c:v>477.65961403723378</c:v>
                </c:pt>
                <c:pt idx="26">
                  <c:v>412.61867890362026</c:v>
                </c:pt>
                <c:pt idx="27">
                  <c:v>600.88598944168803</c:v>
                </c:pt>
                <c:pt idx="28">
                  <c:v>1475.0450645475908</c:v>
                </c:pt>
                <c:pt idx="29">
                  <c:v>1571.372439071132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284120"/>
        <c:axId val="526284512"/>
      </c:scatterChart>
      <c:valAx>
        <c:axId val="52628412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284512"/>
        <c:crosses val="autoZero"/>
        <c:crossBetween val="midCat"/>
      </c:valAx>
      <c:valAx>
        <c:axId val="526284512"/>
        <c:scaling>
          <c:orientation val="minMax"/>
          <c:max val="800"/>
          <c:min val="-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2841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'5977000201'!$A$19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'5977000201'!$B$19:$AE$19</c:f>
              <c:numCache>
                <c:formatCode>0</c:formatCode>
                <c:ptCount val="30"/>
                <c:pt idx="0">
                  <c:v>59.248808407164326</c:v>
                </c:pt>
                <c:pt idx="1">
                  <c:v>68.864951256974138</c:v>
                </c:pt>
                <c:pt idx="2">
                  <c:v>79.485580699079634</c:v>
                </c:pt>
                <c:pt idx="3">
                  <c:v>91.163535835500838</c:v>
                </c:pt>
                <c:pt idx="4">
                  <c:v>105.5759503250201</c:v>
                </c:pt>
                <c:pt idx="5">
                  <c:v>122.27190030644392</c:v>
                </c:pt>
                <c:pt idx="6">
                  <c:v>141.00265665846624</c:v>
                </c:pt>
                <c:pt idx="7">
                  <c:v>181.91672258352278</c:v>
                </c:pt>
                <c:pt idx="8">
                  <c:v>228.38607501768166</c:v>
                </c:pt>
                <c:pt idx="9">
                  <c:v>297.76609948629834</c:v>
                </c:pt>
                <c:pt idx="10">
                  <c:v>420.33232215009582</c:v>
                </c:pt>
                <c:pt idx="11">
                  <c:v>582.46850164616819</c:v>
                </c:pt>
                <c:pt idx="12">
                  <c:v>801.2985899010032</c:v>
                </c:pt>
                <c:pt idx="13">
                  <c:v>1028.5085944867035</c:v>
                </c:pt>
                <c:pt idx="14">
                  <c:v>1190.5974856755843</c:v>
                </c:pt>
                <c:pt idx="15">
                  <c:v>1261.8359208118836</c:v>
                </c:pt>
                <c:pt idx="16">
                  <c:v>1279.8524674272082</c:v>
                </c:pt>
                <c:pt idx="17">
                  <c:v>1248.4148902603897</c:v>
                </c:pt>
                <c:pt idx="18">
                  <c:v>1162.0589663922003</c:v>
                </c:pt>
                <c:pt idx="19">
                  <c:v>1056.5316066103755</c:v>
                </c:pt>
                <c:pt idx="20">
                  <c:v>946.76040172696185</c:v>
                </c:pt>
                <c:pt idx="21">
                  <c:v>819.35116902636855</c:v>
                </c:pt>
                <c:pt idx="22">
                  <c:v>686.67890868954134</c:v>
                </c:pt>
                <c:pt idx="23">
                  <c:v>564.28279223793731</c:v>
                </c:pt>
                <c:pt idx="24">
                  <c:v>451.51990184198286</c:v>
                </c:pt>
                <c:pt idx="25">
                  <c:v>365.91471352305473</c:v>
                </c:pt>
                <c:pt idx="26">
                  <c:v>263.8224117689868</c:v>
                </c:pt>
                <c:pt idx="27">
                  <c:v>331.43930389874777</c:v>
                </c:pt>
                <c:pt idx="28">
                  <c:v>1088.8397764078054</c:v>
                </c:pt>
                <c:pt idx="29">
                  <c:v>3667.0135026368812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'5977000201'!$A$20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'5977000201'!$B$18:$AE$18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0.12</c:v>
                </c:pt>
                <c:pt idx="2">
                  <c:v>0.14399999999999999</c:v>
                </c:pt>
                <c:pt idx="3">
                  <c:v>0.17279999999999998</c:v>
                </c:pt>
                <c:pt idx="4">
                  <c:v>0.20735999999999996</c:v>
                </c:pt>
                <c:pt idx="5">
                  <c:v>0.24883199999999994</c:v>
                </c:pt>
                <c:pt idx="6">
                  <c:v>0.29859839999999993</c:v>
                </c:pt>
                <c:pt idx="7">
                  <c:v>0.35831807999999993</c:v>
                </c:pt>
                <c:pt idx="8">
                  <c:v>0.42998169599999991</c:v>
                </c:pt>
                <c:pt idx="9">
                  <c:v>0.51597803519999985</c:v>
                </c:pt>
                <c:pt idx="10">
                  <c:v>0.61917364223999982</c:v>
                </c:pt>
                <c:pt idx="11">
                  <c:v>0.74300837068799974</c:v>
                </c:pt>
                <c:pt idx="12">
                  <c:v>0.89161004482559969</c:v>
                </c:pt>
                <c:pt idx="13">
                  <c:v>1.0699320537907195</c:v>
                </c:pt>
                <c:pt idx="14">
                  <c:v>1.2839184645488635</c:v>
                </c:pt>
                <c:pt idx="15">
                  <c:v>1.5407021574586361</c:v>
                </c:pt>
                <c:pt idx="16">
                  <c:v>1.8488425889503632</c:v>
                </c:pt>
                <c:pt idx="17">
                  <c:v>2.2186111067404357</c:v>
                </c:pt>
                <c:pt idx="18">
                  <c:v>2.6623333280885229</c:v>
                </c:pt>
                <c:pt idx="19">
                  <c:v>3.1947999937062272</c:v>
                </c:pt>
                <c:pt idx="20">
                  <c:v>3.8337599924474723</c:v>
                </c:pt>
                <c:pt idx="21">
                  <c:v>4.6005119909369663</c:v>
                </c:pt>
                <c:pt idx="22">
                  <c:v>5.5206143891243595</c:v>
                </c:pt>
                <c:pt idx="23">
                  <c:v>6.6247372669492313</c:v>
                </c:pt>
                <c:pt idx="24">
                  <c:v>7.9496847203390768</c:v>
                </c:pt>
                <c:pt idx="25">
                  <c:v>9.5396216644068925</c:v>
                </c:pt>
                <c:pt idx="26">
                  <c:v>11.447545997288271</c:v>
                </c:pt>
                <c:pt idx="27">
                  <c:v>13.737055196745926</c:v>
                </c:pt>
                <c:pt idx="28">
                  <c:v>16.484466236095109</c:v>
                </c:pt>
                <c:pt idx="29">
                  <c:v>19.78135948331413</c:v>
                </c:pt>
              </c:numCache>
            </c:numRef>
          </c:xVal>
          <c:yVal>
            <c:numRef>
              <c:f>'5977000201'!$B$20:$AE$20</c:f>
              <c:numCache>
                <c:formatCode>0</c:formatCode>
                <c:ptCount val="30"/>
                <c:pt idx="0">
                  <c:v>2030.2942577372735</c:v>
                </c:pt>
                <c:pt idx="1">
                  <c:v>2027.5466994253932</c:v>
                </c:pt>
                <c:pt idx="2">
                  <c:v>2022.1874550233772</c:v>
                </c:pt>
                <c:pt idx="3">
                  <c:v>2016.2098997614441</c:v>
                </c:pt>
                <c:pt idx="4">
                  <c:v>2011.0540177311902</c:v>
                </c:pt>
                <c:pt idx="5">
                  <c:v>2021.9590602970516</c:v>
                </c:pt>
                <c:pt idx="6">
                  <c:v>2029.7429733655827</c:v>
                </c:pt>
                <c:pt idx="7">
                  <c:v>2064.7222420350226</c:v>
                </c:pt>
                <c:pt idx="8">
                  <c:v>2114.4715793316873</c:v>
                </c:pt>
                <c:pt idx="9">
                  <c:v>2154.2222822610556</c:v>
                </c:pt>
                <c:pt idx="10">
                  <c:v>2191.2488384669437</c:v>
                </c:pt>
                <c:pt idx="11">
                  <c:v>2184.510857224956</c:v>
                </c:pt>
                <c:pt idx="12">
                  <c:v>2101.1520192874295</c:v>
                </c:pt>
                <c:pt idx="13">
                  <c:v>2018.7454170640383</c:v>
                </c:pt>
                <c:pt idx="14">
                  <c:v>1754.1278350181403</c:v>
                </c:pt>
                <c:pt idx="15">
                  <c:v>1452.9538906826708</c:v>
                </c:pt>
                <c:pt idx="16">
                  <c:v>1162.5212943712529</c:v>
                </c:pt>
                <c:pt idx="17">
                  <c:v>892.87035664701818</c:v>
                </c:pt>
                <c:pt idx="18">
                  <c:v>660.80385522949496</c:v>
                </c:pt>
                <c:pt idx="19">
                  <c:v>459.51133196270598</c:v>
                </c:pt>
                <c:pt idx="20">
                  <c:v>296.51958692775042</c:v>
                </c:pt>
                <c:pt idx="21">
                  <c:v>167.48634683702952</c:v>
                </c:pt>
                <c:pt idx="22">
                  <c:v>69.309069378826194</c:v>
                </c:pt>
                <c:pt idx="23">
                  <c:v>15.284248068409653</c:v>
                </c:pt>
                <c:pt idx="24">
                  <c:v>3.1582125642486871</c:v>
                </c:pt>
                <c:pt idx="25">
                  <c:v>0.58573450442711528</c:v>
                </c:pt>
                <c:pt idx="26">
                  <c:v>-0.99496644685527613</c:v>
                </c:pt>
                <c:pt idx="27">
                  <c:v>-15.564407249196197</c:v>
                </c:pt>
                <c:pt idx="28">
                  <c:v>-78.12253864813097</c:v>
                </c:pt>
                <c:pt idx="29">
                  <c:v>-264.455828152935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810272"/>
        <c:axId val="531810664"/>
      </c:scatterChart>
      <c:valAx>
        <c:axId val="53181027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810664"/>
        <c:crosses val="autoZero"/>
        <c:crossBetween val="midCat"/>
      </c:valAx>
      <c:valAx>
        <c:axId val="531810664"/>
        <c:scaling>
          <c:orientation val="minMax"/>
          <c:max val="3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810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15</xdr:row>
      <xdr:rowOff>133350</xdr:rowOff>
    </xdr:from>
    <xdr:to>
      <xdr:col>14</xdr:col>
      <xdr:colOff>561975</xdr:colOff>
      <xdr:row>42</xdr:row>
      <xdr:rowOff>28575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44</xdr:row>
      <xdr:rowOff>133350</xdr:rowOff>
    </xdr:from>
    <xdr:to>
      <xdr:col>15</xdr:col>
      <xdr:colOff>180975</xdr:colOff>
      <xdr:row>71</xdr:row>
      <xdr:rowOff>28575</xdr:rowOff>
    </xdr:to>
    <xdr:graphicFrame macro="">
      <xdr:nvGraphicFramePr>
        <xdr:cNvPr id="10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abSelected="1" topLeftCell="A16" workbookViewId="0">
      <selection activeCell="C40" sqref="C40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50*880</f>
        <v>44000</v>
      </c>
    </row>
    <row r="8" spans="1:2" x14ac:dyDescent="0.2">
      <c r="A8" t="s">
        <v>5</v>
      </c>
      <c r="B8" s="3">
        <v>1</v>
      </c>
    </row>
    <row r="9" spans="1:2" x14ac:dyDescent="0.2">
      <c r="A9" t="s">
        <v>8</v>
      </c>
      <c r="B9" s="3">
        <v>5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#77</v>
      </c>
    </row>
    <row r="13" spans="1:2" x14ac:dyDescent="0.2">
      <c r="A13" t="s">
        <v>29</v>
      </c>
      <c r="B13">
        <f>Mix!B2</f>
        <v>2000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2.7646015351590178E-4</v>
      </c>
    </row>
    <row r="18" spans="1:31" x14ac:dyDescent="0.2">
      <c r="A18" t="s">
        <v>2</v>
      </c>
      <c r="B18" s="10">
        <v>0.1</v>
      </c>
      <c r="C18" s="10">
        <f>B18*1.2</f>
        <v>0.12</v>
      </c>
      <c r="D18" s="10">
        <f t="shared" ref="D18:AE18" si="0">C18*1.2</f>
        <v>0.14399999999999999</v>
      </c>
      <c r="E18" s="10">
        <f t="shared" si="0"/>
        <v>0.17279999999999998</v>
      </c>
      <c r="F18" s="10">
        <f t="shared" si="0"/>
        <v>0.20735999999999996</v>
      </c>
      <c r="G18" s="10">
        <f t="shared" si="0"/>
        <v>0.24883199999999994</v>
      </c>
      <c r="H18" s="10">
        <f t="shared" si="0"/>
        <v>0.29859839999999993</v>
      </c>
      <c r="I18" s="10">
        <f t="shared" si="0"/>
        <v>0.35831807999999993</v>
      </c>
      <c r="J18" s="10">
        <f t="shared" si="0"/>
        <v>0.42998169599999991</v>
      </c>
      <c r="K18" s="10">
        <f t="shared" si="0"/>
        <v>0.51597803519999985</v>
      </c>
      <c r="L18" s="10">
        <f t="shared" si="0"/>
        <v>0.61917364223999982</v>
      </c>
      <c r="M18" s="10">
        <f t="shared" si="0"/>
        <v>0.74300837068799974</v>
      </c>
      <c r="N18" s="10">
        <f t="shared" si="0"/>
        <v>0.89161004482559969</v>
      </c>
      <c r="O18" s="10">
        <f t="shared" si="0"/>
        <v>1.0699320537907195</v>
      </c>
      <c r="P18" s="10">
        <f t="shared" si="0"/>
        <v>1.2839184645488635</v>
      </c>
      <c r="Q18" s="10">
        <f t="shared" si="0"/>
        <v>1.5407021574586361</v>
      </c>
      <c r="R18" s="10">
        <f t="shared" si="0"/>
        <v>1.8488425889503632</v>
      </c>
      <c r="S18" s="10">
        <f t="shared" si="0"/>
        <v>2.2186111067404357</v>
      </c>
      <c r="T18" s="10">
        <f t="shared" si="0"/>
        <v>2.6623333280885229</v>
      </c>
      <c r="U18" s="10">
        <f t="shared" si="0"/>
        <v>3.1947999937062272</v>
      </c>
      <c r="V18" s="10">
        <f t="shared" si="0"/>
        <v>3.8337599924474723</v>
      </c>
      <c r="W18" s="10">
        <f t="shared" si="0"/>
        <v>4.6005119909369663</v>
      </c>
      <c r="X18" s="10">
        <f t="shared" si="0"/>
        <v>5.5206143891243595</v>
      </c>
      <c r="Y18" s="10">
        <f t="shared" si="0"/>
        <v>6.6247372669492313</v>
      </c>
      <c r="Z18" s="10">
        <f t="shared" si="0"/>
        <v>7.9496847203390768</v>
      </c>
      <c r="AA18" s="10">
        <f t="shared" si="0"/>
        <v>9.5396216644068925</v>
      </c>
      <c r="AB18" s="10">
        <f t="shared" si="0"/>
        <v>11.447545997288271</v>
      </c>
      <c r="AC18" s="10">
        <f t="shared" si="0"/>
        <v>13.737055196745926</v>
      </c>
      <c r="AD18" s="10">
        <f t="shared" si="0"/>
        <v>16.484466236095109</v>
      </c>
      <c r="AE18" s="10">
        <f t="shared" si="0"/>
        <v>19.78135948331413</v>
      </c>
    </row>
    <row r="19" spans="1:31" x14ac:dyDescent="0.2">
      <c r="A19" t="s">
        <v>4</v>
      </c>
      <c r="B19" s="7">
        <f>csinterpolate(CSTableU2,'5977000201'!B18*1000000)</f>
        <v>59.248808407164326</v>
      </c>
      <c r="C19" s="7">
        <f>csinterpolate(CSTableU2,'5977000201'!C18*1000000)</f>
        <v>68.864951256974138</v>
      </c>
      <c r="D19" s="7">
        <f>csinterpolate(CSTableU2,'5977000201'!D18*1000000)</f>
        <v>79.485580699079634</v>
      </c>
      <c r="E19" s="7">
        <f>csinterpolate(CSTableU2,'5977000201'!E18*1000000)</f>
        <v>91.163535835500838</v>
      </c>
      <c r="F19" s="7">
        <f>csinterpolate(CSTableU2,'5977000201'!F18*1000000)</f>
        <v>105.5759503250201</v>
      </c>
      <c r="G19" s="7">
        <f>csinterpolate(CSTableU2,'5977000201'!G18*1000000)</f>
        <v>122.27190030644392</v>
      </c>
      <c r="H19" s="7">
        <f>csinterpolate(CSTableU2,'5977000201'!H18*1000000)</f>
        <v>141.00265665846624</v>
      </c>
      <c r="I19" s="7">
        <f>csinterpolate(CSTableU2,'5977000201'!I18*1000000)</f>
        <v>181.91672258352278</v>
      </c>
      <c r="J19" s="7">
        <f>csinterpolate(CSTableU2,'5977000201'!J18*1000000)</f>
        <v>228.38607501768166</v>
      </c>
      <c r="K19" s="7">
        <f>csinterpolate(CSTableU2,'5977000201'!K18*1000000)</f>
        <v>297.76609948629834</v>
      </c>
      <c r="L19" s="7">
        <f>csinterpolate(CSTableU2,'5977000201'!L18*1000000)</f>
        <v>420.33232215009582</v>
      </c>
      <c r="M19" s="7">
        <f>csinterpolate(CSTableU2,'5977000201'!M18*1000000)</f>
        <v>582.46850164616819</v>
      </c>
      <c r="N19" s="7">
        <f>csinterpolate(CSTableU2,'5977000201'!N18*1000000)</f>
        <v>801.2985899010032</v>
      </c>
      <c r="O19" s="7">
        <f>csinterpolate(CSTableU2,'5977000201'!O18*1000000)</f>
        <v>1028.5085944867035</v>
      </c>
      <c r="P19" s="7">
        <f>csinterpolate(CSTableU2,'5977000201'!P18*1000000)</f>
        <v>1190.5974856755843</v>
      </c>
      <c r="Q19" s="7">
        <f>csinterpolate(CSTableU2,'5977000201'!Q18*1000000)</f>
        <v>1261.8359208118836</v>
      </c>
      <c r="R19" s="7">
        <f>csinterpolate(CSTableU2,'5977000201'!R18*1000000)</f>
        <v>1279.8524674272082</v>
      </c>
      <c r="S19" s="7">
        <f>csinterpolate(CSTableU2,'5977000201'!S18*1000000)</f>
        <v>1248.4148902603897</v>
      </c>
      <c r="T19" s="7">
        <f>csinterpolate(CSTableU2,'5977000201'!T18*1000000)</f>
        <v>1162.0589663922003</v>
      </c>
      <c r="U19" s="7">
        <f>csinterpolate(CSTableU2,'5977000201'!U18*1000000)</f>
        <v>1056.5316066103755</v>
      </c>
      <c r="V19" s="7">
        <f>csinterpolate(CSTableU2,'5977000201'!V18*1000000)</f>
        <v>946.76040172696185</v>
      </c>
      <c r="W19" s="7">
        <f>csinterpolate(CSTableU2,'5977000201'!W18*1000000)</f>
        <v>819.35116902636855</v>
      </c>
      <c r="X19" s="7">
        <f>csinterpolate(CSTableU2,'5977000201'!X18*1000000)</f>
        <v>686.67890868954134</v>
      </c>
      <c r="Y19" s="7">
        <f>csinterpolate(CSTableU2,'5977000201'!Y18*1000000)</f>
        <v>564.28279223793731</v>
      </c>
      <c r="Z19" s="7">
        <f>csinterpolate(CSTableU2,'5977000201'!Z18*1000000)</f>
        <v>451.51990184198286</v>
      </c>
      <c r="AA19" s="7">
        <f>csinterpolate(CSTableU2,'5977000201'!AA18*1000000)</f>
        <v>365.91471352305473</v>
      </c>
      <c r="AB19" s="7">
        <f>csinterpolate(CSTableU2,'5977000201'!AB18*1000000)</f>
        <v>263.8224117689868</v>
      </c>
      <c r="AC19" s="7">
        <f>csinterpolate(CSTableU2,'5977000201'!AC18*1000000)</f>
        <v>331.43930389874777</v>
      </c>
      <c r="AD19" s="7">
        <f>csinterpolate(CSTableU2,'5977000201'!AD18*1000000)</f>
        <v>1088.8397764078054</v>
      </c>
      <c r="AE19" s="7">
        <f>csinterpolate(CSTableU2,'5977000201'!AE18*1000000)</f>
        <v>3667.0135026368812</v>
      </c>
    </row>
    <row r="20" spans="1:31" x14ac:dyDescent="0.2">
      <c r="A20" t="s">
        <v>3</v>
      </c>
      <c r="B20" s="7">
        <f>csinterpolate(CSTableU1,'5977000201'!B18*1000000)</f>
        <v>2030.2942577372735</v>
      </c>
      <c r="C20" s="7">
        <f>csinterpolate(CSTableU1,'5977000201'!C18*1000000)</f>
        <v>2027.5466994253932</v>
      </c>
      <c r="D20" s="7">
        <f>csinterpolate(CSTableU1,'5977000201'!D18*1000000)</f>
        <v>2022.1874550233772</v>
      </c>
      <c r="E20" s="7">
        <f>csinterpolate(CSTableU1,'5977000201'!E18*1000000)</f>
        <v>2016.2098997614441</v>
      </c>
      <c r="F20" s="7">
        <f>csinterpolate(CSTableU1,'5977000201'!F18*1000000)</f>
        <v>2011.0540177311902</v>
      </c>
      <c r="G20" s="7">
        <f>csinterpolate(CSTableU1,'5977000201'!G18*1000000)</f>
        <v>2021.9590602970516</v>
      </c>
      <c r="H20" s="7">
        <f>csinterpolate(CSTableU1,'5977000201'!H18*1000000)</f>
        <v>2029.7429733655827</v>
      </c>
      <c r="I20" s="7">
        <f>csinterpolate(CSTableU1,'5977000201'!I18*1000000)</f>
        <v>2064.7222420350226</v>
      </c>
      <c r="J20" s="7">
        <f>csinterpolate(CSTableU1,'5977000201'!J18*1000000)</f>
        <v>2114.4715793316873</v>
      </c>
      <c r="K20" s="7">
        <f>csinterpolate(CSTableU1,'5977000201'!K18*1000000)</f>
        <v>2154.2222822610556</v>
      </c>
      <c r="L20" s="7">
        <f>csinterpolate(CSTableU1,'5977000201'!L18*1000000)</f>
        <v>2191.2488384669437</v>
      </c>
      <c r="M20" s="7">
        <f>csinterpolate(CSTableU1,'5977000201'!M18*1000000)</f>
        <v>2184.510857224956</v>
      </c>
      <c r="N20" s="7">
        <f>csinterpolate(CSTableU1,'5977000201'!N18*1000000)</f>
        <v>2101.1520192874295</v>
      </c>
      <c r="O20" s="7">
        <f>csinterpolate(CSTableU1,'5977000201'!O18*1000000)</f>
        <v>2018.7454170640383</v>
      </c>
      <c r="P20" s="7">
        <f>csinterpolate(CSTableU1,'5977000201'!P18*1000000)</f>
        <v>1754.1278350181403</v>
      </c>
      <c r="Q20" s="7">
        <f>csinterpolate(CSTableU1,'5977000201'!Q18*1000000)</f>
        <v>1452.9538906826708</v>
      </c>
      <c r="R20" s="7">
        <f>csinterpolate(CSTableU1,'5977000201'!R18*1000000)</f>
        <v>1162.5212943712529</v>
      </c>
      <c r="S20" s="7">
        <f>csinterpolate(CSTableU1,'5977000201'!S18*1000000)</f>
        <v>892.87035664701818</v>
      </c>
      <c r="T20" s="7">
        <f>csinterpolate(CSTableU1,'5977000201'!T18*1000000)</f>
        <v>660.80385522949496</v>
      </c>
      <c r="U20" s="7">
        <f>csinterpolate(CSTableU1,'5977000201'!U18*1000000)</f>
        <v>459.51133196270598</v>
      </c>
      <c r="V20" s="7">
        <f>csinterpolate(CSTableU1,'5977000201'!V18*1000000)</f>
        <v>296.51958692775042</v>
      </c>
      <c r="W20" s="7">
        <f>csinterpolate(CSTableU1,'5977000201'!W18*1000000)</f>
        <v>167.48634683702952</v>
      </c>
      <c r="X20" s="7">
        <f>csinterpolate(CSTableU1,'5977000201'!X18*1000000)</f>
        <v>69.309069378826194</v>
      </c>
      <c r="Y20" s="7">
        <f>csinterpolate(CSTableU1,'5977000201'!Y18*1000000)</f>
        <v>15.284248068409653</v>
      </c>
      <c r="Z20" s="7">
        <f>csinterpolate(CSTableU1,'5977000201'!Z18*1000000)</f>
        <v>3.1582125642486871</v>
      </c>
      <c r="AA20" s="7">
        <f>csinterpolate(CSTableU1,'5977000201'!AA18*1000000)</f>
        <v>0.58573450442711528</v>
      </c>
      <c r="AB20" s="7">
        <f>csinterpolate(CSTableU1,'5977000201'!AB18*1000000)</f>
        <v>-0.99496644685527613</v>
      </c>
      <c r="AC20" s="7">
        <f>csinterpolate(CSTableU1,'5977000201'!AC18*1000000)</f>
        <v>-15.564407249196197</v>
      </c>
      <c r="AD20" s="7">
        <f>csinterpolate(CSTableU1,'5977000201'!AD18*1000000)</f>
        <v>-78.12253864813097</v>
      </c>
      <c r="AE20" s="7">
        <f>csinterpolate(CSTableU1,'5977000201'!AE18*1000000)</f>
        <v>-264.455828152935</v>
      </c>
    </row>
    <row r="21" spans="1:31" x14ac:dyDescent="0.2">
      <c r="A21" t="s">
        <v>10</v>
      </c>
      <c r="B21" s="5">
        <f t="shared" ref="B21:AE21" si="1">B19/$B$13*$B$16*B18*1000000</f>
        <v>0.81899673339394508</v>
      </c>
      <c r="C21" s="5">
        <f t="shared" si="1"/>
        <v>1.1423048997820897</v>
      </c>
      <c r="D21" s="5">
        <f t="shared" si="1"/>
        <v>1.5821709006505071</v>
      </c>
      <c r="E21" s="5">
        <f t="shared" si="1"/>
        <v>2.1775465536884617</v>
      </c>
      <c r="F21" s="5">
        <f t="shared" si="1"/>
        <v>3.0261645032829745</v>
      </c>
      <c r="G21" s="5">
        <f t="shared" si="1"/>
        <v>4.2056724091106945</v>
      </c>
      <c r="H21" s="5">
        <f t="shared" si="1"/>
        <v>5.8199240993253838</v>
      </c>
      <c r="I21" s="5">
        <f t="shared" si="1"/>
        <v>9.0103963393988824</v>
      </c>
      <c r="J21" s="5">
        <f t="shared" si="1"/>
        <v>13.574446758389795</v>
      </c>
      <c r="K21" s="5">
        <f t="shared" si="1"/>
        <v>21.237775010322622</v>
      </c>
      <c r="L21" s="5">
        <f t="shared" si="1"/>
        <v>35.975579366989507</v>
      </c>
      <c r="M21" s="5">
        <f t="shared" si="1"/>
        <v>59.823070572033288</v>
      </c>
      <c r="N21" s="5">
        <f t="shared" si="1"/>
        <v>98.75790767900763</v>
      </c>
      <c r="O21" s="5">
        <f t="shared" si="1"/>
        <v>152.11311953103422</v>
      </c>
      <c r="P21" s="5">
        <f t="shared" si="1"/>
        <v>211.30265546372388</v>
      </c>
      <c r="Q21" s="5">
        <f t="shared" si="1"/>
        <v>268.7349342174395</v>
      </c>
      <c r="R21" s="5">
        <f t="shared" si="1"/>
        <v>327.08633156118907</v>
      </c>
      <c r="S21" s="5">
        <f t="shared" si="1"/>
        <v>382.8623599491803</v>
      </c>
      <c r="T21" s="5">
        <f t="shared" si="1"/>
        <v>427.65459631474818</v>
      </c>
      <c r="U21" s="5">
        <f t="shared" si="1"/>
        <v>466.58279221906974</v>
      </c>
      <c r="V21" s="5">
        <f t="shared" si="1"/>
        <v>501.72709537855019</v>
      </c>
      <c r="W21" s="5">
        <f t="shared" si="1"/>
        <v>521.0492725053889</v>
      </c>
      <c r="X21" s="5">
        <f t="shared" si="1"/>
        <v>524.0149415923496</v>
      </c>
      <c r="Y21" s="5">
        <f t="shared" si="1"/>
        <v>516.73516225584524</v>
      </c>
      <c r="Z21" s="5">
        <f t="shared" si="1"/>
        <v>496.16868623208921</v>
      </c>
      <c r="AA21" s="5">
        <f t="shared" si="1"/>
        <v>482.51806028766487</v>
      </c>
      <c r="AB21" s="5">
        <f t="shared" si="1"/>
        <v>417.47130798280256</v>
      </c>
      <c r="AC21" s="5">
        <f t="shared" si="1"/>
        <v>629.36154114160183</v>
      </c>
      <c r="AD21" s="5">
        <f t="shared" si="1"/>
        <v>2481.0837037443439</v>
      </c>
      <c r="AE21" s="5">
        <f t="shared" si="1"/>
        <v>10027.004126706637</v>
      </c>
    </row>
    <row r="22" spans="1:31" x14ac:dyDescent="0.2">
      <c r="A22" t="s">
        <v>11</v>
      </c>
      <c r="B22" s="5">
        <f t="shared" ref="B22:AE22" si="2">B20/$B$13*$B$16*B18*1000000</f>
        <v>28.064773108825026</v>
      </c>
      <c r="C22" s="5">
        <f t="shared" si="2"/>
        <v>33.63215230702825</v>
      </c>
      <c r="D22" s="5">
        <f t="shared" si="2"/>
        <v>40.251906306265944</v>
      </c>
      <c r="E22" s="5">
        <f t="shared" si="2"/>
        <v>48.159506742479685</v>
      </c>
      <c r="F22" s="5">
        <f t="shared" si="2"/>
        <v>57.643623040165899</v>
      </c>
      <c r="G22" s="5">
        <f t="shared" si="2"/>
        <v>69.547438217041758</v>
      </c>
      <c r="H22" s="5">
        <f t="shared" si="2"/>
        <v>83.778209049917422</v>
      </c>
      <c r="I22" s="5">
        <f t="shared" si="2"/>
        <v>102.2663857797144</v>
      </c>
      <c r="J22" s="5">
        <f t="shared" si="2"/>
        <v>125.6765845883739</v>
      </c>
      <c r="K22" s="5">
        <f t="shared" si="2"/>
        <v>153.64706805715215</v>
      </c>
      <c r="L22" s="5">
        <f t="shared" si="2"/>
        <v>187.54552611574155</v>
      </c>
      <c r="M22" s="5">
        <f t="shared" si="2"/>
        <v>224.36259953594558</v>
      </c>
      <c r="N22" s="5">
        <f t="shared" si="2"/>
        <v>258.96136565769416</v>
      </c>
      <c r="O22" s="5">
        <f t="shared" si="2"/>
        <v>298.5659668520733</v>
      </c>
      <c r="P22" s="5">
        <f t="shared" si="2"/>
        <v>311.31585109290387</v>
      </c>
      <c r="Q22" s="5">
        <f t="shared" si="2"/>
        <v>309.43759152327272</v>
      </c>
      <c r="R22" s="5">
        <f t="shared" si="2"/>
        <v>297.10051370376777</v>
      </c>
      <c r="S22" s="5">
        <f t="shared" si="2"/>
        <v>273.82439487183836</v>
      </c>
      <c r="T22" s="5">
        <f t="shared" si="2"/>
        <v>243.1854270087199</v>
      </c>
      <c r="U22" s="5">
        <f t="shared" si="2"/>
        <v>202.92822191218082</v>
      </c>
      <c r="V22" s="5">
        <f t="shared" si="2"/>
        <v>157.13786804004121</v>
      </c>
      <c r="W22" s="5">
        <f t="shared" si="2"/>
        <v>106.50944609955268</v>
      </c>
      <c r="X22" s="5">
        <f t="shared" si="2"/>
        <v>52.890787066224163</v>
      </c>
      <c r="Y22" s="5">
        <f t="shared" si="2"/>
        <v>13.996365854548321</v>
      </c>
      <c r="Z22" s="5">
        <f t="shared" si="2"/>
        <v>3.4705140846556732</v>
      </c>
      <c r="AA22" s="5">
        <f t="shared" si="2"/>
        <v>0.77238620496718891</v>
      </c>
      <c r="AB22" s="5">
        <f t="shared" si="2"/>
        <v>-1.5744300917519771</v>
      </c>
      <c r="AC22" s="5">
        <f t="shared" si="2"/>
        <v>-29.554851274676018</v>
      </c>
      <c r="AD22" s="5">
        <f t="shared" si="2"/>
        <v>-178.0138471561682</v>
      </c>
      <c r="AE22" s="5">
        <f t="shared" si="2"/>
        <v>-723.12242055130491</v>
      </c>
    </row>
    <row r="23" spans="1:31" x14ac:dyDescent="0.2">
      <c r="A23" t="s">
        <v>12</v>
      </c>
      <c r="B23" s="5" t="str">
        <f t="shared" ref="B23:AE23" si="3">IMDIV(1,COMPLEX(B21,B22))</f>
        <v>0.00103893746120584-0.0356015389733861i</v>
      </c>
      <c r="C23" s="5" t="str">
        <f t="shared" si="3"/>
        <v>0.00100872318886868-0.0296991914594208i</v>
      </c>
      <c r="D23" s="5" t="str">
        <f t="shared" si="3"/>
        <v>0.000975012112541777-0.024805219325782i</v>
      </c>
      <c r="E23" s="5" t="str">
        <f t="shared" si="3"/>
        <v>0.000936949994114801-0.0207219677955936i</v>
      </c>
      <c r="F23" s="5" t="str">
        <f t="shared" si="3"/>
        <v>0.000908227641748689-0.0173002927497246i</v>
      </c>
      <c r="G23" s="5" t="str">
        <f t="shared" si="3"/>
        <v>0.000866339085307752-0.0143262855851366i</v>
      </c>
      <c r="H23" s="5" t="str">
        <f t="shared" si="3"/>
        <v>0.000825209813198317-0.0118789522097351i</v>
      </c>
      <c r="I23" s="5" t="str">
        <f t="shared" si="3"/>
        <v>0.000854908684174496-0.00970306055460924i</v>
      </c>
      <c r="J23" s="5" t="str">
        <f t="shared" si="3"/>
        <v>0.000849524851717001-0.00786517371846115i</v>
      </c>
      <c r="K23" s="5" t="str">
        <f t="shared" si="3"/>
        <v>0.000882756873917082-0.00638640372726109i</v>
      </c>
      <c r="L23" s="5" t="str">
        <f t="shared" si="3"/>
        <v>0.000986508907649595-0.00514280340604537i</v>
      </c>
      <c r="M23" s="5" t="str">
        <f t="shared" si="3"/>
        <v>0.0011095323100667-0.00416122995652557i</v>
      </c>
      <c r="N23" s="5" t="str">
        <f t="shared" si="3"/>
        <v>0.00128567399300926-0.00337127325644049i</v>
      </c>
      <c r="O23" s="5" t="str">
        <f t="shared" si="3"/>
        <v>0.00135476548327483-0.00265911886902854i</v>
      </c>
      <c r="P23" s="5" t="str">
        <f t="shared" si="3"/>
        <v>0.00149260487114355-0.00219908053112585i</v>
      </c>
      <c r="Q23" s="5" t="str">
        <f t="shared" si="3"/>
        <v>0.00159989756242141-0.00184221842925366i</v>
      </c>
      <c r="R23" s="5" t="str">
        <f t="shared" si="3"/>
        <v>0.0016751821939778-0.00152160895260493i</v>
      </c>
      <c r="S23" s="5" t="str">
        <f t="shared" si="3"/>
        <v>0.00172800374216365-0.00123587385058443i</v>
      </c>
      <c r="T23" s="5" t="str">
        <f t="shared" si="3"/>
        <v>0.00176696619028695-0.00100478384003769i</v>
      </c>
      <c r="U23" s="5" t="str">
        <f t="shared" si="3"/>
        <v>0.00180231742989796-0.000783871753244604i</v>
      </c>
      <c r="V23" s="5" t="str">
        <f t="shared" si="3"/>
        <v>0.00181507402260387-0.000568470120258582i</v>
      </c>
      <c r="W23" s="5" t="str">
        <f t="shared" si="3"/>
        <v>0.00184222713946914-0.000376575887479802i</v>
      </c>
      <c r="X23" s="5" t="str">
        <f t="shared" si="3"/>
        <v>0.00188909712829655-0.000190673635481709i</v>
      </c>
      <c r="Y23" s="5" t="str">
        <f t="shared" si="3"/>
        <v>0.00193380855679488-0.0000523794276654163i</v>
      </c>
      <c r="Z23" s="5" t="str">
        <f t="shared" si="3"/>
        <v>0.00201534499325819-0.0000140965832359505i</v>
      </c>
      <c r="AA23" s="5" t="str">
        <f t="shared" si="3"/>
        <v>0.00207245597613532-3.31746423214586E-06i</v>
      </c>
      <c r="AB23" s="5" t="str">
        <f t="shared" si="3"/>
        <v>0.00239534012998217+0.00000903366413095i</v>
      </c>
      <c r="AC23" s="5" t="str">
        <f t="shared" si="3"/>
        <v>0.00158541560075625+0.0000744512005037809i</v>
      </c>
      <c r="AD23" s="5" t="str">
        <f t="shared" si="3"/>
        <v>0.000400985475241886+0.0000287700761541529i</v>
      </c>
      <c r="AE23" s="5" t="str">
        <f t="shared" si="3"/>
        <v>0.0000992146770944426+7.15511398500981E-06i</v>
      </c>
    </row>
    <row r="24" spans="1:31" x14ac:dyDescent="0.2">
      <c r="A24" t="s">
        <v>13</v>
      </c>
      <c r="B24" s="6" t="str">
        <f t="shared" ref="B24:AE24" si="4">COMPLEX(0,2*PI()*B18*1000000*$B$9*0.000000000001)</f>
        <v>3.14159265358979E-06i</v>
      </c>
      <c r="C24" s="6" t="str">
        <f t="shared" si="4"/>
        <v>3.76991118430775E-06i</v>
      </c>
      <c r="D24" s="6" t="str">
        <f t="shared" si="4"/>
        <v>0.0000045238934211693i</v>
      </c>
      <c r="E24" s="6" t="str">
        <f t="shared" si="4"/>
        <v>5.42867210540316E-06i</v>
      </c>
      <c r="F24" s="6" t="str">
        <f t="shared" si="4"/>
        <v>6.51440652648379E-06i</v>
      </c>
      <c r="G24" s="6" t="str">
        <f t="shared" si="4"/>
        <v>7.81728783178055E-06i</v>
      </c>
      <c r="H24" s="6" t="str">
        <f t="shared" si="4"/>
        <v>9.38074539813666E-06i</v>
      </c>
      <c r="I24" s="6" t="str">
        <f t="shared" si="4"/>
        <v>0.000011256894477764i</v>
      </c>
      <c r="J24" s="6" t="str">
        <f t="shared" si="4"/>
        <v>0.0000135082733733168i</v>
      </c>
      <c r="K24" s="6" t="str">
        <f t="shared" si="4"/>
        <v>0.0000162099280479802i</v>
      </c>
      <c r="L24" s="6" t="str">
        <f t="shared" si="4"/>
        <v>0.0000194519136575762i</v>
      </c>
      <c r="M24" s="6" t="str">
        <f t="shared" si="4"/>
        <v>0.0000233422963890914i</v>
      </c>
      <c r="N24" s="6" t="str">
        <f t="shared" si="4"/>
        <v>0.0000280107556669097i</v>
      </c>
      <c r="O24" s="6" t="str">
        <f t="shared" si="4"/>
        <v>0.0000336129068002916i</v>
      </c>
      <c r="P24" s="6" t="str">
        <f t="shared" si="4"/>
        <v>0.00004033548816035i</v>
      </c>
      <c r="Q24" s="6" t="str">
        <f t="shared" si="4"/>
        <v>0.00004840258579242i</v>
      </c>
      <c r="R24" s="6" t="str">
        <f t="shared" si="4"/>
        <v>0.0000580831029509039i</v>
      </c>
      <c r="S24" s="6" t="str">
        <f t="shared" si="4"/>
        <v>0.0000696997235410847i</v>
      </c>
      <c r="T24" s="6" t="str">
        <f t="shared" si="4"/>
        <v>0.0000836396682493017i</v>
      </c>
      <c r="U24" s="6" t="str">
        <f t="shared" si="4"/>
        <v>0.000100367601899162i</v>
      </c>
      <c r="V24" s="6" t="str">
        <f t="shared" si="4"/>
        <v>0.000120441122278994i</v>
      </c>
      <c r="W24" s="6" t="str">
        <f t="shared" si="4"/>
        <v>0.000144529346734793i</v>
      </c>
      <c r="X24" s="6" t="str">
        <f t="shared" si="4"/>
        <v>0.000173435216081752i</v>
      </c>
      <c r="Y24" s="6" t="str">
        <f t="shared" si="4"/>
        <v>0.000208122259298102i</v>
      </c>
      <c r="Z24" s="6" t="str">
        <f t="shared" si="4"/>
        <v>0.000249746711157723i</v>
      </c>
      <c r="AA24" s="6" t="str">
        <f t="shared" si="4"/>
        <v>0.000299696053389267i</v>
      </c>
      <c r="AB24" s="6" t="str">
        <f t="shared" si="4"/>
        <v>0.000359635264067121i</v>
      </c>
      <c r="AC24" s="6" t="str">
        <f t="shared" si="4"/>
        <v>0.000431562316880545i</v>
      </c>
      <c r="AD24" s="6" t="str">
        <f t="shared" si="4"/>
        <v>0.000517874780256654i</v>
      </c>
      <c r="AE24" s="6" t="str">
        <f t="shared" si="4"/>
        <v>0.000621449736307984i</v>
      </c>
    </row>
    <row r="25" spans="1:31" x14ac:dyDescent="0.2">
      <c r="A25" t="s">
        <v>14</v>
      </c>
      <c r="B25" s="6" t="str">
        <f t="shared" ref="B25:AE25" si="5">IMDIV(1,IMSUM(B23,B24))</f>
        <v>0.819141171237706+28.067245636512i</v>
      </c>
      <c r="C25" s="6" t="str">
        <f t="shared" si="5"/>
        <v>1.14259462105587+33.6364121549095i</v>
      </c>
      <c r="D25" s="6" t="str">
        <f t="shared" si="5"/>
        <v>1.58274726987347+40.2592259948469i</v>
      </c>
      <c r="E25" s="6" t="str">
        <f t="shared" si="5"/>
        <v>2.1786856050549+48.1720751997466i</v>
      </c>
      <c r="F25" s="6" t="str">
        <f t="shared" si="5"/>
        <v>3.0284385171508+57.6652174346632i</v>
      </c>
      <c r="G25" s="6" t="str">
        <f t="shared" si="5"/>
        <v>4.21024915213421+69.5851313082258i</v>
      </c>
      <c r="H25" s="6" t="str">
        <f t="shared" si="5"/>
        <v>5.82908265767354+83.843783811325i</v>
      </c>
      <c r="I25" s="6" t="str">
        <f t="shared" si="5"/>
        <v>9.0311776958625+102.383333645249i</v>
      </c>
      <c r="J25" s="6" t="str">
        <f t="shared" si="5"/>
        <v>13.6206538951178+125.887803413458i</v>
      </c>
      <c r="K25" s="6" t="str">
        <f t="shared" si="5"/>
        <v>21.3439589477109+154.023331855854i</v>
      </c>
      <c r="L25" s="6" t="str">
        <f t="shared" si="5"/>
        <v>36.2394912979732+188.206766695303i</v>
      </c>
      <c r="M25" s="6" t="str">
        <f t="shared" si="5"/>
        <v>60.454511843639+225.458940030625i</v>
      </c>
      <c r="N25" s="6" t="str">
        <f t="shared" si="5"/>
        <v>100.205591745547+260.574297273119i</v>
      </c>
      <c r="O25" s="6" t="str">
        <f t="shared" si="5"/>
        <v>155.20867633143+300.791029981576i</v>
      </c>
      <c r="P25" s="6" t="str">
        <f t="shared" si="5"/>
        <v>216.694853804678+313.404404963913i</v>
      </c>
      <c r="Q25" s="6" t="str">
        <f t="shared" si="5"/>
        <v>276.921177570835+310.485875711126i</v>
      </c>
      <c r="R25" s="6" t="str">
        <f t="shared" si="5"/>
        <v>338.547631686145+295.77272973234i</v>
      </c>
      <c r="S25" s="6" t="str">
        <f t="shared" si="5"/>
        <v>397.611604532535+268.335278740456i</v>
      </c>
      <c r="T25" s="6" t="str">
        <f t="shared" si="5"/>
        <v>445.003859424475+231.986731713087i</v>
      </c>
      <c r="U25" s="6" t="str">
        <f t="shared" si="5"/>
        <v>485.07732391853+183.958918180481i</v>
      </c>
      <c r="V25" s="6" t="str">
        <f t="shared" si="5"/>
        <v>519.301247443773+128.18321161801i</v>
      </c>
      <c r="W25" s="6" t="str">
        <f t="shared" si="5"/>
        <v>534.343406907554+67.3057824881087i</v>
      </c>
      <c r="X25" s="6" t="str">
        <f t="shared" si="5"/>
        <v>529.309331102142+4.83006199372988i</v>
      </c>
      <c r="Y25" s="6" t="str">
        <f t="shared" si="5"/>
        <v>513.781787370006-41.3783619506421i</v>
      </c>
      <c r="Z25" s="6" t="str">
        <f t="shared" si="5"/>
        <v>489.500441664329-57.2362757154924i</v>
      </c>
      <c r="AA25" s="6" t="str">
        <f t="shared" si="5"/>
        <v>472.84887558532-67.6213556496592i</v>
      </c>
      <c r="AB25" s="6" t="str">
        <f t="shared" si="5"/>
        <v>407.816655710733-62.7674239162506i</v>
      </c>
      <c r="AC25" s="6" t="str">
        <f t="shared" si="5"/>
        <v>572.436454567042-182.703250627982i</v>
      </c>
      <c r="AD25" s="6" t="str">
        <f t="shared" si="5"/>
        <v>872.447332563104-1189.36688803318i</v>
      </c>
      <c r="AE25" s="6" t="str">
        <f t="shared" si="5"/>
        <v>244.982006001488-1552.15822615088i</v>
      </c>
    </row>
    <row r="26" spans="1:31" x14ac:dyDescent="0.2">
      <c r="A26" t="s">
        <v>6</v>
      </c>
      <c r="B26" s="5">
        <f t="shared" ref="B26:AE26" si="6">IMREAL(B25)</f>
        <v>0.81914117123770602</v>
      </c>
      <c r="C26" s="5">
        <f t="shared" si="6"/>
        <v>1.14259462105587</v>
      </c>
      <c r="D26" s="5">
        <f t="shared" si="6"/>
        <v>1.5827472698734699</v>
      </c>
      <c r="E26" s="5">
        <f t="shared" si="6"/>
        <v>2.1786856050549002</v>
      </c>
      <c r="F26" s="5">
        <f t="shared" si="6"/>
        <v>3.0284385171507999</v>
      </c>
      <c r="G26" s="5">
        <f t="shared" si="6"/>
        <v>4.2102491521342102</v>
      </c>
      <c r="H26" s="5">
        <f t="shared" si="6"/>
        <v>5.8290826576735402</v>
      </c>
      <c r="I26" s="5">
        <f t="shared" si="6"/>
        <v>9.0311776958624996</v>
      </c>
      <c r="J26" s="5">
        <f t="shared" si="6"/>
        <v>13.620653895117799</v>
      </c>
      <c r="K26" s="5">
        <f t="shared" si="6"/>
        <v>21.343958947710899</v>
      </c>
      <c r="L26" s="5">
        <f t="shared" si="6"/>
        <v>36.239491297973203</v>
      </c>
      <c r="M26" s="5">
        <f t="shared" si="6"/>
        <v>60.454511843638997</v>
      </c>
      <c r="N26" s="5">
        <f t="shared" si="6"/>
        <v>100.205591745547</v>
      </c>
      <c r="O26" s="5">
        <f t="shared" si="6"/>
        <v>155.20867633143001</v>
      </c>
      <c r="P26" s="5">
        <f t="shared" si="6"/>
        <v>216.69485380467799</v>
      </c>
      <c r="Q26" s="5">
        <f t="shared" si="6"/>
        <v>276.92117757083503</v>
      </c>
      <c r="R26" s="5">
        <f t="shared" si="6"/>
        <v>338.547631686145</v>
      </c>
      <c r="S26" s="5">
        <f t="shared" si="6"/>
        <v>397.61160453253501</v>
      </c>
      <c r="T26" s="5">
        <f t="shared" si="6"/>
        <v>445.00385942447502</v>
      </c>
      <c r="U26" s="5">
        <f t="shared" si="6"/>
        <v>485.07732391853</v>
      </c>
      <c r="V26" s="5">
        <f t="shared" si="6"/>
        <v>519.30124744377304</v>
      </c>
      <c r="W26" s="5">
        <f t="shared" si="6"/>
        <v>534.34340690755403</v>
      </c>
      <c r="X26" s="5">
        <f t="shared" si="6"/>
        <v>529.30933110214198</v>
      </c>
      <c r="Y26" s="5">
        <f t="shared" si="6"/>
        <v>513.78178737000599</v>
      </c>
      <c r="Z26" s="5">
        <f t="shared" si="6"/>
        <v>489.500441664329</v>
      </c>
      <c r="AA26" s="5">
        <f t="shared" si="6"/>
        <v>472.84887558532</v>
      </c>
      <c r="AB26" s="5">
        <f t="shared" si="6"/>
        <v>407.81665571073302</v>
      </c>
      <c r="AC26" s="5">
        <f t="shared" si="6"/>
        <v>572.43645456704201</v>
      </c>
      <c r="AD26" s="5">
        <f t="shared" si="6"/>
        <v>872.44733256310406</v>
      </c>
      <c r="AE26" s="5">
        <f t="shared" si="6"/>
        <v>244.982006001488</v>
      </c>
    </row>
    <row r="27" spans="1:31" x14ac:dyDescent="0.2">
      <c r="A27" t="s">
        <v>7</v>
      </c>
      <c r="B27" s="5">
        <f t="shared" ref="B27:AE27" si="7">IMAGINARY(B25)</f>
        <v>28.067245636511998</v>
      </c>
      <c r="C27" s="5">
        <f t="shared" si="7"/>
        <v>33.6364121549095</v>
      </c>
      <c r="D27" s="5">
        <f t="shared" si="7"/>
        <v>40.259225994846901</v>
      </c>
      <c r="E27" s="5">
        <f t="shared" si="7"/>
        <v>48.172075199746601</v>
      </c>
      <c r="F27" s="5">
        <f t="shared" si="7"/>
        <v>57.665217434663198</v>
      </c>
      <c r="G27" s="5">
        <f t="shared" si="7"/>
        <v>69.585131308225797</v>
      </c>
      <c r="H27" s="5">
        <f t="shared" si="7"/>
        <v>83.843783811324997</v>
      </c>
      <c r="I27" s="5">
        <f t="shared" si="7"/>
        <v>102.383333645249</v>
      </c>
      <c r="J27" s="5">
        <f t="shared" si="7"/>
        <v>125.887803413458</v>
      </c>
      <c r="K27" s="5">
        <f t="shared" si="7"/>
        <v>154.023331855854</v>
      </c>
      <c r="L27" s="5">
        <f t="shared" si="7"/>
        <v>188.206766695303</v>
      </c>
      <c r="M27" s="5">
        <f t="shared" si="7"/>
        <v>225.458940030625</v>
      </c>
      <c r="N27" s="5">
        <f t="shared" si="7"/>
        <v>260.57429727311899</v>
      </c>
      <c r="O27" s="5">
        <f t="shared" si="7"/>
        <v>300.791029981576</v>
      </c>
      <c r="P27" s="5">
        <f t="shared" si="7"/>
        <v>313.40440496391301</v>
      </c>
      <c r="Q27" s="5">
        <f t="shared" si="7"/>
        <v>310.48587571112603</v>
      </c>
      <c r="R27" s="5">
        <f t="shared" si="7"/>
        <v>295.77272973234</v>
      </c>
      <c r="S27" s="5">
        <f t="shared" si="7"/>
        <v>268.33527874045598</v>
      </c>
      <c r="T27" s="5">
        <f t="shared" si="7"/>
        <v>231.98673171308701</v>
      </c>
      <c r="U27" s="5">
        <f t="shared" si="7"/>
        <v>183.95891818048099</v>
      </c>
      <c r="V27" s="5">
        <f t="shared" si="7"/>
        <v>128.18321161801001</v>
      </c>
      <c r="W27" s="5">
        <f t="shared" si="7"/>
        <v>67.305782488108704</v>
      </c>
      <c r="X27" s="5">
        <f t="shared" si="7"/>
        <v>4.8300619937298803</v>
      </c>
      <c r="Y27" s="5">
        <f t="shared" si="7"/>
        <v>-41.378361950642102</v>
      </c>
      <c r="Z27" s="5">
        <f t="shared" si="7"/>
        <v>-57.236275715492397</v>
      </c>
      <c r="AA27" s="5">
        <f t="shared" si="7"/>
        <v>-67.621355649659193</v>
      </c>
      <c r="AB27" s="5">
        <f t="shared" si="7"/>
        <v>-62.7674239162506</v>
      </c>
      <c r="AC27" s="5">
        <f t="shared" si="7"/>
        <v>-182.70325062798199</v>
      </c>
      <c r="AD27" s="5">
        <f t="shared" si="7"/>
        <v>-1189.36688803318</v>
      </c>
      <c r="AE27" s="5">
        <f t="shared" si="7"/>
        <v>-1552.15822615088</v>
      </c>
    </row>
    <row r="28" spans="1:31" x14ac:dyDescent="0.2">
      <c r="A28" t="s">
        <v>15</v>
      </c>
      <c r="B28" s="5">
        <f t="shared" ref="B28:AE28" si="8">IMABS(B25)</f>
        <v>28.079196389475225</v>
      </c>
      <c r="C28" s="5">
        <f t="shared" si="8"/>
        <v>33.655812946993407</v>
      </c>
      <c r="D28" s="5">
        <f t="shared" si="8"/>
        <v>40.290325968207902</v>
      </c>
      <c r="E28" s="5">
        <f t="shared" si="8"/>
        <v>48.221317900029604</v>
      </c>
      <c r="F28" s="5">
        <f t="shared" si="8"/>
        <v>57.744685830292184</v>
      </c>
      <c r="G28" s="5">
        <f t="shared" si="8"/>
        <v>69.712385535900808</v>
      </c>
      <c r="H28" s="5">
        <f t="shared" si="8"/>
        <v>84.046167601088129</v>
      </c>
      <c r="I28" s="5">
        <f t="shared" si="8"/>
        <v>102.78087944208602</v>
      </c>
      <c r="J28" s="5">
        <f t="shared" si="8"/>
        <v>126.6225148257451</v>
      </c>
      <c r="K28" s="5">
        <f t="shared" si="8"/>
        <v>155.49518108140873</v>
      </c>
      <c r="L28" s="5">
        <f t="shared" si="8"/>
        <v>191.6639970350094</v>
      </c>
      <c r="M28" s="5">
        <f t="shared" si="8"/>
        <v>233.42339566115825</v>
      </c>
      <c r="N28" s="5">
        <f t="shared" si="8"/>
        <v>279.17758688056432</v>
      </c>
      <c r="O28" s="5">
        <f t="shared" si="8"/>
        <v>338.47448489647184</v>
      </c>
      <c r="P28" s="5">
        <f t="shared" si="8"/>
        <v>381.02359600976831</v>
      </c>
      <c r="Q28" s="5">
        <f t="shared" si="8"/>
        <v>416.03703873972898</v>
      </c>
      <c r="R28" s="5">
        <f t="shared" si="8"/>
        <v>449.55089430855048</v>
      </c>
      <c r="S28" s="5">
        <f t="shared" si="8"/>
        <v>479.6861576861013</v>
      </c>
      <c r="T28" s="5">
        <f t="shared" si="8"/>
        <v>501.84288237813809</v>
      </c>
      <c r="U28" s="5">
        <f t="shared" si="8"/>
        <v>518.78790826126169</v>
      </c>
      <c r="V28" s="5">
        <f t="shared" si="8"/>
        <v>534.8875782230939</v>
      </c>
      <c r="W28" s="5">
        <f t="shared" si="8"/>
        <v>538.56563654016065</v>
      </c>
      <c r="X28" s="5">
        <f t="shared" si="8"/>
        <v>529.33136832296293</v>
      </c>
      <c r="Y28" s="5">
        <f t="shared" si="8"/>
        <v>515.44533548266429</v>
      </c>
      <c r="Z28" s="5">
        <f t="shared" si="8"/>
        <v>492.83534131325541</v>
      </c>
      <c r="AA28" s="5">
        <f t="shared" si="8"/>
        <v>477.65961403723378</v>
      </c>
      <c r="AB28" s="5">
        <f t="shared" si="8"/>
        <v>412.61867890362026</v>
      </c>
      <c r="AC28" s="5">
        <f t="shared" si="8"/>
        <v>600.88598944168803</v>
      </c>
      <c r="AD28" s="5">
        <f t="shared" si="8"/>
        <v>1475.0450645475908</v>
      </c>
      <c r="AE28" s="5">
        <f t="shared" si="8"/>
        <v>1571.372439071132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0"/>
  <sheetViews>
    <sheetView topLeftCell="A53" workbookViewId="0">
      <selection activeCell="A71" sqref="A71:IV144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4" t="s">
        <v>31</v>
      </c>
    </row>
    <row r="2" spans="1:16" x14ac:dyDescent="0.2">
      <c r="A2" t="s">
        <v>29</v>
      </c>
      <c r="B2">
        <v>2000</v>
      </c>
    </row>
    <row r="5" spans="1:16" x14ac:dyDescent="0.2">
      <c r="A5" s="14" t="s">
        <v>32</v>
      </c>
      <c r="E5" s="15" t="s">
        <v>0</v>
      </c>
      <c r="F5" s="15"/>
      <c r="G5" s="15"/>
      <c r="J5" s="14" t="s">
        <v>30</v>
      </c>
      <c r="N5" s="15" t="s">
        <v>0</v>
      </c>
      <c r="O5" s="15"/>
      <c r="P5" s="15"/>
    </row>
    <row r="6" spans="1:16" x14ac:dyDescent="0.2">
      <c r="A6">
        <v>10000</v>
      </c>
      <c r="B6">
        <v>1990.39</v>
      </c>
      <c r="E6">
        <f t="array" ref="E6:G58">cstable(A6:A58,B6:B58)</f>
        <v>10000</v>
      </c>
      <c r="F6">
        <v>1990.39</v>
      </c>
      <c r="G6">
        <v>0</v>
      </c>
      <c r="J6">
        <v>10000</v>
      </c>
      <c r="K6">
        <v>14.281700000000001</v>
      </c>
      <c r="N6">
        <f t="array" ref="N6:P58">cstable(Mix!J6:J58,Mix!K6:K58)</f>
        <v>10000</v>
      </c>
      <c r="O6">
        <v>14.281700000000001</v>
      </c>
      <c r="P6">
        <v>0</v>
      </c>
    </row>
    <row r="7" spans="1:16" x14ac:dyDescent="0.2">
      <c r="A7">
        <v>25798</v>
      </c>
      <c r="B7">
        <v>1990.39</v>
      </c>
      <c r="E7">
        <v>25798</v>
      </c>
      <c r="F7">
        <v>1990.39</v>
      </c>
      <c r="G7">
        <v>-1.9458167681602981E-8</v>
      </c>
      <c r="J7">
        <v>25798</v>
      </c>
      <c r="K7">
        <v>25.686900000000001</v>
      </c>
      <c r="N7">
        <v>25798</v>
      </c>
      <c r="O7">
        <v>25.686900000000001</v>
      </c>
      <c r="P7">
        <v>-1.5577453025883481E-8</v>
      </c>
    </row>
    <row r="8" spans="1:16" x14ac:dyDescent="0.2">
      <c r="A8">
        <v>36134.9</v>
      </c>
      <c r="B8">
        <v>1990.39</v>
      </c>
      <c r="E8">
        <v>36134.9</v>
      </c>
      <c r="F8">
        <v>1990.39</v>
      </c>
      <c r="G8">
        <v>9.839260639880925E-8</v>
      </c>
      <c r="J8">
        <v>36134.9</v>
      </c>
      <c r="K8">
        <v>31.695799999999998</v>
      </c>
      <c r="N8">
        <v>36134.9</v>
      </c>
      <c r="O8">
        <v>31.695799999999998</v>
      </c>
      <c r="P8">
        <v>-2.8607917064889562E-9</v>
      </c>
    </row>
    <row r="9" spans="1:16" x14ac:dyDescent="0.2">
      <c r="A9">
        <v>56829.4</v>
      </c>
      <c r="B9">
        <v>2008.06</v>
      </c>
      <c r="E9">
        <v>56829.4</v>
      </c>
      <c r="F9">
        <v>2008.06</v>
      </c>
      <c r="G9">
        <v>-3.7801501762781227E-8</v>
      </c>
      <c r="J9">
        <v>56829.4</v>
      </c>
      <c r="K9">
        <v>42.040900000000001</v>
      </c>
      <c r="N9">
        <v>56829.4</v>
      </c>
      <c r="O9">
        <v>42.040900000000001</v>
      </c>
      <c r="P9">
        <v>-7.2428365231689864E-9</v>
      </c>
    </row>
    <row r="10" spans="1:16" x14ac:dyDescent="0.2">
      <c r="A10">
        <v>100352</v>
      </c>
      <c r="B10">
        <v>2030.47</v>
      </c>
      <c r="E10">
        <v>100352</v>
      </c>
      <c r="F10">
        <v>2030.47</v>
      </c>
      <c r="G10">
        <v>1.8040027567494863E-8</v>
      </c>
      <c r="J10">
        <v>100352</v>
      </c>
      <c r="K10">
        <v>59.415500000000002</v>
      </c>
      <c r="N10">
        <v>100352</v>
      </c>
      <c r="O10">
        <v>59.415500000000002</v>
      </c>
      <c r="P10">
        <v>8.8530107225048713E-9</v>
      </c>
    </row>
    <row r="11" spans="1:16" x14ac:dyDescent="0.2">
      <c r="A11">
        <v>105777</v>
      </c>
      <c r="B11">
        <v>2032.56</v>
      </c>
      <c r="E11">
        <v>105777</v>
      </c>
      <c r="F11">
        <v>2032.56</v>
      </c>
      <c r="G11">
        <v>-1.6566288086184282E-7</v>
      </c>
      <c r="J11">
        <v>105777</v>
      </c>
      <c r="K11">
        <v>62.067999999999998</v>
      </c>
      <c r="N11">
        <v>105777</v>
      </c>
      <c r="O11">
        <v>62.067999999999998</v>
      </c>
      <c r="P11">
        <v>-2.4058520385617053E-9</v>
      </c>
    </row>
    <row r="12" spans="1:16" x14ac:dyDescent="0.2">
      <c r="A12">
        <v>113868</v>
      </c>
      <c r="B12">
        <v>2030.03</v>
      </c>
      <c r="E12">
        <v>113868</v>
      </c>
      <c r="F12">
        <v>2030.03</v>
      </c>
      <c r="G12">
        <v>2.3810704947530828E-8</v>
      </c>
      <c r="J12">
        <v>113868</v>
      </c>
      <c r="K12">
        <v>65.981700000000004</v>
      </c>
      <c r="N12">
        <v>113868</v>
      </c>
      <c r="O12">
        <v>65.981700000000004</v>
      </c>
      <c r="P12">
        <v>-1.7762169718126001E-9</v>
      </c>
    </row>
    <row r="13" spans="1:16" x14ac:dyDescent="0.2">
      <c r="A13">
        <v>140561</v>
      </c>
      <c r="B13">
        <v>2022.83</v>
      </c>
      <c r="E13">
        <v>140561</v>
      </c>
      <c r="F13">
        <v>2022.83</v>
      </c>
      <c r="G13">
        <v>-2.1851379045149465E-9</v>
      </c>
      <c r="J13">
        <v>140561</v>
      </c>
      <c r="K13">
        <v>78.029899999999998</v>
      </c>
      <c r="N13">
        <v>140561</v>
      </c>
      <c r="O13">
        <v>78.029899999999998</v>
      </c>
      <c r="P13">
        <v>-1.9127666335186852E-9</v>
      </c>
    </row>
    <row r="14" spans="1:16" x14ac:dyDescent="0.2">
      <c r="A14">
        <v>192780</v>
      </c>
      <c r="B14">
        <v>2012.08</v>
      </c>
      <c r="E14">
        <v>192780</v>
      </c>
      <c r="F14">
        <v>2012.08</v>
      </c>
      <c r="G14">
        <v>1.7715254849657562E-9</v>
      </c>
      <c r="J14">
        <v>192780</v>
      </c>
      <c r="K14">
        <v>99.303600000000003</v>
      </c>
      <c r="N14">
        <v>192780</v>
      </c>
      <c r="O14">
        <v>99.303600000000003</v>
      </c>
      <c r="P14">
        <v>1.637057817622585E-9</v>
      </c>
    </row>
    <row r="15" spans="1:16" x14ac:dyDescent="0.2">
      <c r="A15">
        <v>196883</v>
      </c>
      <c r="B15">
        <v>2011.36</v>
      </c>
      <c r="E15">
        <v>196883</v>
      </c>
      <c r="F15">
        <v>2011.36</v>
      </c>
      <c r="G15">
        <v>2.3604305445817983E-8</v>
      </c>
      <c r="J15">
        <v>196883</v>
      </c>
      <c r="K15">
        <v>101.038</v>
      </c>
      <c r="N15">
        <v>196883</v>
      </c>
      <c r="O15">
        <v>101.038</v>
      </c>
      <c r="P15">
        <v>1.8048687122385687E-9</v>
      </c>
    </row>
    <row r="16" spans="1:16" x14ac:dyDescent="0.2">
      <c r="A16">
        <v>245609</v>
      </c>
      <c r="B16">
        <v>2021.01</v>
      </c>
      <c r="E16">
        <v>245609</v>
      </c>
      <c r="F16">
        <v>2021.01</v>
      </c>
      <c r="G16">
        <v>-5.3377424264736874E-9</v>
      </c>
      <c r="J16">
        <v>245609</v>
      </c>
      <c r="K16">
        <v>121.188</v>
      </c>
      <c r="N16">
        <v>245609</v>
      </c>
      <c r="O16">
        <v>121.188</v>
      </c>
      <c r="P16">
        <v>-5.1817235421117683E-9</v>
      </c>
    </row>
    <row r="17" spans="1:16" x14ac:dyDescent="0.2">
      <c r="A17">
        <v>300009</v>
      </c>
      <c r="B17">
        <v>2029.78</v>
      </c>
      <c r="E17">
        <v>300009</v>
      </c>
      <c r="F17">
        <v>2029.78</v>
      </c>
      <c r="G17">
        <v>-4.9673020256196102E-9</v>
      </c>
      <c r="J17">
        <v>300009</v>
      </c>
      <c r="K17">
        <v>141.822</v>
      </c>
      <c r="N17">
        <v>300009</v>
      </c>
      <c r="O17">
        <v>141.822</v>
      </c>
      <c r="P17">
        <v>1.4253384379075522E-8</v>
      </c>
    </row>
    <row r="18" spans="1:16" x14ac:dyDescent="0.2">
      <c r="A18">
        <v>319575</v>
      </c>
      <c r="B18">
        <v>2032.56</v>
      </c>
      <c r="E18">
        <v>319575</v>
      </c>
      <c r="F18">
        <v>2032.56</v>
      </c>
      <c r="G18">
        <v>4.6530508681049546E-8</v>
      </c>
      <c r="J18">
        <v>319575</v>
      </c>
      <c r="K18">
        <v>155.155</v>
      </c>
      <c r="N18">
        <v>319575</v>
      </c>
      <c r="O18">
        <v>155.155</v>
      </c>
      <c r="P18">
        <v>-7.0692011970433721E-10</v>
      </c>
    </row>
    <row r="19" spans="1:16" x14ac:dyDescent="0.2">
      <c r="A19">
        <v>347663</v>
      </c>
      <c r="B19">
        <v>2055.41</v>
      </c>
      <c r="E19">
        <v>347663</v>
      </c>
      <c r="F19">
        <v>2055.41</v>
      </c>
      <c r="G19">
        <v>-1.0999384583807829E-8</v>
      </c>
      <c r="J19">
        <v>347663</v>
      </c>
      <c r="K19">
        <v>174.90100000000001</v>
      </c>
      <c r="N19">
        <v>347663</v>
      </c>
      <c r="O19">
        <v>174.90100000000001</v>
      </c>
      <c r="P19">
        <v>-2.9229794282875532E-9</v>
      </c>
    </row>
    <row r="20" spans="1:16" x14ac:dyDescent="0.2">
      <c r="A20">
        <v>411462</v>
      </c>
      <c r="B20">
        <v>2101.89</v>
      </c>
      <c r="E20">
        <v>411462</v>
      </c>
      <c r="F20">
        <v>2101.89</v>
      </c>
      <c r="G20">
        <v>3.2068269834463524E-9</v>
      </c>
      <c r="J20">
        <v>411462</v>
      </c>
      <c r="K20">
        <v>215.69499999999999</v>
      </c>
      <c r="N20">
        <v>411462</v>
      </c>
      <c r="O20">
        <v>215.69499999999999</v>
      </c>
      <c r="P20">
        <v>2.7505291231712535E-9</v>
      </c>
    </row>
    <row r="21" spans="1:16" x14ac:dyDescent="0.2">
      <c r="A21">
        <v>438297</v>
      </c>
      <c r="B21">
        <v>2119.59</v>
      </c>
      <c r="E21">
        <v>438297</v>
      </c>
      <c r="F21">
        <v>2119.59</v>
      </c>
      <c r="G21">
        <v>-1.0928101328829469E-8</v>
      </c>
      <c r="J21">
        <v>438297</v>
      </c>
      <c r="K21">
        <v>234.184</v>
      </c>
      <c r="N21">
        <v>438297</v>
      </c>
      <c r="O21">
        <v>234.184</v>
      </c>
      <c r="P21">
        <v>-5.4617642134654565E-10</v>
      </c>
    </row>
    <row r="22" spans="1:16" x14ac:dyDescent="0.2">
      <c r="A22">
        <v>471824</v>
      </c>
      <c r="B22">
        <v>2135.1999999999998</v>
      </c>
      <c r="E22">
        <v>471824</v>
      </c>
      <c r="F22">
        <v>2135.1999999999998</v>
      </c>
      <c r="G22">
        <v>2.0663971770197879E-9</v>
      </c>
      <c r="J22">
        <v>471824</v>
      </c>
      <c r="K22">
        <v>257.76799999999997</v>
      </c>
      <c r="N22">
        <v>471824</v>
      </c>
      <c r="O22">
        <v>257.76799999999997</v>
      </c>
      <c r="P22">
        <v>2.3501926034974732E-9</v>
      </c>
    </row>
    <row r="23" spans="1:16" x14ac:dyDescent="0.2">
      <c r="A23">
        <v>502597</v>
      </c>
      <c r="B23">
        <v>2148.67</v>
      </c>
      <c r="E23">
        <v>502597</v>
      </c>
      <c r="F23">
        <v>2148.67</v>
      </c>
      <c r="G23">
        <v>-2.1640175131892524E-9</v>
      </c>
      <c r="J23">
        <v>502597</v>
      </c>
      <c r="K23">
        <v>283.27</v>
      </c>
      <c r="N23">
        <v>502597</v>
      </c>
      <c r="O23">
        <v>283.27</v>
      </c>
      <c r="P23">
        <v>1.5200320408147749E-8</v>
      </c>
    </row>
    <row r="24" spans="1:16" x14ac:dyDescent="0.2">
      <c r="A24">
        <v>541043</v>
      </c>
      <c r="B24">
        <v>2164.5</v>
      </c>
      <c r="E24">
        <v>541043</v>
      </c>
      <c r="F24">
        <v>2164.5</v>
      </c>
      <c r="G24">
        <v>2.0845553378144267E-9</v>
      </c>
      <c r="J24">
        <v>541043</v>
      </c>
      <c r="K24">
        <v>328.04500000000002</v>
      </c>
      <c r="N24">
        <v>541043</v>
      </c>
      <c r="O24">
        <v>328.04500000000002</v>
      </c>
      <c r="P24">
        <v>-4.1924332604866306E-9</v>
      </c>
    </row>
    <row r="25" spans="1:16" x14ac:dyDescent="0.2">
      <c r="A25">
        <v>601123</v>
      </c>
      <c r="B25">
        <v>2187.3000000000002</v>
      </c>
      <c r="E25">
        <v>601123</v>
      </c>
      <c r="F25">
        <v>2187.3000000000002</v>
      </c>
      <c r="G25">
        <v>-8.6731359241073382E-9</v>
      </c>
      <c r="J25">
        <v>601123</v>
      </c>
      <c r="K25">
        <v>398.08600000000001</v>
      </c>
      <c r="N25">
        <v>601123</v>
      </c>
      <c r="O25">
        <v>398.08600000000001</v>
      </c>
      <c r="P25">
        <v>4.1409193654907416E-9</v>
      </c>
    </row>
    <row r="26" spans="1:16" x14ac:dyDescent="0.2">
      <c r="A26">
        <v>620416</v>
      </c>
      <c r="B26">
        <v>2191.61</v>
      </c>
      <c r="E26">
        <v>620416</v>
      </c>
      <c r="F26">
        <v>2191.61</v>
      </c>
      <c r="G26">
        <v>1.6327373914612986E-8</v>
      </c>
      <c r="J26">
        <v>620416</v>
      </c>
      <c r="K26">
        <v>421.88099999999997</v>
      </c>
      <c r="N26">
        <v>620416</v>
      </c>
      <c r="O26">
        <v>421.88099999999997</v>
      </c>
      <c r="P26">
        <v>-7.9475649152361843E-12</v>
      </c>
    </row>
    <row r="27" spans="1:16" x14ac:dyDescent="0.2">
      <c r="A27">
        <v>711433</v>
      </c>
      <c r="B27">
        <v>2210.35</v>
      </c>
      <c r="E27">
        <v>711433</v>
      </c>
      <c r="F27">
        <v>2210.35</v>
      </c>
      <c r="G27">
        <v>-3.8891891979446534E-8</v>
      </c>
      <c r="J27">
        <v>711433</v>
      </c>
      <c r="K27">
        <v>538.10799999999995</v>
      </c>
      <c r="N27">
        <v>711433</v>
      </c>
      <c r="O27">
        <v>538.10799999999995</v>
      </c>
      <c r="P27">
        <v>2.0178282748667984E-9</v>
      </c>
    </row>
    <row r="28" spans="1:16" x14ac:dyDescent="0.2">
      <c r="A28">
        <v>718964</v>
      </c>
      <c r="B28">
        <v>2204.1799999999998</v>
      </c>
      <c r="E28">
        <v>718964</v>
      </c>
      <c r="F28">
        <v>2204.1799999999998</v>
      </c>
      <c r="G28">
        <v>3.759433025014978E-9</v>
      </c>
      <c r="J28">
        <v>718964</v>
      </c>
      <c r="K28">
        <v>548.27499999999998</v>
      </c>
      <c r="N28">
        <v>718964</v>
      </c>
      <c r="O28">
        <v>548.27499999999998</v>
      </c>
      <c r="P28">
        <v>5.4773135263205685E-9</v>
      </c>
    </row>
    <row r="29" spans="1:16" x14ac:dyDescent="0.2">
      <c r="A29">
        <v>815803</v>
      </c>
      <c r="B29">
        <v>2131.4699999999998</v>
      </c>
      <c r="E29">
        <v>815803</v>
      </c>
      <c r="F29">
        <v>2131.4699999999998</v>
      </c>
      <c r="G29">
        <v>-8.3820064583236718E-10</v>
      </c>
      <c r="J29">
        <v>815803</v>
      </c>
      <c r="K29">
        <v>690.47900000000004</v>
      </c>
      <c r="N29">
        <v>815803</v>
      </c>
      <c r="O29">
        <v>690.47900000000004</v>
      </c>
      <c r="P29">
        <v>-4.6252280623617998E-9</v>
      </c>
    </row>
    <row r="30" spans="1:16" x14ac:dyDescent="0.2">
      <c r="A30">
        <v>833166</v>
      </c>
      <c r="B30">
        <v>2119.59</v>
      </c>
      <c r="E30">
        <v>833166</v>
      </c>
      <c r="F30">
        <v>2119.59</v>
      </c>
      <c r="G30">
        <v>1.3080138787610667E-8</v>
      </c>
      <c r="J30">
        <v>833166</v>
      </c>
      <c r="K30">
        <v>714.67399999999998</v>
      </c>
      <c r="N30">
        <v>833166</v>
      </c>
      <c r="O30">
        <v>714.67399999999998</v>
      </c>
      <c r="P30">
        <v>4.3850501554631643E-9</v>
      </c>
    </row>
    <row r="31" spans="1:16" x14ac:dyDescent="0.2">
      <c r="A31">
        <v>945387</v>
      </c>
      <c r="B31">
        <v>2097.4899999999998</v>
      </c>
      <c r="E31">
        <v>945387</v>
      </c>
      <c r="F31">
        <v>2097.4899999999998</v>
      </c>
      <c r="G31">
        <v>-4.0252306912143712E-9</v>
      </c>
      <c r="J31">
        <v>945387</v>
      </c>
      <c r="K31">
        <v>878.72799999999995</v>
      </c>
      <c r="N31">
        <v>945387</v>
      </c>
      <c r="O31">
        <v>878.72799999999995</v>
      </c>
      <c r="P31">
        <v>-5.7541787227500457E-9</v>
      </c>
    </row>
    <row r="32" spans="1:16" x14ac:dyDescent="0.2">
      <c r="A32" s="1">
        <v>1040000</v>
      </c>
      <c r="B32">
        <v>2053.9699999999998</v>
      </c>
      <c r="E32">
        <v>1040000</v>
      </c>
      <c r="F32">
        <v>2053.9699999999998</v>
      </c>
      <c r="G32">
        <v>-1.4596667835039356E-8</v>
      </c>
      <c r="J32" s="1">
        <v>1040000</v>
      </c>
      <c r="K32">
        <v>992.04499999999996</v>
      </c>
      <c r="N32">
        <v>1040000</v>
      </c>
      <c r="O32">
        <v>992.04499999999996</v>
      </c>
      <c r="P32">
        <v>3.2031815138957308E-9</v>
      </c>
    </row>
    <row r="33" spans="1:16" x14ac:dyDescent="0.2">
      <c r="A33" s="1">
        <v>1100000</v>
      </c>
      <c r="B33">
        <v>1974.8</v>
      </c>
      <c r="E33">
        <v>1100000</v>
      </c>
      <c r="F33">
        <v>1974.8</v>
      </c>
      <c r="G33">
        <v>-4.376953413241236E-9</v>
      </c>
      <c r="J33" s="1">
        <v>1100000</v>
      </c>
      <c r="K33">
        <v>1061.2</v>
      </c>
      <c r="N33">
        <v>1100000</v>
      </c>
      <c r="O33">
        <v>1061.2</v>
      </c>
      <c r="P33">
        <v>-1.1945401781810384E-8</v>
      </c>
    </row>
    <row r="34" spans="1:16" x14ac:dyDescent="0.2">
      <c r="A34" s="1">
        <v>1130000</v>
      </c>
      <c r="B34">
        <v>1928.77</v>
      </c>
      <c r="E34">
        <v>1130000</v>
      </c>
      <c r="F34">
        <v>1928.77</v>
      </c>
      <c r="G34">
        <v>1.2488389482859103E-8</v>
      </c>
      <c r="J34" s="1">
        <v>1130000</v>
      </c>
      <c r="K34">
        <v>1085.58</v>
      </c>
      <c r="N34">
        <v>1130000</v>
      </c>
      <c r="O34">
        <v>1085.58</v>
      </c>
      <c r="P34">
        <v>-2.7172856702635594E-9</v>
      </c>
    </row>
    <row r="35" spans="1:16" x14ac:dyDescent="0.2">
      <c r="A35" s="1">
        <v>1270000</v>
      </c>
      <c r="B35">
        <v>1773.63</v>
      </c>
      <c r="E35">
        <v>1270000</v>
      </c>
      <c r="F35">
        <v>1773.63</v>
      </c>
      <c r="G35">
        <v>-1.1125721175942863E-8</v>
      </c>
      <c r="J35" s="1">
        <v>1270000</v>
      </c>
      <c r="K35">
        <v>1179.8499999999999</v>
      </c>
      <c r="N35">
        <v>1270000</v>
      </c>
      <c r="O35">
        <v>1179.8499999999999</v>
      </c>
      <c r="P35">
        <v>3.1884431320485855E-9</v>
      </c>
    </row>
    <row r="36" spans="1:16" x14ac:dyDescent="0.2">
      <c r="A36" s="1">
        <v>1320000</v>
      </c>
      <c r="B36">
        <v>1700.8</v>
      </c>
      <c r="E36">
        <v>1320000</v>
      </c>
      <c r="F36">
        <v>1700.8</v>
      </c>
      <c r="G36">
        <v>7.7731332423026541E-9</v>
      </c>
      <c r="J36" s="1">
        <v>1320000</v>
      </c>
      <c r="K36">
        <v>1216.1199999999999</v>
      </c>
      <c r="N36">
        <v>1320000</v>
      </c>
      <c r="O36">
        <v>1216.1199999999999</v>
      </c>
      <c r="P36">
        <v>-1.0378625069688454E-8</v>
      </c>
    </row>
    <row r="37" spans="1:16" x14ac:dyDescent="0.2">
      <c r="A37" s="1">
        <v>1440000</v>
      </c>
      <c r="B37">
        <v>1563.99</v>
      </c>
      <c r="E37">
        <v>1440000</v>
      </c>
      <c r="F37">
        <v>1563.99</v>
      </c>
      <c r="G37">
        <v>-1.5623270298811485E-9</v>
      </c>
      <c r="J37" s="1">
        <v>1440000</v>
      </c>
      <c r="K37">
        <v>1241.8900000000001</v>
      </c>
      <c r="N37">
        <v>1440000</v>
      </c>
      <c r="O37">
        <v>1241.8900000000001</v>
      </c>
      <c r="P37">
        <v>2.5450863924304827E-9</v>
      </c>
    </row>
    <row r="38" spans="1:16" x14ac:dyDescent="0.2">
      <c r="A38" s="1">
        <v>1580000</v>
      </c>
      <c r="B38">
        <v>1408.35</v>
      </c>
      <c r="E38">
        <v>1580000</v>
      </c>
      <c r="F38">
        <v>1408.35</v>
      </c>
      <c r="G38">
        <v>3.560596584011217E-10</v>
      </c>
      <c r="J38" s="1">
        <v>1580000</v>
      </c>
      <c r="K38">
        <v>1271.52</v>
      </c>
      <c r="N38">
        <v>1580000</v>
      </c>
      <c r="O38">
        <v>1271.52</v>
      </c>
      <c r="P38">
        <v>-6.9037694888649527E-10</v>
      </c>
    </row>
    <row r="39" spans="1:16" x14ac:dyDescent="0.2">
      <c r="A39" s="1">
        <v>1630000</v>
      </c>
      <c r="B39">
        <v>1353.1</v>
      </c>
      <c r="E39">
        <v>1630000</v>
      </c>
      <c r="F39">
        <v>1353.1</v>
      </c>
      <c r="G39">
        <v>2.4741765655330494E-9</v>
      </c>
      <c r="J39" s="1">
        <v>1630000</v>
      </c>
      <c r="K39">
        <v>1281.56</v>
      </c>
      <c r="N39">
        <v>1630000</v>
      </c>
      <c r="O39">
        <v>1281.56</v>
      </c>
      <c r="P39">
        <v>-3.1805199444108284E-9</v>
      </c>
    </row>
    <row r="40" spans="1:16" x14ac:dyDescent="0.2">
      <c r="A40" s="1">
        <v>1780000</v>
      </c>
      <c r="B40">
        <v>1216.1199999999999</v>
      </c>
      <c r="E40">
        <v>1780000</v>
      </c>
      <c r="F40">
        <v>1216.1199999999999</v>
      </c>
      <c r="G40">
        <v>9.5550927244482701E-10</v>
      </c>
      <c r="J40" s="1">
        <v>1780000</v>
      </c>
      <c r="K40">
        <v>1281.56</v>
      </c>
      <c r="N40">
        <v>1780000</v>
      </c>
      <c r="O40">
        <v>1281.56</v>
      </c>
      <c r="P40">
        <v>6.7951216805773651E-10</v>
      </c>
    </row>
    <row r="41" spans="1:16" x14ac:dyDescent="0.2">
      <c r="A41" s="1">
        <v>1980000</v>
      </c>
      <c r="B41">
        <v>1061.2</v>
      </c>
      <c r="E41">
        <v>1980000</v>
      </c>
      <c r="F41">
        <v>1061.2</v>
      </c>
      <c r="G41">
        <v>-1.0419148777066552E-9</v>
      </c>
      <c r="J41" s="1">
        <v>1980000</v>
      </c>
      <c r="K41">
        <v>1281.56</v>
      </c>
      <c r="N41">
        <v>1980000</v>
      </c>
      <c r="O41">
        <v>1281.56</v>
      </c>
      <c r="P41">
        <v>7.0973701060434952E-12</v>
      </c>
    </row>
    <row r="42" spans="1:16" x14ac:dyDescent="0.2">
      <c r="A42" s="1">
        <v>2040000</v>
      </c>
      <c r="B42">
        <v>1012.3</v>
      </c>
      <c r="E42">
        <v>2040000</v>
      </c>
      <c r="F42">
        <v>1012.3</v>
      </c>
      <c r="G42">
        <v>1.8048980319746933E-9</v>
      </c>
      <c r="J42" s="1">
        <v>2040000</v>
      </c>
      <c r="K42">
        <v>1281.56</v>
      </c>
      <c r="N42">
        <v>2040000</v>
      </c>
      <c r="O42">
        <v>1281.56</v>
      </c>
      <c r="P42">
        <v>-2.3265511011114991E-9</v>
      </c>
    </row>
    <row r="43" spans="1:16" x14ac:dyDescent="0.2">
      <c r="A43" s="1">
        <v>2290000</v>
      </c>
      <c r="B43">
        <v>851.52499999999998</v>
      </c>
      <c r="E43">
        <v>2290000</v>
      </c>
      <c r="F43">
        <v>851.52499999999998</v>
      </c>
      <c r="G43">
        <v>-1.0048754864760266E-10</v>
      </c>
      <c r="J43" s="1">
        <v>2290000</v>
      </c>
      <c r="K43">
        <v>1230.8699999999999</v>
      </c>
      <c r="N43">
        <v>2290000</v>
      </c>
      <c r="O43">
        <v>1230.8699999999999</v>
      </c>
      <c r="P43">
        <v>9.0190336193106269E-10</v>
      </c>
    </row>
    <row r="44" spans="1:16" x14ac:dyDescent="0.2">
      <c r="A44" s="1">
        <v>2520000</v>
      </c>
      <c r="B44">
        <v>724.37099999999998</v>
      </c>
      <c r="E44">
        <v>2520000</v>
      </c>
      <c r="F44">
        <v>724.37099999999998</v>
      </c>
      <c r="G44">
        <v>8.1209856149046636E-10</v>
      </c>
      <c r="J44" s="1">
        <v>2520000</v>
      </c>
      <c r="K44">
        <v>1190.8900000000001</v>
      </c>
      <c r="N44">
        <v>2520000</v>
      </c>
      <c r="O44">
        <v>1190.8900000000001</v>
      </c>
      <c r="P44">
        <v>-4.8080858223943062E-10</v>
      </c>
    </row>
    <row r="45" spans="1:16" x14ac:dyDescent="0.2">
      <c r="A45" s="1">
        <v>2860000</v>
      </c>
      <c r="B45">
        <v>583.86500000000001</v>
      </c>
      <c r="E45">
        <v>2860000</v>
      </c>
      <c r="F45">
        <v>583.86500000000001</v>
      </c>
      <c r="G45">
        <v>-1.9157941589349675E-10</v>
      </c>
      <c r="J45" s="1">
        <v>2860000</v>
      </c>
      <c r="K45">
        <v>1118.3</v>
      </c>
      <c r="N45">
        <v>2860000</v>
      </c>
      <c r="O45">
        <v>1118.3</v>
      </c>
      <c r="P45">
        <v>3.0188391837626181E-10</v>
      </c>
    </row>
    <row r="46" spans="1:16" x14ac:dyDescent="0.2">
      <c r="A46" s="1">
        <v>3170000</v>
      </c>
      <c r="B46">
        <v>467.27800000000002</v>
      </c>
      <c r="E46">
        <v>3170000</v>
      </c>
      <c r="F46">
        <v>467.27800000000002</v>
      </c>
      <c r="G46">
        <v>6.320477295756419E-10</v>
      </c>
      <c r="J46" s="1">
        <v>3170000</v>
      </c>
      <c r="K46">
        <v>1061.2</v>
      </c>
      <c r="N46">
        <v>3170000</v>
      </c>
      <c r="O46">
        <v>1061.2</v>
      </c>
      <c r="P46">
        <v>-1.7140472983971073E-10</v>
      </c>
    </row>
    <row r="47" spans="1:16" x14ac:dyDescent="0.2">
      <c r="A47" s="1">
        <v>3380000</v>
      </c>
      <c r="B47">
        <v>408.82</v>
      </c>
      <c r="E47">
        <v>3380000</v>
      </c>
      <c r="F47">
        <v>408.82</v>
      </c>
      <c r="G47">
        <v>-5.545719340521223E-11</v>
      </c>
      <c r="J47" s="1">
        <v>3380000</v>
      </c>
      <c r="K47">
        <v>1021.19</v>
      </c>
      <c r="N47">
        <v>3380000</v>
      </c>
      <c r="O47">
        <v>1021.19</v>
      </c>
      <c r="P47">
        <v>2.2235875007799983E-10</v>
      </c>
    </row>
    <row r="48" spans="1:16" x14ac:dyDescent="0.2">
      <c r="A48" s="1">
        <v>3840000</v>
      </c>
      <c r="B48">
        <v>295.21699999999998</v>
      </c>
      <c r="E48">
        <v>3840000</v>
      </c>
      <c r="F48">
        <v>295.21699999999998</v>
      </c>
      <c r="G48">
        <v>2.8268027502414466E-10</v>
      </c>
      <c r="J48" s="1">
        <v>3840000</v>
      </c>
      <c r="K48">
        <v>945.62900000000002</v>
      </c>
      <c r="N48">
        <v>3840000</v>
      </c>
      <c r="O48">
        <v>945.62900000000002</v>
      </c>
      <c r="P48">
        <v>-2.2695899035845501E-10</v>
      </c>
    </row>
    <row r="49" spans="1:16" x14ac:dyDescent="0.2">
      <c r="A49" s="1">
        <v>4040000</v>
      </c>
      <c r="B49">
        <v>257.76799999999997</v>
      </c>
      <c r="E49">
        <v>4040000</v>
      </c>
      <c r="F49">
        <v>257.76799999999997</v>
      </c>
      <c r="G49">
        <v>5.3403034020457926E-11</v>
      </c>
      <c r="J49" s="1">
        <v>4040000</v>
      </c>
      <c r="K49">
        <v>907.19600000000003</v>
      </c>
      <c r="N49">
        <v>4040000</v>
      </c>
      <c r="O49">
        <v>907.19600000000003</v>
      </c>
      <c r="P49">
        <v>1.4944551553423239E-10</v>
      </c>
    </row>
    <row r="50" spans="1:16" x14ac:dyDescent="0.2">
      <c r="A50" s="1">
        <v>4690000</v>
      </c>
      <c r="B50">
        <v>154.22800000000001</v>
      </c>
      <c r="E50">
        <v>4690000</v>
      </c>
      <c r="F50">
        <v>154.22800000000001</v>
      </c>
      <c r="G50">
        <v>3.1376832317764682E-11</v>
      </c>
      <c r="J50" s="1">
        <v>4690000</v>
      </c>
      <c r="K50">
        <v>807.69200000000001</v>
      </c>
      <c r="N50">
        <v>4690000</v>
      </c>
      <c r="O50">
        <v>807.69200000000001</v>
      </c>
      <c r="P50">
        <v>3.9732246346206408E-11</v>
      </c>
    </row>
    <row r="51" spans="1:16" x14ac:dyDescent="0.2">
      <c r="A51" s="1">
        <v>4940000</v>
      </c>
      <c r="B51">
        <v>120.11799999999999</v>
      </c>
      <c r="E51">
        <v>4940000</v>
      </c>
      <c r="F51">
        <v>120.11799999999999</v>
      </c>
      <c r="G51">
        <v>1.8369430347428615E-10</v>
      </c>
      <c r="J51" s="1">
        <v>4940000</v>
      </c>
      <c r="K51">
        <v>774.86500000000001</v>
      </c>
      <c r="N51">
        <v>4940000</v>
      </c>
      <c r="O51">
        <v>774.86500000000001</v>
      </c>
      <c r="P51">
        <v>-1.5202866792784338E-10</v>
      </c>
    </row>
    <row r="52" spans="1:16" x14ac:dyDescent="0.2">
      <c r="A52" s="1">
        <v>5370000</v>
      </c>
      <c r="B52">
        <v>80.522599999999997</v>
      </c>
      <c r="E52">
        <v>5370000</v>
      </c>
      <c r="F52">
        <v>80.522599999999997</v>
      </c>
      <c r="G52">
        <v>1.9715315598041457E-11</v>
      </c>
      <c r="J52" s="1">
        <v>5370000</v>
      </c>
      <c r="K52">
        <v>707.95500000000004</v>
      </c>
      <c r="N52">
        <v>5370000</v>
      </c>
      <c r="O52">
        <v>707.95500000000004</v>
      </c>
      <c r="P52">
        <v>1.1871167399667806E-10</v>
      </c>
    </row>
    <row r="53" spans="1:16" x14ac:dyDescent="0.2">
      <c r="A53" s="1">
        <v>5910000</v>
      </c>
      <c r="B53">
        <v>43.384</v>
      </c>
      <c r="E53">
        <v>5910000</v>
      </c>
      <c r="F53">
        <v>43.384</v>
      </c>
      <c r="G53">
        <v>4.1864036339106455E-11</v>
      </c>
      <c r="J53" s="1">
        <v>5910000</v>
      </c>
      <c r="K53">
        <v>639.56299999999999</v>
      </c>
      <c r="N53">
        <v>5910000</v>
      </c>
      <c r="O53">
        <v>639.56299999999999</v>
      </c>
      <c r="P53">
        <v>1.627495466860973E-11</v>
      </c>
    </row>
    <row r="54" spans="1:16" x14ac:dyDescent="0.2">
      <c r="A54" s="1">
        <v>6230000</v>
      </c>
      <c r="B54">
        <v>27.069099999999999</v>
      </c>
      <c r="E54">
        <v>6230000</v>
      </c>
      <c r="F54">
        <v>27.069099999999999</v>
      </c>
      <c r="G54">
        <v>7.529475995282991E-11</v>
      </c>
      <c r="J54" s="1">
        <v>6230000</v>
      </c>
      <c r="K54">
        <v>604.46400000000006</v>
      </c>
      <c r="N54">
        <v>6230000</v>
      </c>
      <c r="O54">
        <v>604.46400000000006</v>
      </c>
      <c r="P54">
        <v>3.033635975905637E-11</v>
      </c>
    </row>
    <row r="55" spans="1:16" x14ac:dyDescent="0.2">
      <c r="A55" s="1">
        <v>6490000</v>
      </c>
      <c r="B55">
        <v>18.560500000000001</v>
      </c>
      <c r="E55">
        <v>6490000</v>
      </c>
      <c r="F55">
        <v>18.560500000000001</v>
      </c>
      <c r="G55">
        <v>3.3898669745752418E-11</v>
      </c>
      <c r="J55" s="1">
        <v>6490000</v>
      </c>
      <c r="K55">
        <v>577.77700000000004</v>
      </c>
      <c r="N55">
        <v>6490000</v>
      </c>
      <c r="O55">
        <v>577.77700000000004</v>
      </c>
      <c r="P55">
        <v>7.1316962757378611E-12</v>
      </c>
    </row>
    <row r="56" spans="1:16" x14ac:dyDescent="0.2">
      <c r="A56" s="1">
        <v>7770000</v>
      </c>
      <c r="B56">
        <v>3.7331799999999999</v>
      </c>
      <c r="E56">
        <v>7770000</v>
      </c>
      <c r="F56">
        <v>3.7331799999999999</v>
      </c>
      <c r="G56">
        <v>2.2380506153550208E-12</v>
      </c>
      <c r="J56" s="1">
        <v>7770000</v>
      </c>
      <c r="K56">
        <v>463.61900000000003</v>
      </c>
      <c r="N56">
        <v>7770000</v>
      </c>
      <c r="O56">
        <v>463.61900000000003</v>
      </c>
      <c r="P56">
        <v>3.9754018036889869E-11</v>
      </c>
    </row>
    <row r="57" spans="1:16" x14ac:dyDescent="0.2">
      <c r="A57" s="1">
        <v>9290000</v>
      </c>
      <c r="B57">
        <v>0.75087700000000002</v>
      </c>
      <c r="E57">
        <v>9290000</v>
      </c>
      <c r="F57">
        <v>0.75087700000000002</v>
      </c>
      <c r="G57">
        <v>1.1891007205514857E-12</v>
      </c>
      <c r="J57" s="1">
        <v>9290000</v>
      </c>
      <c r="K57">
        <v>379.89699999999999</v>
      </c>
      <c r="N57">
        <v>9290000</v>
      </c>
      <c r="O57">
        <v>379.89699999999999</v>
      </c>
      <c r="P57">
        <v>-1.7840148807168559E-11</v>
      </c>
    </row>
    <row r="58" spans="1:16" x14ac:dyDescent="0.2">
      <c r="A58" s="1">
        <v>10000000</v>
      </c>
      <c r="B58">
        <v>0.38794600000000001</v>
      </c>
      <c r="E58">
        <v>10000000</v>
      </c>
      <c r="F58">
        <v>0.38794600000000001</v>
      </c>
      <c r="G58">
        <v>0</v>
      </c>
      <c r="J58" s="1">
        <v>10000000</v>
      </c>
      <c r="K58">
        <v>338.52499999999998</v>
      </c>
      <c r="N58">
        <v>10000000</v>
      </c>
      <c r="O58">
        <v>338.52499999999998</v>
      </c>
      <c r="P58">
        <v>0</v>
      </c>
    </row>
    <row r="59" spans="1:16" x14ac:dyDescent="0.2">
      <c r="J59" s="1"/>
    </row>
    <row r="60" spans="1:16" x14ac:dyDescent="0.2">
      <c r="J60" s="1"/>
    </row>
    <row r="61" spans="1:16" x14ac:dyDescent="0.2">
      <c r="J61" s="1"/>
    </row>
    <row r="62" spans="1:16" x14ac:dyDescent="0.2">
      <c r="J62" s="1"/>
    </row>
    <row r="63" spans="1:16" x14ac:dyDescent="0.2">
      <c r="J63" s="1"/>
    </row>
    <row r="64" spans="1:16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  <row r="68" spans="10:17" x14ac:dyDescent="0.2">
      <c r="J68" s="1"/>
    </row>
    <row r="69" spans="10:17" x14ac:dyDescent="0.2">
      <c r="J69" s="1"/>
    </row>
    <row r="70" spans="10:17" x14ac:dyDescent="0.2">
      <c r="J70" s="1"/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5977000201</vt:lpstr>
      <vt:lpstr>Mix</vt:lpstr>
      <vt:lpstr>CSTableU1</vt:lpstr>
      <vt:lpstr>CSTableU2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2014-05-02T05:00:13Z</dcterms:modified>
</cp:coreProperties>
</file>