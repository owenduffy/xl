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19320" windowHeight="11190" activeTab="6"/>
  </bookViews>
  <sheets>
    <sheet name="Choke" sheetId="1" r:id="rId1"/>
    <sheet name="Choke (2)" sheetId="3" r:id="rId2"/>
    <sheet name="Mix" sheetId="2" r:id="rId3"/>
    <sheet name="TLmeas" sheetId="4" r:id="rId4"/>
    <sheet name="TLmeas PTFE" sheetId="5" r:id="rId5"/>
    <sheet name="TLmeas 43.pvc" sheetId="6" r:id="rId6"/>
    <sheet name="TLmeas LO1238 spkr" sheetId="7" r:id="rId7"/>
  </sheets>
  <functionGroups builtInGroupCount="18"/>
  <definedNames>
    <definedName name="CSTableU1">Mix!$E$6:$G$36</definedName>
    <definedName name="CSTableU2">Mix!$N$6:$P$36</definedName>
  </definedNames>
  <calcPr calcId="152511"/>
</workbook>
</file>

<file path=xl/calcChain.xml><?xml version="1.0" encoding="utf-8"?>
<calcChain xmlns="http://schemas.openxmlformats.org/spreadsheetml/2006/main">
  <c r="Y106" i="7" l="1"/>
  <c r="Y105" i="7"/>
  <c r="Y104" i="7"/>
  <c r="Y103" i="7"/>
  <c r="Y102" i="7"/>
  <c r="Y101" i="7"/>
  <c r="Y100" i="7"/>
  <c r="Y99" i="7"/>
  <c r="Y98" i="7"/>
  <c r="Y97" i="7"/>
  <c r="Y96" i="7"/>
  <c r="Y95" i="7"/>
  <c r="Y94" i="7"/>
  <c r="Y93" i="7"/>
  <c r="Y92" i="7"/>
  <c r="Y91" i="7"/>
  <c r="Y90" i="7"/>
  <c r="Y89" i="7"/>
  <c r="Y88" i="7"/>
  <c r="Y87" i="7"/>
  <c r="Y86" i="7"/>
  <c r="Y85" i="7"/>
  <c r="Y84" i="7"/>
  <c r="Y83" i="7"/>
  <c r="Y82" i="7"/>
  <c r="Y81" i="7"/>
  <c r="Y80" i="7"/>
  <c r="Y79" i="7"/>
  <c r="Y78" i="7"/>
  <c r="Y77" i="7"/>
  <c r="Y76" i="7"/>
  <c r="Y75" i="7"/>
  <c r="Y74" i="7"/>
  <c r="Y73" i="7"/>
  <c r="Y72" i="7"/>
  <c r="Y71" i="7"/>
  <c r="Y70" i="7"/>
  <c r="Y69" i="7"/>
  <c r="Y68" i="7"/>
  <c r="Y67" i="7"/>
  <c r="Y66" i="7"/>
  <c r="Y65" i="7"/>
  <c r="Y64" i="7"/>
  <c r="Y63" i="7"/>
  <c r="Y62" i="7"/>
  <c r="Y61" i="7"/>
  <c r="Y60" i="7"/>
  <c r="Y59" i="7"/>
  <c r="Y58" i="7"/>
  <c r="Y57" i="7"/>
  <c r="Y56" i="7"/>
  <c r="Y55" i="7"/>
  <c r="Y54" i="7"/>
  <c r="Y53" i="7"/>
  <c r="Y52" i="7"/>
  <c r="Y51" i="7"/>
  <c r="Y50" i="7"/>
  <c r="Y49" i="7"/>
  <c r="Y48" i="7"/>
  <c r="Y47" i="7"/>
  <c r="Y46" i="7"/>
  <c r="Y45" i="7"/>
  <c r="Y44" i="7"/>
  <c r="Y43" i="7"/>
  <c r="Y42" i="7"/>
  <c r="Y41" i="7"/>
  <c r="Y40" i="7"/>
  <c r="Y39" i="7"/>
  <c r="Y38" i="7"/>
  <c r="Y37" i="7"/>
  <c r="Y36" i="7"/>
  <c r="Y35" i="7"/>
  <c r="Y34" i="7"/>
  <c r="Y33" i="7"/>
  <c r="Y32" i="7"/>
  <c r="Y31" i="7"/>
  <c r="Y30" i="7"/>
  <c r="Y29" i="7"/>
  <c r="Y28" i="7"/>
  <c r="Y27" i="7"/>
  <c r="Y26" i="7"/>
  <c r="Y25" i="7"/>
  <c r="Y24" i="7"/>
  <c r="Y23" i="7"/>
  <c r="Y22" i="7"/>
  <c r="Y21" i="7"/>
  <c r="Y20" i="7"/>
  <c r="Y19" i="7"/>
  <c r="Y18" i="7"/>
  <c r="Y17" i="7"/>
  <c r="Y16" i="7"/>
  <c r="Y15" i="7"/>
  <c r="Y14" i="7"/>
  <c r="Y12" i="7"/>
  <c r="Y11" i="7"/>
  <c r="Y10" i="7"/>
  <c r="Y9" i="7"/>
  <c r="Y8" i="7"/>
  <c r="Y7" i="7"/>
  <c r="Y13" i="7"/>
  <c r="E106" i="7"/>
  <c r="H106" i="7" s="1"/>
  <c r="D106" i="7"/>
  <c r="C106" i="7"/>
  <c r="B106" i="7"/>
  <c r="G106" i="7" s="1"/>
  <c r="E105" i="7"/>
  <c r="H105" i="7" s="1"/>
  <c r="D105" i="7"/>
  <c r="C105" i="7"/>
  <c r="B105" i="7"/>
  <c r="N105" i="7" s="1"/>
  <c r="P105" i="7" s="1"/>
  <c r="E104" i="7"/>
  <c r="H104" i="7" s="1"/>
  <c r="D104" i="7"/>
  <c r="C104" i="7"/>
  <c r="B104" i="7"/>
  <c r="G104" i="7" s="1"/>
  <c r="E103" i="7"/>
  <c r="H103" i="7" s="1"/>
  <c r="D103" i="7"/>
  <c r="C103" i="7"/>
  <c r="B103" i="7"/>
  <c r="N103" i="7" s="1"/>
  <c r="P103" i="7" s="1"/>
  <c r="E102" i="7"/>
  <c r="H102" i="7" s="1"/>
  <c r="D102" i="7"/>
  <c r="C102" i="7"/>
  <c r="B102" i="7"/>
  <c r="G102" i="7" s="1"/>
  <c r="E101" i="7"/>
  <c r="H101" i="7" s="1"/>
  <c r="D101" i="7"/>
  <c r="C101" i="7"/>
  <c r="B101" i="7"/>
  <c r="N101" i="7" s="1"/>
  <c r="P101" i="7" s="1"/>
  <c r="E100" i="7"/>
  <c r="H100" i="7" s="1"/>
  <c r="D100" i="7"/>
  <c r="C100" i="7"/>
  <c r="B100" i="7"/>
  <c r="G100" i="7" s="1"/>
  <c r="E99" i="7"/>
  <c r="H99" i="7" s="1"/>
  <c r="D99" i="7"/>
  <c r="C99" i="7"/>
  <c r="B99" i="7"/>
  <c r="N99" i="7" s="1"/>
  <c r="P99" i="7" s="1"/>
  <c r="E98" i="7"/>
  <c r="H98" i="7" s="1"/>
  <c r="D98" i="7"/>
  <c r="C98" i="7"/>
  <c r="B98" i="7"/>
  <c r="G98" i="7" s="1"/>
  <c r="E97" i="7"/>
  <c r="H97" i="7" s="1"/>
  <c r="D97" i="7"/>
  <c r="C97" i="7"/>
  <c r="B97" i="7"/>
  <c r="N97" i="7" s="1"/>
  <c r="P97" i="7" s="1"/>
  <c r="E96" i="7"/>
  <c r="H96" i="7" s="1"/>
  <c r="D96" i="7"/>
  <c r="C96" i="7"/>
  <c r="B96" i="7"/>
  <c r="G96" i="7" s="1"/>
  <c r="E95" i="7"/>
  <c r="H95" i="7" s="1"/>
  <c r="D95" i="7"/>
  <c r="C95" i="7"/>
  <c r="B95" i="7"/>
  <c r="N95" i="7" s="1"/>
  <c r="P95" i="7" s="1"/>
  <c r="E94" i="7"/>
  <c r="H94" i="7" s="1"/>
  <c r="D94" i="7"/>
  <c r="C94" i="7"/>
  <c r="B94" i="7"/>
  <c r="G94" i="7" s="1"/>
  <c r="E93" i="7"/>
  <c r="H93" i="7" s="1"/>
  <c r="D93" i="7"/>
  <c r="C93" i="7"/>
  <c r="B93" i="7"/>
  <c r="N93" i="7" s="1"/>
  <c r="P93" i="7" s="1"/>
  <c r="E92" i="7"/>
  <c r="H92" i="7" s="1"/>
  <c r="D92" i="7"/>
  <c r="C92" i="7"/>
  <c r="B92" i="7"/>
  <c r="G92" i="7" s="1"/>
  <c r="E91" i="7"/>
  <c r="H91" i="7" s="1"/>
  <c r="D91" i="7"/>
  <c r="C91" i="7"/>
  <c r="B91" i="7"/>
  <c r="N91" i="7" s="1"/>
  <c r="P91" i="7" s="1"/>
  <c r="E90" i="7"/>
  <c r="H90" i="7" s="1"/>
  <c r="D90" i="7"/>
  <c r="C90" i="7"/>
  <c r="B90" i="7"/>
  <c r="G90" i="7" s="1"/>
  <c r="E89" i="7"/>
  <c r="H89" i="7" s="1"/>
  <c r="D89" i="7"/>
  <c r="C89" i="7"/>
  <c r="B89" i="7"/>
  <c r="N89" i="7" s="1"/>
  <c r="P89" i="7" s="1"/>
  <c r="E88" i="7"/>
  <c r="H88" i="7" s="1"/>
  <c r="D88" i="7"/>
  <c r="C88" i="7"/>
  <c r="B88" i="7"/>
  <c r="G88" i="7" s="1"/>
  <c r="E87" i="7"/>
  <c r="H87" i="7" s="1"/>
  <c r="D87" i="7"/>
  <c r="C87" i="7"/>
  <c r="B87" i="7"/>
  <c r="N87" i="7" s="1"/>
  <c r="P87" i="7" s="1"/>
  <c r="E86" i="7"/>
  <c r="H86" i="7" s="1"/>
  <c r="D86" i="7"/>
  <c r="C86" i="7"/>
  <c r="B86" i="7"/>
  <c r="G86" i="7" s="1"/>
  <c r="E85" i="7"/>
  <c r="H85" i="7" s="1"/>
  <c r="D85" i="7"/>
  <c r="C85" i="7"/>
  <c r="B85" i="7"/>
  <c r="N85" i="7" s="1"/>
  <c r="P85" i="7" s="1"/>
  <c r="E84" i="7"/>
  <c r="H84" i="7" s="1"/>
  <c r="D84" i="7"/>
  <c r="C84" i="7"/>
  <c r="B84" i="7"/>
  <c r="G84" i="7" s="1"/>
  <c r="E83" i="7"/>
  <c r="H83" i="7" s="1"/>
  <c r="D83" i="7"/>
  <c r="C83" i="7"/>
  <c r="B83" i="7"/>
  <c r="N83" i="7" s="1"/>
  <c r="P83" i="7" s="1"/>
  <c r="E82" i="7"/>
  <c r="H82" i="7" s="1"/>
  <c r="D82" i="7"/>
  <c r="C82" i="7"/>
  <c r="B82" i="7"/>
  <c r="G82" i="7" s="1"/>
  <c r="E81" i="7"/>
  <c r="H81" i="7" s="1"/>
  <c r="D81" i="7"/>
  <c r="C81" i="7"/>
  <c r="B81" i="7"/>
  <c r="N81" i="7" s="1"/>
  <c r="E80" i="7"/>
  <c r="H80" i="7" s="1"/>
  <c r="D80" i="7"/>
  <c r="C80" i="7"/>
  <c r="B80" i="7"/>
  <c r="G80" i="7" s="1"/>
  <c r="E79" i="7"/>
  <c r="H79" i="7" s="1"/>
  <c r="D79" i="7"/>
  <c r="C79" i="7"/>
  <c r="B79" i="7"/>
  <c r="N79" i="7" s="1"/>
  <c r="E78" i="7"/>
  <c r="H78" i="7" s="1"/>
  <c r="D78" i="7"/>
  <c r="C78" i="7"/>
  <c r="B78" i="7"/>
  <c r="G78" i="7" s="1"/>
  <c r="E77" i="7"/>
  <c r="H77" i="7" s="1"/>
  <c r="D77" i="7"/>
  <c r="C77" i="7"/>
  <c r="B77" i="7"/>
  <c r="N77" i="7" s="1"/>
  <c r="E76" i="7"/>
  <c r="H76" i="7" s="1"/>
  <c r="D76" i="7"/>
  <c r="C76" i="7"/>
  <c r="B76" i="7"/>
  <c r="G76" i="7" s="1"/>
  <c r="E75" i="7"/>
  <c r="H75" i="7" s="1"/>
  <c r="D75" i="7"/>
  <c r="C75" i="7"/>
  <c r="B75" i="7"/>
  <c r="N75" i="7" s="1"/>
  <c r="E74" i="7"/>
  <c r="H74" i="7" s="1"/>
  <c r="D74" i="7"/>
  <c r="C74" i="7"/>
  <c r="B74" i="7"/>
  <c r="G74" i="7" s="1"/>
  <c r="E73" i="7"/>
  <c r="H73" i="7" s="1"/>
  <c r="D73" i="7"/>
  <c r="C73" i="7"/>
  <c r="B73" i="7"/>
  <c r="N73" i="7" s="1"/>
  <c r="E72" i="7"/>
  <c r="H72" i="7" s="1"/>
  <c r="D72" i="7"/>
  <c r="C72" i="7"/>
  <c r="B72" i="7"/>
  <c r="G72" i="7" s="1"/>
  <c r="E71" i="7"/>
  <c r="H71" i="7" s="1"/>
  <c r="D71" i="7"/>
  <c r="C71" i="7"/>
  <c r="B71" i="7"/>
  <c r="N71" i="7" s="1"/>
  <c r="E70" i="7"/>
  <c r="H70" i="7" s="1"/>
  <c r="D70" i="7"/>
  <c r="C70" i="7"/>
  <c r="B70" i="7"/>
  <c r="G70" i="7" s="1"/>
  <c r="E69" i="7"/>
  <c r="H69" i="7" s="1"/>
  <c r="D69" i="7"/>
  <c r="C69" i="7"/>
  <c r="B69" i="7"/>
  <c r="G69" i="7" s="1"/>
  <c r="E68" i="7"/>
  <c r="H68" i="7" s="1"/>
  <c r="D68" i="7"/>
  <c r="C68" i="7"/>
  <c r="B68" i="7"/>
  <c r="G68" i="7" s="1"/>
  <c r="E67" i="7"/>
  <c r="H67" i="7" s="1"/>
  <c r="D67" i="7"/>
  <c r="C67" i="7"/>
  <c r="B67" i="7"/>
  <c r="G67" i="7" s="1"/>
  <c r="E66" i="7"/>
  <c r="H66" i="7" s="1"/>
  <c r="D66" i="7"/>
  <c r="C66" i="7"/>
  <c r="B66" i="7"/>
  <c r="G66" i="7" s="1"/>
  <c r="E65" i="7"/>
  <c r="H65" i="7" s="1"/>
  <c r="D65" i="7"/>
  <c r="C65" i="7"/>
  <c r="B65" i="7"/>
  <c r="G65" i="7" s="1"/>
  <c r="E64" i="7"/>
  <c r="H64" i="7" s="1"/>
  <c r="D64" i="7"/>
  <c r="C64" i="7"/>
  <c r="B64" i="7"/>
  <c r="G64" i="7" s="1"/>
  <c r="E63" i="7"/>
  <c r="H63" i="7" s="1"/>
  <c r="D63" i="7"/>
  <c r="C63" i="7"/>
  <c r="B63" i="7"/>
  <c r="G63" i="7" s="1"/>
  <c r="E62" i="7"/>
  <c r="H62" i="7" s="1"/>
  <c r="D62" i="7"/>
  <c r="C62" i="7"/>
  <c r="B62" i="7"/>
  <c r="G62" i="7" s="1"/>
  <c r="E61" i="7"/>
  <c r="H61" i="7" s="1"/>
  <c r="D61" i="7"/>
  <c r="C61" i="7"/>
  <c r="B61" i="7"/>
  <c r="N61" i="7" s="1"/>
  <c r="E60" i="7"/>
  <c r="H60" i="7" s="1"/>
  <c r="D60" i="7"/>
  <c r="C60" i="7"/>
  <c r="B60" i="7"/>
  <c r="G60" i="7" s="1"/>
  <c r="E59" i="7"/>
  <c r="H59" i="7" s="1"/>
  <c r="D59" i="7"/>
  <c r="C59" i="7"/>
  <c r="B59" i="7"/>
  <c r="N59" i="7" s="1"/>
  <c r="E58" i="7"/>
  <c r="H58" i="7" s="1"/>
  <c r="D58" i="7"/>
  <c r="C58" i="7"/>
  <c r="B58" i="7"/>
  <c r="G58" i="7" s="1"/>
  <c r="E57" i="7"/>
  <c r="H57" i="7" s="1"/>
  <c r="D57" i="7"/>
  <c r="C57" i="7"/>
  <c r="B57" i="7"/>
  <c r="N57" i="7" s="1"/>
  <c r="E56" i="7"/>
  <c r="H56" i="7" s="1"/>
  <c r="D56" i="7"/>
  <c r="C56" i="7"/>
  <c r="B56" i="7"/>
  <c r="G56" i="7" s="1"/>
  <c r="E55" i="7"/>
  <c r="H55" i="7" s="1"/>
  <c r="D55" i="7"/>
  <c r="C55" i="7"/>
  <c r="B55" i="7"/>
  <c r="N55" i="7" s="1"/>
  <c r="E54" i="7"/>
  <c r="H54" i="7" s="1"/>
  <c r="D54" i="7"/>
  <c r="C54" i="7"/>
  <c r="B54" i="7"/>
  <c r="G54" i="7" s="1"/>
  <c r="E53" i="7"/>
  <c r="H53" i="7" s="1"/>
  <c r="D53" i="7"/>
  <c r="C53" i="7"/>
  <c r="B53" i="7"/>
  <c r="N53" i="7" s="1"/>
  <c r="E52" i="7"/>
  <c r="H52" i="7" s="1"/>
  <c r="D52" i="7"/>
  <c r="C52" i="7"/>
  <c r="B52" i="7"/>
  <c r="G52" i="7" s="1"/>
  <c r="E51" i="7"/>
  <c r="H51" i="7" s="1"/>
  <c r="D51" i="7"/>
  <c r="C51" i="7"/>
  <c r="B51" i="7"/>
  <c r="N51" i="7" s="1"/>
  <c r="E50" i="7"/>
  <c r="H50" i="7" s="1"/>
  <c r="D50" i="7"/>
  <c r="C50" i="7"/>
  <c r="B50" i="7"/>
  <c r="G50" i="7" s="1"/>
  <c r="E49" i="7"/>
  <c r="H49" i="7" s="1"/>
  <c r="D49" i="7"/>
  <c r="C49" i="7"/>
  <c r="B49" i="7"/>
  <c r="N49" i="7" s="1"/>
  <c r="E48" i="7"/>
  <c r="H48" i="7" s="1"/>
  <c r="D48" i="7"/>
  <c r="C48" i="7"/>
  <c r="B48" i="7"/>
  <c r="G48" i="7" s="1"/>
  <c r="E47" i="7"/>
  <c r="H47" i="7" s="1"/>
  <c r="D47" i="7"/>
  <c r="C47" i="7"/>
  <c r="B47" i="7"/>
  <c r="N47" i="7" s="1"/>
  <c r="E46" i="7"/>
  <c r="H46" i="7" s="1"/>
  <c r="D46" i="7"/>
  <c r="C46" i="7"/>
  <c r="B46" i="7"/>
  <c r="G46" i="7" s="1"/>
  <c r="E45" i="7"/>
  <c r="H45" i="7" s="1"/>
  <c r="D45" i="7"/>
  <c r="C45" i="7"/>
  <c r="B45" i="7"/>
  <c r="N45" i="7" s="1"/>
  <c r="E44" i="7"/>
  <c r="H44" i="7" s="1"/>
  <c r="D44" i="7"/>
  <c r="C44" i="7"/>
  <c r="B44" i="7"/>
  <c r="G44" i="7" s="1"/>
  <c r="E43" i="7"/>
  <c r="H43" i="7" s="1"/>
  <c r="D43" i="7"/>
  <c r="C43" i="7"/>
  <c r="B43" i="7"/>
  <c r="N43" i="7" s="1"/>
  <c r="E42" i="7"/>
  <c r="H42" i="7" s="1"/>
  <c r="D42" i="7"/>
  <c r="C42" i="7"/>
  <c r="B42" i="7"/>
  <c r="G42" i="7" s="1"/>
  <c r="E41" i="7"/>
  <c r="H41" i="7" s="1"/>
  <c r="D41" i="7"/>
  <c r="C41" i="7"/>
  <c r="B41" i="7"/>
  <c r="N41" i="7" s="1"/>
  <c r="E40" i="7"/>
  <c r="H40" i="7" s="1"/>
  <c r="D40" i="7"/>
  <c r="C40" i="7"/>
  <c r="B40" i="7"/>
  <c r="G40" i="7" s="1"/>
  <c r="E39" i="7"/>
  <c r="H39" i="7" s="1"/>
  <c r="D39" i="7"/>
  <c r="C39" i="7"/>
  <c r="B39" i="7"/>
  <c r="N39" i="7" s="1"/>
  <c r="E38" i="7"/>
  <c r="H38" i="7" s="1"/>
  <c r="D38" i="7"/>
  <c r="C38" i="7"/>
  <c r="B38" i="7"/>
  <c r="G38" i="7" s="1"/>
  <c r="E37" i="7"/>
  <c r="H37" i="7" s="1"/>
  <c r="D37" i="7"/>
  <c r="C37" i="7"/>
  <c r="B37" i="7"/>
  <c r="N37" i="7" s="1"/>
  <c r="E36" i="7"/>
  <c r="H36" i="7" s="1"/>
  <c r="D36" i="7"/>
  <c r="C36" i="7"/>
  <c r="B36" i="7"/>
  <c r="G36" i="7" s="1"/>
  <c r="E35" i="7"/>
  <c r="H35" i="7" s="1"/>
  <c r="D35" i="7"/>
  <c r="C35" i="7"/>
  <c r="B35" i="7"/>
  <c r="N35" i="7" s="1"/>
  <c r="E34" i="7"/>
  <c r="H34" i="7" s="1"/>
  <c r="D34" i="7"/>
  <c r="C34" i="7"/>
  <c r="B34" i="7"/>
  <c r="G34" i="7" s="1"/>
  <c r="E33" i="7"/>
  <c r="H33" i="7" s="1"/>
  <c r="D33" i="7"/>
  <c r="C33" i="7"/>
  <c r="B33" i="7"/>
  <c r="N33" i="7" s="1"/>
  <c r="P33" i="7" s="1"/>
  <c r="E32" i="7"/>
  <c r="H32" i="7" s="1"/>
  <c r="D32" i="7"/>
  <c r="C32" i="7"/>
  <c r="B32" i="7"/>
  <c r="G32" i="7" s="1"/>
  <c r="E31" i="7"/>
  <c r="H31" i="7" s="1"/>
  <c r="D31" i="7"/>
  <c r="C31" i="7"/>
  <c r="B31" i="7"/>
  <c r="N31" i="7" s="1"/>
  <c r="P31" i="7" s="1"/>
  <c r="E30" i="7"/>
  <c r="H30" i="7" s="1"/>
  <c r="D30" i="7"/>
  <c r="C30" i="7"/>
  <c r="B30" i="7"/>
  <c r="G30" i="7" s="1"/>
  <c r="E29" i="7"/>
  <c r="H29" i="7" s="1"/>
  <c r="D29" i="7"/>
  <c r="C29" i="7"/>
  <c r="B29" i="7"/>
  <c r="N29" i="7" s="1"/>
  <c r="E28" i="7"/>
  <c r="H28" i="7" s="1"/>
  <c r="D28" i="7"/>
  <c r="C28" i="7"/>
  <c r="B28" i="7"/>
  <c r="G28" i="7" s="1"/>
  <c r="E27" i="7"/>
  <c r="H27" i="7" s="1"/>
  <c r="D27" i="7"/>
  <c r="C27" i="7"/>
  <c r="B27" i="7"/>
  <c r="N27" i="7" s="1"/>
  <c r="E26" i="7"/>
  <c r="H26" i="7" s="1"/>
  <c r="D26" i="7"/>
  <c r="C26" i="7"/>
  <c r="B26" i="7"/>
  <c r="G26" i="7" s="1"/>
  <c r="E25" i="7"/>
  <c r="H25" i="7" s="1"/>
  <c r="D25" i="7"/>
  <c r="C25" i="7"/>
  <c r="B25" i="7"/>
  <c r="N25" i="7" s="1"/>
  <c r="E24" i="7"/>
  <c r="H24" i="7" s="1"/>
  <c r="D24" i="7"/>
  <c r="C24" i="7"/>
  <c r="B24" i="7"/>
  <c r="G24" i="7" s="1"/>
  <c r="E23" i="7"/>
  <c r="H23" i="7" s="1"/>
  <c r="D23" i="7"/>
  <c r="C23" i="7"/>
  <c r="B23" i="7"/>
  <c r="N23" i="7" s="1"/>
  <c r="E22" i="7"/>
  <c r="H22" i="7" s="1"/>
  <c r="D22" i="7"/>
  <c r="C22" i="7"/>
  <c r="O22" i="7" s="1"/>
  <c r="B22" i="7"/>
  <c r="G22" i="7" s="1"/>
  <c r="E21" i="7"/>
  <c r="H21" i="7" s="1"/>
  <c r="D21" i="7"/>
  <c r="C21" i="7"/>
  <c r="B21" i="7"/>
  <c r="G21" i="7" s="1"/>
  <c r="E20" i="7"/>
  <c r="H20" i="7" s="1"/>
  <c r="D20" i="7"/>
  <c r="C20" i="7"/>
  <c r="O20" i="7" s="1"/>
  <c r="B20" i="7"/>
  <c r="G20" i="7" s="1"/>
  <c r="E19" i="7"/>
  <c r="H19" i="7" s="1"/>
  <c r="D19" i="7"/>
  <c r="C19" i="7"/>
  <c r="B19" i="7"/>
  <c r="G19" i="7" s="1"/>
  <c r="E18" i="7"/>
  <c r="H18" i="7" s="1"/>
  <c r="D18" i="7"/>
  <c r="C18" i="7"/>
  <c r="O18" i="7" s="1"/>
  <c r="B18" i="7"/>
  <c r="G18" i="7" s="1"/>
  <c r="E17" i="7"/>
  <c r="H17" i="7" s="1"/>
  <c r="D17" i="7"/>
  <c r="C17" i="7"/>
  <c r="B17" i="7"/>
  <c r="G17" i="7" s="1"/>
  <c r="E16" i="7"/>
  <c r="H16" i="7" s="1"/>
  <c r="D16" i="7"/>
  <c r="C16" i="7"/>
  <c r="O16" i="7" s="1"/>
  <c r="B16" i="7"/>
  <c r="G16" i="7" s="1"/>
  <c r="E15" i="7"/>
  <c r="H15" i="7" s="1"/>
  <c r="D15" i="7"/>
  <c r="C15" i="7"/>
  <c r="B15" i="7"/>
  <c r="G15" i="7" s="1"/>
  <c r="E14" i="7"/>
  <c r="H14" i="7" s="1"/>
  <c r="D14" i="7"/>
  <c r="C14" i="7"/>
  <c r="O14" i="7" s="1"/>
  <c r="B14" i="7"/>
  <c r="G14" i="7" s="1"/>
  <c r="E13" i="7"/>
  <c r="H13" i="7" s="1"/>
  <c r="D13" i="7"/>
  <c r="C13" i="7"/>
  <c r="B13" i="7"/>
  <c r="G13" i="7" s="1"/>
  <c r="E12" i="7"/>
  <c r="H12" i="7" s="1"/>
  <c r="D12" i="7"/>
  <c r="C12" i="7"/>
  <c r="O12" i="7" s="1"/>
  <c r="B12" i="7"/>
  <c r="G12" i="7" s="1"/>
  <c r="E11" i="7"/>
  <c r="H11" i="7" s="1"/>
  <c r="D11" i="7"/>
  <c r="C11" i="7"/>
  <c r="B11" i="7"/>
  <c r="G11" i="7" s="1"/>
  <c r="E10" i="7"/>
  <c r="H10" i="7" s="1"/>
  <c r="D10" i="7"/>
  <c r="C10" i="7"/>
  <c r="O10" i="7" s="1"/>
  <c r="B10" i="7"/>
  <c r="G10" i="7" s="1"/>
  <c r="E9" i="7"/>
  <c r="H9" i="7" s="1"/>
  <c r="D9" i="7"/>
  <c r="C9" i="7"/>
  <c r="B9" i="7"/>
  <c r="G9" i="7" s="1"/>
  <c r="E8" i="7"/>
  <c r="H8" i="7" s="1"/>
  <c r="D8" i="7"/>
  <c r="C8" i="7"/>
  <c r="O8" i="7" s="1"/>
  <c r="B8" i="7"/>
  <c r="G8" i="7" s="1"/>
  <c r="E7" i="7"/>
  <c r="H7" i="7" s="1"/>
  <c r="D7" i="7"/>
  <c r="C7" i="7"/>
  <c r="B7" i="7"/>
  <c r="G7" i="7" s="1"/>
  <c r="T106" i="7"/>
  <c r="X106" i="7" s="1"/>
  <c r="N106" i="7"/>
  <c r="V106" i="7" s="1"/>
  <c r="O106" i="7"/>
  <c r="M106" i="7"/>
  <c r="T105" i="7"/>
  <c r="X105" i="7" s="1"/>
  <c r="O105" i="7"/>
  <c r="T104" i="7"/>
  <c r="X104" i="7" s="1"/>
  <c r="O104" i="7"/>
  <c r="N104" i="7"/>
  <c r="P104" i="7" s="1"/>
  <c r="T103" i="7"/>
  <c r="X103" i="7" s="1"/>
  <c r="O103" i="7"/>
  <c r="T102" i="7"/>
  <c r="X102" i="7" s="1"/>
  <c r="O102" i="7"/>
  <c r="N102" i="7"/>
  <c r="P102" i="7" s="1"/>
  <c r="T101" i="7"/>
  <c r="X101" i="7" s="1"/>
  <c r="O101" i="7"/>
  <c r="T100" i="7"/>
  <c r="X100" i="7" s="1"/>
  <c r="O100" i="7"/>
  <c r="N100" i="7"/>
  <c r="P100" i="7" s="1"/>
  <c r="T99" i="7"/>
  <c r="X99" i="7" s="1"/>
  <c r="O99" i="7"/>
  <c r="T98" i="7"/>
  <c r="X98" i="7" s="1"/>
  <c r="O98" i="7"/>
  <c r="N98" i="7"/>
  <c r="P98" i="7" s="1"/>
  <c r="T97" i="7"/>
  <c r="X97" i="7" s="1"/>
  <c r="O97" i="7"/>
  <c r="T96" i="7"/>
  <c r="X96" i="7" s="1"/>
  <c r="O96" i="7"/>
  <c r="N96" i="7"/>
  <c r="P96" i="7" s="1"/>
  <c r="T95" i="7"/>
  <c r="X95" i="7" s="1"/>
  <c r="O95" i="7"/>
  <c r="T94" i="7"/>
  <c r="X94" i="7" s="1"/>
  <c r="O94" i="7"/>
  <c r="N94" i="7"/>
  <c r="P94" i="7" s="1"/>
  <c r="T93" i="7"/>
  <c r="X93" i="7" s="1"/>
  <c r="O93" i="7"/>
  <c r="T92" i="7"/>
  <c r="X92" i="7" s="1"/>
  <c r="O92" i="7"/>
  <c r="N92" i="7"/>
  <c r="P92" i="7" s="1"/>
  <c r="T91" i="7"/>
  <c r="X91" i="7" s="1"/>
  <c r="O91" i="7"/>
  <c r="T90" i="7"/>
  <c r="X90" i="7" s="1"/>
  <c r="O90" i="7"/>
  <c r="N90" i="7"/>
  <c r="P90" i="7" s="1"/>
  <c r="T89" i="7"/>
  <c r="X89" i="7" s="1"/>
  <c r="O89" i="7"/>
  <c r="T88" i="7"/>
  <c r="X88" i="7" s="1"/>
  <c r="O88" i="7"/>
  <c r="N88" i="7"/>
  <c r="P88" i="7" s="1"/>
  <c r="T87" i="7"/>
  <c r="X87" i="7" s="1"/>
  <c r="O87" i="7"/>
  <c r="T86" i="7"/>
  <c r="X86" i="7" s="1"/>
  <c r="O86" i="7"/>
  <c r="N86" i="7"/>
  <c r="P86" i="7" s="1"/>
  <c r="T85" i="7"/>
  <c r="X85" i="7" s="1"/>
  <c r="O85" i="7"/>
  <c r="T84" i="7"/>
  <c r="X84" i="7" s="1"/>
  <c r="O84" i="7"/>
  <c r="N84" i="7"/>
  <c r="P84" i="7" s="1"/>
  <c r="T83" i="7"/>
  <c r="X83" i="7" s="1"/>
  <c r="O83" i="7"/>
  <c r="X82" i="7"/>
  <c r="T82" i="7"/>
  <c r="O82" i="7"/>
  <c r="N82" i="7"/>
  <c r="X81" i="7"/>
  <c r="T81" i="7"/>
  <c r="O81" i="7"/>
  <c r="X80" i="7"/>
  <c r="T80" i="7"/>
  <c r="O80" i="7"/>
  <c r="N80" i="7"/>
  <c r="X79" i="7"/>
  <c r="T79" i="7"/>
  <c r="O79" i="7"/>
  <c r="X78" i="7"/>
  <c r="T78" i="7"/>
  <c r="O78" i="7"/>
  <c r="N78" i="7"/>
  <c r="X77" i="7"/>
  <c r="T77" i="7"/>
  <c r="O77" i="7"/>
  <c r="X76" i="7"/>
  <c r="T76" i="7"/>
  <c r="O76" i="7"/>
  <c r="N76" i="7"/>
  <c r="X75" i="7"/>
  <c r="T75" i="7"/>
  <c r="O75" i="7"/>
  <c r="X74" i="7"/>
  <c r="T74" i="7"/>
  <c r="O74" i="7"/>
  <c r="N74" i="7"/>
  <c r="X73" i="7"/>
  <c r="T73" i="7"/>
  <c r="O73" i="7"/>
  <c r="X72" i="7"/>
  <c r="T72" i="7"/>
  <c r="O72" i="7"/>
  <c r="N72" i="7"/>
  <c r="X71" i="7"/>
  <c r="T71" i="7"/>
  <c r="O71" i="7"/>
  <c r="X70" i="7"/>
  <c r="T70" i="7"/>
  <c r="O70" i="7"/>
  <c r="Q70" i="7" s="1"/>
  <c r="N70" i="7"/>
  <c r="X69" i="7"/>
  <c r="T69" i="7"/>
  <c r="N69" i="7"/>
  <c r="V69" i="7" s="1"/>
  <c r="O69" i="7"/>
  <c r="Q69" i="7" s="1"/>
  <c r="X68" i="7"/>
  <c r="T68" i="7"/>
  <c r="O68" i="7"/>
  <c r="Q68" i="7" s="1"/>
  <c r="N68" i="7"/>
  <c r="X67" i="7"/>
  <c r="T67" i="7"/>
  <c r="N67" i="7"/>
  <c r="V67" i="7" s="1"/>
  <c r="O67" i="7"/>
  <c r="Q67" i="7" s="1"/>
  <c r="X66" i="7"/>
  <c r="T66" i="7"/>
  <c r="O66" i="7"/>
  <c r="Q66" i="7" s="1"/>
  <c r="N66" i="7"/>
  <c r="X65" i="7"/>
  <c r="T65" i="7"/>
  <c r="N65" i="7"/>
  <c r="V65" i="7" s="1"/>
  <c r="O65" i="7"/>
  <c r="Q65" i="7" s="1"/>
  <c r="X64" i="7"/>
  <c r="T64" i="7"/>
  <c r="O64" i="7"/>
  <c r="Q64" i="7" s="1"/>
  <c r="N64" i="7"/>
  <c r="X63" i="7"/>
  <c r="T63" i="7"/>
  <c r="N63" i="7"/>
  <c r="V63" i="7" s="1"/>
  <c r="O63" i="7"/>
  <c r="Q63" i="7" s="1"/>
  <c r="X62" i="7"/>
  <c r="T62" i="7"/>
  <c r="O62" i="7"/>
  <c r="N62" i="7"/>
  <c r="X61" i="7"/>
  <c r="T61" i="7"/>
  <c r="O61" i="7"/>
  <c r="X60" i="7"/>
  <c r="T60" i="7"/>
  <c r="O60" i="7"/>
  <c r="N60" i="7"/>
  <c r="X59" i="7"/>
  <c r="T59" i="7"/>
  <c r="O59" i="7"/>
  <c r="X58" i="7"/>
  <c r="T58" i="7"/>
  <c r="O58" i="7"/>
  <c r="N58" i="7"/>
  <c r="X57" i="7"/>
  <c r="T57" i="7"/>
  <c r="O57" i="7"/>
  <c r="X56" i="7"/>
  <c r="T56" i="7"/>
  <c r="O56" i="7"/>
  <c r="N56" i="7"/>
  <c r="X55" i="7"/>
  <c r="T55" i="7"/>
  <c r="O55" i="7"/>
  <c r="X54" i="7"/>
  <c r="T54" i="7"/>
  <c r="O54" i="7"/>
  <c r="N54" i="7"/>
  <c r="X53" i="7"/>
  <c r="T53" i="7"/>
  <c r="O53" i="7"/>
  <c r="X52" i="7"/>
  <c r="T52" i="7"/>
  <c r="O52" i="7"/>
  <c r="N52" i="7"/>
  <c r="X51" i="7"/>
  <c r="T51" i="7"/>
  <c r="O51" i="7"/>
  <c r="X50" i="7"/>
  <c r="T50" i="7"/>
  <c r="O50" i="7"/>
  <c r="N50" i="7"/>
  <c r="X49" i="7"/>
  <c r="T49" i="7"/>
  <c r="O49" i="7"/>
  <c r="X48" i="7"/>
  <c r="T48" i="7"/>
  <c r="O48" i="7"/>
  <c r="N48" i="7"/>
  <c r="X47" i="7"/>
  <c r="T47" i="7"/>
  <c r="O47" i="7"/>
  <c r="X46" i="7"/>
  <c r="T46" i="7"/>
  <c r="O46" i="7"/>
  <c r="N46" i="7"/>
  <c r="X45" i="7"/>
  <c r="T45" i="7"/>
  <c r="O45" i="7"/>
  <c r="X44" i="7"/>
  <c r="T44" i="7"/>
  <c r="O44" i="7"/>
  <c r="N44" i="7"/>
  <c r="X43" i="7"/>
  <c r="T43" i="7"/>
  <c r="O43" i="7"/>
  <c r="X42" i="7"/>
  <c r="T42" i="7"/>
  <c r="O42" i="7"/>
  <c r="N42" i="7"/>
  <c r="X41" i="7"/>
  <c r="T41" i="7"/>
  <c r="O41" i="7"/>
  <c r="X40" i="7"/>
  <c r="T40" i="7"/>
  <c r="O40" i="7"/>
  <c r="N40" i="7"/>
  <c r="X39" i="7"/>
  <c r="T39" i="7"/>
  <c r="O39" i="7"/>
  <c r="X38" i="7"/>
  <c r="T38" i="7"/>
  <c r="O38" i="7"/>
  <c r="N38" i="7"/>
  <c r="X37" i="7"/>
  <c r="T37" i="7"/>
  <c r="O37" i="7"/>
  <c r="X36" i="7"/>
  <c r="T36" i="7"/>
  <c r="O36" i="7"/>
  <c r="N36" i="7"/>
  <c r="X35" i="7"/>
  <c r="T35" i="7"/>
  <c r="O35" i="7"/>
  <c r="T34" i="7"/>
  <c r="X34" i="7" s="1"/>
  <c r="O34" i="7"/>
  <c r="N34" i="7"/>
  <c r="T33" i="7"/>
  <c r="X33" i="7" s="1"/>
  <c r="O33" i="7"/>
  <c r="T32" i="7"/>
  <c r="X32" i="7" s="1"/>
  <c r="O32" i="7"/>
  <c r="N32" i="7"/>
  <c r="P32" i="7" s="1"/>
  <c r="T31" i="7"/>
  <c r="X31" i="7" s="1"/>
  <c r="O31" i="7"/>
  <c r="T30" i="7"/>
  <c r="X30" i="7" s="1"/>
  <c r="O30" i="7"/>
  <c r="N30" i="7"/>
  <c r="P30" i="7" s="1"/>
  <c r="T29" i="7"/>
  <c r="X29" i="7" s="1"/>
  <c r="O29" i="7"/>
  <c r="T28" i="7"/>
  <c r="X28" i="7" s="1"/>
  <c r="O28" i="7"/>
  <c r="N28" i="7"/>
  <c r="T27" i="7"/>
  <c r="X27" i="7" s="1"/>
  <c r="O27" i="7"/>
  <c r="T26" i="7"/>
  <c r="X26" i="7" s="1"/>
  <c r="O26" i="7"/>
  <c r="N26" i="7"/>
  <c r="T25" i="7"/>
  <c r="X25" i="7" s="1"/>
  <c r="O25" i="7"/>
  <c r="T24" i="7"/>
  <c r="X24" i="7" s="1"/>
  <c r="O24" i="7"/>
  <c r="N24" i="7"/>
  <c r="T23" i="7"/>
  <c r="X23" i="7" s="1"/>
  <c r="O23" i="7"/>
  <c r="T22" i="7"/>
  <c r="X22" i="7" s="1"/>
  <c r="N22" i="7"/>
  <c r="T21" i="7"/>
  <c r="X21" i="7" s="1"/>
  <c r="O21" i="7"/>
  <c r="N21" i="7"/>
  <c r="T20" i="7"/>
  <c r="X20" i="7" s="1"/>
  <c r="N20" i="7"/>
  <c r="T19" i="7"/>
  <c r="X19" i="7" s="1"/>
  <c r="O19" i="7"/>
  <c r="N19" i="7"/>
  <c r="T18" i="7"/>
  <c r="X18" i="7" s="1"/>
  <c r="N18" i="7"/>
  <c r="T17" i="7"/>
  <c r="X17" i="7" s="1"/>
  <c r="O17" i="7"/>
  <c r="N17" i="7"/>
  <c r="T16" i="7"/>
  <c r="X16" i="7" s="1"/>
  <c r="N16" i="7"/>
  <c r="T15" i="7"/>
  <c r="X15" i="7" s="1"/>
  <c r="O15" i="7"/>
  <c r="N15" i="7"/>
  <c r="T14" i="7"/>
  <c r="X14" i="7" s="1"/>
  <c r="N14" i="7"/>
  <c r="T13" i="7"/>
  <c r="X13" i="7" s="1"/>
  <c r="O13" i="7"/>
  <c r="N13" i="7"/>
  <c r="T12" i="7"/>
  <c r="X12" i="7" s="1"/>
  <c r="N12" i="7"/>
  <c r="T11" i="7"/>
  <c r="X11" i="7" s="1"/>
  <c r="O11" i="7"/>
  <c r="N11" i="7"/>
  <c r="T10" i="7"/>
  <c r="X10" i="7" s="1"/>
  <c r="N10" i="7"/>
  <c r="T9" i="7"/>
  <c r="X9" i="7" s="1"/>
  <c r="O9" i="7"/>
  <c r="N9" i="7"/>
  <c r="T8" i="7"/>
  <c r="X8" i="7" s="1"/>
  <c r="N8" i="7"/>
  <c r="T7" i="7"/>
  <c r="X7" i="7" s="1"/>
  <c r="O7" i="7"/>
  <c r="N7" i="7"/>
  <c r="E4" i="7"/>
  <c r="B4" i="7"/>
  <c r="S2" i="7"/>
  <c r="G23" i="7" l="1"/>
  <c r="G25" i="7"/>
  <c r="G27" i="7"/>
  <c r="G29" i="7"/>
  <c r="G31" i="7"/>
  <c r="G33" i="7"/>
  <c r="G35" i="7"/>
  <c r="G37" i="7"/>
  <c r="G39" i="7"/>
  <c r="G41" i="7"/>
  <c r="G43" i="7"/>
  <c r="G45" i="7"/>
  <c r="G47" i="7"/>
  <c r="G49" i="7"/>
  <c r="G51" i="7"/>
  <c r="G53" i="7"/>
  <c r="G55" i="7"/>
  <c r="G57" i="7"/>
  <c r="G59" i="7"/>
  <c r="G61" i="7"/>
  <c r="G71" i="7"/>
  <c r="G73" i="7"/>
  <c r="G75" i="7"/>
  <c r="G77" i="7"/>
  <c r="G79" i="7"/>
  <c r="G81" i="7"/>
  <c r="G83" i="7"/>
  <c r="G85" i="7"/>
  <c r="G87" i="7"/>
  <c r="G89" i="7"/>
  <c r="G91" i="7"/>
  <c r="G93" i="7"/>
  <c r="G95" i="7"/>
  <c r="G97" i="7"/>
  <c r="G99" i="7"/>
  <c r="G101" i="7"/>
  <c r="G103" i="7"/>
  <c r="G105" i="7"/>
  <c r="V7" i="7"/>
  <c r="P7" i="7"/>
  <c r="Q8" i="7"/>
  <c r="R8" i="7"/>
  <c r="U8" i="7" s="1"/>
  <c r="V9" i="7"/>
  <c r="P9" i="7"/>
  <c r="Q10" i="7"/>
  <c r="R10" i="7"/>
  <c r="U10" i="7" s="1"/>
  <c r="V11" i="7"/>
  <c r="P11" i="7"/>
  <c r="Q12" i="7"/>
  <c r="R12" i="7"/>
  <c r="U12" i="7" s="1"/>
  <c r="V13" i="7"/>
  <c r="P13" i="7"/>
  <c r="Q14" i="7"/>
  <c r="R14" i="7"/>
  <c r="U14" i="7" s="1"/>
  <c r="V15" i="7"/>
  <c r="P15" i="7"/>
  <c r="Q16" i="7"/>
  <c r="R16" i="7"/>
  <c r="U16" i="7" s="1"/>
  <c r="V17" i="7"/>
  <c r="P17" i="7"/>
  <c r="Q18" i="7"/>
  <c r="R18" i="7"/>
  <c r="U18" i="7" s="1"/>
  <c r="V19" i="7"/>
  <c r="P19" i="7"/>
  <c r="Q20" i="7"/>
  <c r="R20" i="7"/>
  <c r="U20" i="7" s="1"/>
  <c r="V21" i="7"/>
  <c r="P21" i="7"/>
  <c r="Q22" i="7"/>
  <c r="R22" i="7"/>
  <c r="U22" i="7" s="1"/>
  <c r="V23" i="7"/>
  <c r="P23" i="7"/>
  <c r="Q24" i="7"/>
  <c r="R24" i="7"/>
  <c r="U24" i="7" s="1"/>
  <c r="V25" i="7"/>
  <c r="P25" i="7"/>
  <c r="Q26" i="7"/>
  <c r="R26" i="7"/>
  <c r="U26" i="7" s="1"/>
  <c r="V27" i="7"/>
  <c r="P27" i="7"/>
  <c r="Q28" i="7"/>
  <c r="R28" i="7"/>
  <c r="U28" i="7" s="1"/>
  <c r="V29" i="7"/>
  <c r="P29" i="7"/>
  <c r="R30" i="7"/>
  <c r="U30" i="7" s="1"/>
  <c r="Q30" i="7"/>
  <c r="R32" i="7"/>
  <c r="U32" i="7" s="1"/>
  <c r="Q32" i="7"/>
  <c r="Q7" i="7"/>
  <c r="R7" i="7"/>
  <c r="U7" i="7" s="1"/>
  <c r="V8" i="7"/>
  <c r="P8" i="7"/>
  <c r="Q9" i="7"/>
  <c r="R9" i="7"/>
  <c r="U9" i="7" s="1"/>
  <c r="V10" i="7"/>
  <c r="P10" i="7"/>
  <c r="Q11" i="7"/>
  <c r="R11" i="7"/>
  <c r="U11" i="7" s="1"/>
  <c r="V12" i="7"/>
  <c r="P12" i="7"/>
  <c r="Q13" i="7"/>
  <c r="R13" i="7"/>
  <c r="U13" i="7" s="1"/>
  <c r="V14" i="7"/>
  <c r="P14" i="7"/>
  <c r="Q15" i="7"/>
  <c r="R15" i="7"/>
  <c r="U15" i="7" s="1"/>
  <c r="V16" i="7"/>
  <c r="P16" i="7"/>
  <c r="Q17" i="7"/>
  <c r="R17" i="7"/>
  <c r="U17" i="7" s="1"/>
  <c r="V18" i="7"/>
  <c r="P18" i="7"/>
  <c r="Q19" i="7"/>
  <c r="R19" i="7"/>
  <c r="U19" i="7" s="1"/>
  <c r="V20" i="7"/>
  <c r="P20" i="7"/>
  <c r="Q21" i="7"/>
  <c r="R21" i="7"/>
  <c r="U21" i="7" s="1"/>
  <c r="V22" i="7"/>
  <c r="P22" i="7"/>
  <c r="Q23" i="7"/>
  <c r="R23" i="7"/>
  <c r="U23" i="7" s="1"/>
  <c r="V24" i="7"/>
  <c r="P24" i="7"/>
  <c r="Q25" i="7"/>
  <c r="R25" i="7"/>
  <c r="U25" i="7" s="1"/>
  <c r="V26" i="7"/>
  <c r="P26" i="7"/>
  <c r="Q27" i="7"/>
  <c r="R27" i="7"/>
  <c r="U27" i="7" s="1"/>
  <c r="V28" i="7"/>
  <c r="P28" i="7"/>
  <c r="Q29" i="7"/>
  <c r="R29" i="7"/>
  <c r="U29" i="7" s="1"/>
  <c r="R31" i="7"/>
  <c r="U31" i="7" s="1"/>
  <c r="Q31" i="7"/>
  <c r="R33" i="7"/>
  <c r="U33" i="7" s="1"/>
  <c r="Q33" i="7"/>
  <c r="V30" i="7"/>
  <c r="V31" i="7"/>
  <c r="V32" i="7"/>
  <c r="V33" i="7"/>
  <c r="R34" i="7"/>
  <c r="U34" i="7" s="1"/>
  <c r="Q34" i="7"/>
  <c r="P35" i="7"/>
  <c r="V35" i="7"/>
  <c r="P36" i="7"/>
  <c r="V36" i="7"/>
  <c r="P37" i="7"/>
  <c r="V37" i="7"/>
  <c r="P38" i="7"/>
  <c r="V38" i="7"/>
  <c r="P39" i="7"/>
  <c r="V39" i="7"/>
  <c r="P40" i="7"/>
  <c r="V40" i="7"/>
  <c r="P41" i="7"/>
  <c r="V41" i="7"/>
  <c r="P42" i="7"/>
  <c r="V42" i="7"/>
  <c r="P43" i="7"/>
  <c r="V43" i="7"/>
  <c r="P44" i="7"/>
  <c r="V44" i="7"/>
  <c r="P45" i="7"/>
  <c r="V45" i="7"/>
  <c r="P46" i="7"/>
  <c r="V46" i="7"/>
  <c r="P47" i="7"/>
  <c r="V47" i="7"/>
  <c r="P48" i="7"/>
  <c r="V48" i="7"/>
  <c r="P49" i="7"/>
  <c r="V49" i="7"/>
  <c r="P50" i="7"/>
  <c r="V50" i="7"/>
  <c r="P51" i="7"/>
  <c r="V51" i="7"/>
  <c r="P52" i="7"/>
  <c r="V52" i="7"/>
  <c r="P53" i="7"/>
  <c r="V53" i="7"/>
  <c r="P54" i="7"/>
  <c r="V54" i="7"/>
  <c r="P55" i="7"/>
  <c r="V55" i="7"/>
  <c r="P56" i="7"/>
  <c r="V56" i="7"/>
  <c r="P57" i="7"/>
  <c r="V57" i="7"/>
  <c r="P58" i="7"/>
  <c r="V58" i="7"/>
  <c r="P59" i="7"/>
  <c r="V59" i="7"/>
  <c r="P60" i="7"/>
  <c r="V60" i="7"/>
  <c r="P61" i="7"/>
  <c r="V61" i="7"/>
  <c r="P62" i="7"/>
  <c r="V62" i="7"/>
  <c r="V66" i="7"/>
  <c r="P66" i="7"/>
  <c r="V70" i="7"/>
  <c r="P70" i="7"/>
  <c r="P34" i="7"/>
  <c r="V34" i="7"/>
  <c r="R35" i="7"/>
  <c r="U35" i="7" s="1"/>
  <c r="Q35" i="7"/>
  <c r="R36" i="7"/>
  <c r="U36" i="7" s="1"/>
  <c r="Q36" i="7"/>
  <c r="R37" i="7"/>
  <c r="U37" i="7" s="1"/>
  <c r="Q37" i="7"/>
  <c r="R38" i="7"/>
  <c r="U38" i="7" s="1"/>
  <c r="Q38" i="7"/>
  <c r="R39" i="7"/>
  <c r="U39" i="7" s="1"/>
  <c r="Q39" i="7"/>
  <c r="R40" i="7"/>
  <c r="U40" i="7" s="1"/>
  <c r="Q40" i="7"/>
  <c r="R41" i="7"/>
  <c r="U41" i="7" s="1"/>
  <c r="Q41" i="7"/>
  <c r="R42" i="7"/>
  <c r="U42" i="7" s="1"/>
  <c r="Q42" i="7"/>
  <c r="R43" i="7"/>
  <c r="U43" i="7" s="1"/>
  <c r="Q43" i="7"/>
  <c r="R44" i="7"/>
  <c r="U44" i="7" s="1"/>
  <c r="Q44" i="7"/>
  <c r="R45" i="7"/>
  <c r="U45" i="7" s="1"/>
  <c r="Q45" i="7"/>
  <c r="R46" i="7"/>
  <c r="U46" i="7" s="1"/>
  <c r="Q46" i="7"/>
  <c r="R47" i="7"/>
  <c r="U47" i="7" s="1"/>
  <c r="Q47" i="7"/>
  <c r="R48" i="7"/>
  <c r="U48" i="7" s="1"/>
  <c r="Q48" i="7"/>
  <c r="R49" i="7"/>
  <c r="U49" i="7" s="1"/>
  <c r="Q49" i="7"/>
  <c r="R50" i="7"/>
  <c r="U50" i="7" s="1"/>
  <c r="Q50" i="7"/>
  <c r="R51" i="7"/>
  <c r="U51" i="7" s="1"/>
  <c r="Q51" i="7"/>
  <c r="R52" i="7"/>
  <c r="U52" i="7" s="1"/>
  <c r="Q52" i="7"/>
  <c r="R53" i="7"/>
  <c r="U53" i="7" s="1"/>
  <c r="Q53" i="7"/>
  <c r="R54" i="7"/>
  <c r="U54" i="7" s="1"/>
  <c r="Q54" i="7"/>
  <c r="R55" i="7"/>
  <c r="U55" i="7" s="1"/>
  <c r="Q55" i="7"/>
  <c r="R56" i="7"/>
  <c r="U56" i="7" s="1"/>
  <c r="Q56" i="7"/>
  <c r="R57" i="7"/>
  <c r="U57" i="7" s="1"/>
  <c r="Q57" i="7"/>
  <c r="R58" i="7"/>
  <c r="U58" i="7" s="1"/>
  <c r="Q58" i="7"/>
  <c r="R59" i="7"/>
  <c r="U59" i="7" s="1"/>
  <c r="Q59" i="7"/>
  <c r="R60" i="7"/>
  <c r="U60" i="7" s="1"/>
  <c r="Q60" i="7"/>
  <c r="R61" i="7"/>
  <c r="U61" i="7" s="1"/>
  <c r="Q61" i="7"/>
  <c r="R62" i="7"/>
  <c r="U62" i="7" s="1"/>
  <c r="Q62" i="7"/>
  <c r="V64" i="7"/>
  <c r="P64" i="7"/>
  <c r="V68" i="7"/>
  <c r="P68" i="7"/>
  <c r="P63" i="7"/>
  <c r="R64" i="7"/>
  <c r="U64" i="7" s="1"/>
  <c r="P65" i="7"/>
  <c r="R66" i="7"/>
  <c r="U66" i="7" s="1"/>
  <c r="P67" i="7"/>
  <c r="R68" i="7"/>
  <c r="U68" i="7" s="1"/>
  <c r="P69" i="7"/>
  <c r="R70" i="7"/>
  <c r="U70" i="7" s="1"/>
  <c r="V71" i="7"/>
  <c r="P71" i="7"/>
  <c r="V72" i="7"/>
  <c r="P72" i="7"/>
  <c r="V73" i="7"/>
  <c r="P73" i="7"/>
  <c r="V74" i="7"/>
  <c r="P74" i="7"/>
  <c r="V75" i="7"/>
  <c r="P75" i="7"/>
  <c r="V76" i="7"/>
  <c r="P76" i="7"/>
  <c r="V77" i="7"/>
  <c r="P77" i="7"/>
  <c r="V78" i="7"/>
  <c r="P78" i="7"/>
  <c r="V79" i="7"/>
  <c r="P79" i="7"/>
  <c r="V80" i="7"/>
  <c r="P80" i="7"/>
  <c r="V81" i="7"/>
  <c r="P81" i="7"/>
  <c r="V82" i="7"/>
  <c r="P82" i="7"/>
  <c r="R85" i="7"/>
  <c r="U85" i="7" s="1"/>
  <c r="Q85" i="7"/>
  <c r="R87" i="7"/>
  <c r="U87" i="7" s="1"/>
  <c r="Q87" i="7"/>
  <c r="R89" i="7"/>
  <c r="U89" i="7" s="1"/>
  <c r="Q89" i="7"/>
  <c r="R91" i="7"/>
  <c r="U91" i="7" s="1"/>
  <c r="Q91" i="7"/>
  <c r="R63" i="7"/>
  <c r="U63" i="7" s="1"/>
  <c r="R65" i="7"/>
  <c r="U65" i="7" s="1"/>
  <c r="R67" i="7"/>
  <c r="U67" i="7" s="1"/>
  <c r="R69" i="7"/>
  <c r="U69" i="7" s="1"/>
  <c r="Q71" i="7"/>
  <c r="R71" i="7"/>
  <c r="U71" i="7" s="1"/>
  <c r="Q72" i="7"/>
  <c r="R72" i="7"/>
  <c r="U72" i="7" s="1"/>
  <c r="Q73" i="7"/>
  <c r="R73" i="7"/>
  <c r="U73" i="7" s="1"/>
  <c r="Q74" i="7"/>
  <c r="R74" i="7"/>
  <c r="U74" i="7" s="1"/>
  <c r="Q75" i="7"/>
  <c r="R75" i="7"/>
  <c r="U75" i="7" s="1"/>
  <c r="Q76" i="7"/>
  <c r="R76" i="7"/>
  <c r="U76" i="7" s="1"/>
  <c r="Q77" i="7"/>
  <c r="R77" i="7"/>
  <c r="U77" i="7" s="1"/>
  <c r="Q78" i="7"/>
  <c r="R78" i="7"/>
  <c r="U78" i="7" s="1"/>
  <c r="Q79" i="7"/>
  <c r="R79" i="7"/>
  <c r="U79" i="7" s="1"/>
  <c r="Q80" i="7"/>
  <c r="R80" i="7"/>
  <c r="U80" i="7" s="1"/>
  <c r="Q81" i="7"/>
  <c r="R81" i="7"/>
  <c r="U81" i="7" s="1"/>
  <c r="Q82" i="7"/>
  <c r="R82" i="7"/>
  <c r="U82" i="7" s="1"/>
  <c r="R84" i="7"/>
  <c r="U84" i="7" s="1"/>
  <c r="Q84" i="7"/>
  <c r="R86" i="7"/>
  <c r="U86" i="7" s="1"/>
  <c r="Q86" i="7"/>
  <c r="R88" i="7"/>
  <c r="U88" i="7" s="1"/>
  <c r="Q88" i="7"/>
  <c r="R90" i="7"/>
  <c r="U90" i="7" s="1"/>
  <c r="Q90" i="7"/>
  <c r="R92" i="7"/>
  <c r="U92" i="7" s="1"/>
  <c r="Q92" i="7"/>
  <c r="R83" i="7"/>
  <c r="U83" i="7" s="1"/>
  <c r="Q83" i="7"/>
  <c r="V83" i="7"/>
  <c r="V84" i="7"/>
  <c r="V85" i="7"/>
  <c r="V86" i="7"/>
  <c r="V87" i="7"/>
  <c r="V88" i="7"/>
  <c r="V89" i="7"/>
  <c r="V90" i="7"/>
  <c r="V91" i="7"/>
  <c r="V92" i="7"/>
  <c r="R93" i="7"/>
  <c r="U93" i="7" s="1"/>
  <c r="Q93" i="7"/>
  <c r="V93" i="7"/>
  <c r="R94" i="7"/>
  <c r="U94" i="7" s="1"/>
  <c r="Q94" i="7"/>
  <c r="V94" i="7"/>
  <c r="R95" i="7"/>
  <c r="U95" i="7" s="1"/>
  <c r="Q95" i="7"/>
  <c r="V95" i="7"/>
  <c r="R96" i="7"/>
  <c r="U96" i="7" s="1"/>
  <c r="Q96" i="7"/>
  <c r="V96" i="7"/>
  <c r="R97" i="7"/>
  <c r="U97" i="7" s="1"/>
  <c r="Q97" i="7"/>
  <c r="V97" i="7"/>
  <c r="R98" i="7"/>
  <c r="U98" i="7" s="1"/>
  <c r="Q98" i="7"/>
  <c r="V98" i="7"/>
  <c r="R99" i="7"/>
  <c r="U99" i="7" s="1"/>
  <c r="Q99" i="7"/>
  <c r="V99" i="7"/>
  <c r="R100" i="7"/>
  <c r="U100" i="7" s="1"/>
  <c r="Q100" i="7"/>
  <c r="V100" i="7"/>
  <c r="R101" i="7"/>
  <c r="U101" i="7" s="1"/>
  <c r="Q101" i="7"/>
  <c r="V101" i="7"/>
  <c r="R102" i="7"/>
  <c r="U102" i="7" s="1"/>
  <c r="Q102" i="7"/>
  <c r="V102" i="7"/>
  <c r="R103" i="7"/>
  <c r="U103" i="7" s="1"/>
  <c r="Q103" i="7"/>
  <c r="V103" i="7"/>
  <c r="R104" i="7"/>
  <c r="U104" i="7" s="1"/>
  <c r="Q104" i="7"/>
  <c r="V104" i="7"/>
  <c r="R105" i="7"/>
  <c r="U105" i="7" s="1"/>
  <c r="Q105" i="7"/>
  <c r="V105" i="7"/>
  <c r="Q106" i="7"/>
  <c r="R106" i="7"/>
  <c r="U106" i="7" s="1"/>
  <c r="P106" i="7"/>
  <c r="P8" i="4"/>
  <c r="Q8" i="4"/>
  <c r="P9" i="4"/>
  <c r="Q9" i="4"/>
  <c r="P10" i="4"/>
  <c r="Q10" i="4"/>
  <c r="P11" i="4"/>
  <c r="Q11" i="4"/>
  <c r="P12" i="4"/>
  <c r="Q12" i="4"/>
  <c r="P13" i="4"/>
  <c r="Q13" i="4"/>
  <c r="P14" i="4"/>
  <c r="Q14" i="4"/>
  <c r="P15" i="4"/>
  <c r="Q15" i="4"/>
  <c r="P16" i="4"/>
  <c r="Q16" i="4"/>
  <c r="P17" i="4"/>
  <c r="Q17" i="4"/>
  <c r="P18" i="4"/>
  <c r="Q18" i="4"/>
  <c r="P19" i="4"/>
  <c r="Q19" i="4"/>
  <c r="P20" i="4"/>
  <c r="Q20" i="4"/>
  <c r="P21" i="4"/>
  <c r="Q21" i="4"/>
  <c r="P22" i="4"/>
  <c r="Q22" i="4"/>
  <c r="P23" i="4"/>
  <c r="Q23" i="4"/>
  <c r="P24" i="4"/>
  <c r="Q24" i="4"/>
  <c r="P25" i="4"/>
  <c r="Q25" i="4"/>
  <c r="P26" i="4"/>
  <c r="Q26" i="4"/>
  <c r="P27" i="4"/>
  <c r="Q27" i="4"/>
  <c r="P28" i="4"/>
  <c r="Q28" i="4"/>
  <c r="P29" i="4"/>
  <c r="Q29" i="4"/>
  <c r="P30" i="4"/>
  <c r="Q30" i="4"/>
  <c r="P31" i="4"/>
  <c r="Q31" i="4"/>
  <c r="P32" i="4"/>
  <c r="Q32" i="4"/>
  <c r="P33" i="4"/>
  <c r="Q33" i="4"/>
  <c r="P34" i="4"/>
  <c r="Q34" i="4"/>
  <c r="P35" i="4"/>
  <c r="Q35" i="4"/>
  <c r="P36" i="4"/>
  <c r="Q36" i="4"/>
  <c r="P37" i="4"/>
  <c r="Q37" i="4"/>
  <c r="P38" i="4"/>
  <c r="Q38" i="4"/>
  <c r="P39" i="4"/>
  <c r="Q39" i="4"/>
  <c r="P40" i="4"/>
  <c r="Q40" i="4"/>
  <c r="P41" i="4"/>
  <c r="Q41" i="4"/>
  <c r="P42" i="4"/>
  <c r="Q42" i="4"/>
  <c r="P43" i="4"/>
  <c r="Q43" i="4"/>
  <c r="P44" i="4"/>
  <c r="Q44" i="4"/>
  <c r="P45" i="4"/>
  <c r="Q45" i="4"/>
  <c r="P46" i="4"/>
  <c r="Q46" i="4"/>
  <c r="P47" i="4"/>
  <c r="Q47" i="4"/>
  <c r="P48" i="4"/>
  <c r="Q48" i="4"/>
  <c r="P49" i="4"/>
  <c r="Q49" i="4"/>
  <c r="P50" i="4"/>
  <c r="Q50" i="4"/>
  <c r="P51" i="4"/>
  <c r="Q51" i="4"/>
  <c r="P52" i="4"/>
  <c r="Q52" i="4"/>
  <c r="P53" i="4"/>
  <c r="Q53" i="4"/>
  <c r="P54" i="4"/>
  <c r="Q54" i="4"/>
  <c r="P55" i="4"/>
  <c r="Q55" i="4"/>
  <c r="P56" i="4"/>
  <c r="Q56" i="4"/>
  <c r="P57" i="4"/>
  <c r="Q57" i="4"/>
  <c r="P58" i="4"/>
  <c r="Q58" i="4"/>
  <c r="P59" i="4"/>
  <c r="Q59" i="4"/>
  <c r="P60" i="4"/>
  <c r="Q60" i="4"/>
  <c r="P61" i="4"/>
  <c r="Q61" i="4"/>
  <c r="P62" i="4"/>
  <c r="Q62" i="4"/>
  <c r="P63" i="4"/>
  <c r="Q63" i="4"/>
  <c r="P64" i="4"/>
  <c r="Q64" i="4"/>
  <c r="P65" i="4"/>
  <c r="Q65" i="4"/>
  <c r="P66" i="4"/>
  <c r="Q66" i="4"/>
  <c r="P67" i="4"/>
  <c r="Q67" i="4"/>
  <c r="P68" i="4"/>
  <c r="Q68" i="4"/>
  <c r="P69" i="4"/>
  <c r="Q69" i="4"/>
  <c r="P70" i="4"/>
  <c r="Q70" i="4"/>
  <c r="P71" i="4"/>
  <c r="Q71" i="4"/>
  <c r="P72" i="4"/>
  <c r="Q72" i="4"/>
  <c r="P73" i="4"/>
  <c r="Q73" i="4"/>
  <c r="P74" i="4"/>
  <c r="Q74" i="4"/>
  <c r="P75" i="4"/>
  <c r="Q75" i="4"/>
  <c r="P76" i="4"/>
  <c r="Q76" i="4"/>
  <c r="P77" i="4"/>
  <c r="Q77" i="4"/>
  <c r="P78" i="4"/>
  <c r="Q78" i="4"/>
  <c r="P79" i="4"/>
  <c r="Q79" i="4"/>
  <c r="P80" i="4"/>
  <c r="Q80" i="4"/>
  <c r="P81" i="4"/>
  <c r="Q81" i="4"/>
  <c r="P82" i="4"/>
  <c r="Q82" i="4"/>
  <c r="P83" i="4"/>
  <c r="Q83" i="4"/>
  <c r="P84" i="4"/>
  <c r="Q84" i="4"/>
  <c r="P85" i="4"/>
  <c r="Q85" i="4"/>
  <c r="P86" i="4"/>
  <c r="Q86" i="4"/>
  <c r="P87" i="4"/>
  <c r="Q87" i="4"/>
  <c r="P88" i="4"/>
  <c r="Q88" i="4"/>
  <c r="P89" i="4"/>
  <c r="Q89" i="4"/>
  <c r="P90" i="4"/>
  <c r="Q90" i="4"/>
  <c r="P91" i="4"/>
  <c r="Q91" i="4"/>
  <c r="P92" i="4"/>
  <c r="Q92" i="4"/>
  <c r="P93" i="4"/>
  <c r="Q93" i="4"/>
  <c r="P94" i="4"/>
  <c r="Q94" i="4"/>
  <c r="P95" i="4"/>
  <c r="Q95" i="4"/>
  <c r="P96" i="4"/>
  <c r="Q96" i="4"/>
  <c r="P97" i="4"/>
  <c r="Q97" i="4"/>
  <c r="P98" i="4"/>
  <c r="Q98" i="4"/>
  <c r="P99" i="4"/>
  <c r="Q99" i="4"/>
  <c r="P100" i="4"/>
  <c r="Q100" i="4"/>
  <c r="P101" i="4"/>
  <c r="Q101" i="4"/>
  <c r="P102" i="4"/>
  <c r="Q102" i="4"/>
  <c r="P103" i="4"/>
  <c r="Q103" i="4"/>
  <c r="P104" i="4"/>
  <c r="Q104" i="4"/>
  <c r="P105" i="4"/>
  <c r="Q105" i="4"/>
  <c r="P106" i="4"/>
  <c r="Q106" i="4"/>
  <c r="Q7" i="4"/>
  <c r="P7" i="4"/>
  <c r="Y8" i="6" l="1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7" i="6"/>
  <c r="E106" i="6"/>
  <c r="H106" i="6" s="1"/>
  <c r="D106" i="6"/>
  <c r="C106" i="6"/>
  <c r="B106" i="6"/>
  <c r="G106" i="6" s="1"/>
  <c r="E105" i="6"/>
  <c r="H105" i="6" s="1"/>
  <c r="D105" i="6"/>
  <c r="C105" i="6"/>
  <c r="B105" i="6"/>
  <c r="N105" i="6" s="1"/>
  <c r="P105" i="6" s="1"/>
  <c r="E104" i="6"/>
  <c r="H104" i="6" s="1"/>
  <c r="D104" i="6"/>
  <c r="C104" i="6"/>
  <c r="B104" i="6"/>
  <c r="G104" i="6" s="1"/>
  <c r="E103" i="6"/>
  <c r="H103" i="6" s="1"/>
  <c r="D103" i="6"/>
  <c r="C103" i="6"/>
  <c r="B103" i="6"/>
  <c r="G103" i="6" s="1"/>
  <c r="E102" i="6"/>
  <c r="H102" i="6" s="1"/>
  <c r="D102" i="6"/>
  <c r="C102" i="6"/>
  <c r="B102" i="6"/>
  <c r="G102" i="6" s="1"/>
  <c r="E101" i="6"/>
  <c r="H101" i="6" s="1"/>
  <c r="D101" i="6"/>
  <c r="C101" i="6"/>
  <c r="B101" i="6"/>
  <c r="N101" i="6" s="1"/>
  <c r="P101" i="6" s="1"/>
  <c r="E100" i="6"/>
  <c r="H100" i="6" s="1"/>
  <c r="D100" i="6"/>
  <c r="C100" i="6"/>
  <c r="B100" i="6"/>
  <c r="G100" i="6" s="1"/>
  <c r="E99" i="6"/>
  <c r="H99" i="6" s="1"/>
  <c r="D99" i="6"/>
  <c r="C99" i="6"/>
  <c r="B99" i="6"/>
  <c r="G99" i="6" s="1"/>
  <c r="E98" i="6"/>
  <c r="H98" i="6" s="1"/>
  <c r="D98" i="6"/>
  <c r="C98" i="6"/>
  <c r="B98" i="6"/>
  <c r="G98" i="6" s="1"/>
  <c r="E97" i="6"/>
  <c r="H97" i="6" s="1"/>
  <c r="D97" i="6"/>
  <c r="C97" i="6"/>
  <c r="B97" i="6"/>
  <c r="N97" i="6" s="1"/>
  <c r="P97" i="6" s="1"/>
  <c r="E96" i="6"/>
  <c r="H96" i="6" s="1"/>
  <c r="D96" i="6"/>
  <c r="C96" i="6"/>
  <c r="B96" i="6"/>
  <c r="G96" i="6" s="1"/>
  <c r="E95" i="6"/>
  <c r="H95" i="6" s="1"/>
  <c r="D95" i="6"/>
  <c r="C95" i="6"/>
  <c r="B95" i="6"/>
  <c r="G95" i="6" s="1"/>
  <c r="E94" i="6"/>
  <c r="H94" i="6" s="1"/>
  <c r="D94" i="6"/>
  <c r="C94" i="6"/>
  <c r="B94" i="6"/>
  <c r="G94" i="6" s="1"/>
  <c r="E93" i="6"/>
  <c r="H93" i="6" s="1"/>
  <c r="D93" i="6"/>
  <c r="C93" i="6"/>
  <c r="B93" i="6"/>
  <c r="N93" i="6" s="1"/>
  <c r="P93" i="6" s="1"/>
  <c r="E92" i="6"/>
  <c r="H92" i="6" s="1"/>
  <c r="D92" i="6"/>
  <c r="C92" i="6"/>
  <c r="B92" i="6"/>
  <c r="G92" i="6" s="1"/>
  <c r="E91" i="6"/>
  <c r="H91" i="6" s="1"/>
  <c r="D91" i="6"/>
  <c r="C91" i="6"/>
  <c r="B91" i="6"/>
  <c r="G91" i="6" s="1"/>
  <c r="E90" i="6"/>
  <c r="H90" i="6" s="1"/>
  <c r="D90" i="6"/>
  <c r="C90" i="6"/>
  <c r="B90" i="6"/>
  <c r="G90" i="6" s="1"/>
  <c r="E89" i="6"/>
  <c r="H89" i="6" s="1"/>
  <c r="D89" i="6"/>
  <c r="C89" i="6"/>
  <c r="B89" i="6"/>
  <c r="N89" i="6" s="1"/>
  <c r="V89" i="6" s="1"/>
  <c r="E88" i="6"/>
  <c r="H88" i="6" s="1"/>
  <c r="D88" i="6"/>
  <c r="C88" i="6"/>
  <c r="B88" i="6"/>
  <c r="G88" i="6" s="1"/>
  <c r="E87" i="6"/>
  <c r="H87" i="6" s="1"/>
  <c r="D87" i="6"/>
  <c r="C87" i="6"/>
  <c r="B87" i="6"/>
  <c r="G87" i="6" s="1"/>
  <c r="E86" i="6"/>
  <c r="H86" i="6" s="1"/>
  <c r="D86" i="6"/>
  <c r="C86" i="6"/>
  <c r="B86" i="6"/>
  <c r="G86" i="6" s="1"/>
  <c r="E85" i="6"/>
  <c r="H85" i="6" s="1"/>
  <c r="D85" i="6"/>
  <c r="C85" i="6"/>
  <c r="B85" i="6"/>
  <c r="N85" i="6" s="1"/>
  <c r="V85" i="6" s="1"/>
  <c r="E84" i="6"/>
  <c r="H84" i="6" s="1"/>
  <c r="D84" i="6"/>
  <c r="C84" i="6"/>
  <c r="B84" i="6"/>
  <c r="G84" i="6" s="1"/>
  <c r="E83" i="6"/>
  <c r="H83" i="6" s="1"/>
  <c r="D83" i="6"/>
  <c r="C83" i="6"/>
  <c r="B83" i="6"/>
  <c r="G83" i="6" s="1"/>
  <c r="E82" i="6"/>
  <c r="H82" i="6" s="1"/>
  <c r="D82" i="6"/>
  <c r="C82" i="6"/>
  <c r="B82" i="6"/>
  <c r="G82" i="6" s="1"/>
  <c r="E81" i="6"/>
  <c r="H81" i="6" s="1"/>
  <c r="D81" i="6"/>
  <c r="C81" i="6"/>
  <c r="B81" i="6"/>
  <c r="N81" i="6" s="1"/>
  <c r="V81" i="6" s="1"/>
  <c r="E80" i="6"/>
  <c r="H80" i="6" s="1"/>
  <c r="D80" i="6"/>
  <c r="C80" i="6"/>
  <c r="B80" i="6"/>
  <c r="G80" i="6" s="1"/>
  <c r="E79" i="6"/>
  <c r="H79" i="6" s="1"/>
  <c r="D79" i="6"/>
  <c r="C79" i="6"/>
  <c r="B79" i="6"/>
  <c r="G79" i="6" s="1"/>
  <c r="E78" i="6"/>
  <c r="H78" i="6" s="1"/>
  <c r="D78" i="6"/>
  <c r="C78" i="6"/>
  <c r="B78" i="6"/>
  <c r="G78" i="6" s="1"/>
  <c r="E77" i="6"/>
  <c r="H77" i="6" s="1"/>
  <c r="D77" i="6"/>
  <c r="C77" i="6"/>
  <c r="B77" i="6"/>
  <c r="N77" i="6" s="1"/>
  <c r="V77" i="6" s="1"/>
  <c r="E76" i="6"/>
  <c r="H76" i="6" s="1"/>
  <c r="D76" i="6"/>
  <c r="C76" i="6"/>
  <c r="B76" i="6"/>
  <c r="G76" i="6" s="1"/>
  <c r="E75" i="6"/>
  <c r="H75" i="6" s="1"/>
  <c r="D75" i="6"/>
  <c r="C75" i="6"/>
  <c r="B75" i="6"/>
  <c r="G75" i="6" s="1"/>
  <c r="E74" i="6"/>
  <c r="H74" i="6" s="1"/>
  <c r="D74" i="6"/>
  <c r="C74" i="6"/>
  <c r="B74" i="6"/>
  <c r="G74" i="6" s="1"/>
  <c r="E73" i="6"/>
  <c r="H73" i="6" s="1"/>
  <c r="D73" i="6"/>
  <c r="C73" i="6"/>
  <c r="B73" i="6"/>
  <c r="N73" i="6" s="1"/>
  <c r="V73" i="6" s="1"/>
  <c r="E72" i="6"/>
  <c r="H72" i="6" s="1"/>
  <c r="D72" i="6"/>
  <c r="C72" i="6"/>
  <c r="B72" i="6"/>
  <c r="G72" i="6" s="1"/>
  <c r="E71" i="6"/>
  <c r="H71" i="6" s="1"/>
  <c r="D71" i="6"/>
  <c r="C71" i="6"/>
  <c r="B71" i="6"/>
  <c r="G71" i="6" s="1"/>
  <c r="E70" i="6"/>
  <c r="H70" i="6" s="1"/>
  <c r="D70" i="6"/>
  <c r="C70" i="6"/>
  <c r="B70" i="6"/>
  <c r="G70" i="6" s="1"/>
  <c r="E69" i="6"/>
  <c r="H69" i="6" s="1"/>
  <c r="D69" i="6"/>
  <c r="C69" i="6"/>
  <c r="B69" i="6"/>
  <c r="N69" i="6" s="1"/>
  <c r="V69" i="6" s="1"/>
  <c r="E68" i="6"/>
  <c r="H68" i="6" s="1"/>
  <c r="D68" i="6"/>
  <c r="C68" i="6"/>
  <c r="B68" i="6"/>
  <c r="G68" i="6" s="1"/>
  <c r="E67" i="6"/>
  <c r="H67" i="6" s="1"/>
  <c r="D67" i="6"/>
  <c r="C67" i="6"/>
  <c r="B67" i="6"/>
  <c r="G67" i="6" s="1"/>
  <c r="E66" i="6"/>
  <c r="H66" i="6" s="1"/>
  <c r="D66" i="6"/>
  <c r="C66" i="6"/>
  <c r="B66" i="6"/>
  <c r="G66" i="6" s="1"/>
  <c r="E65" i="6"/>
  <c r="H65" i="6" s="1"/>
  <c r="D65" i="6"/>
  <c r="C65" i="6"/>
  <c r="B65" i="6"/>
  <c r="N65" i="6" s="1"/>
  <c r="V65" i="6" s="1"/>
  <c r="E64" i="6"/>
  <c r="H64" i="6" s="1"/>
  <c r="D64" i="6"/>
  <c r="C64" i="6"/>
  <c r="B64" i="6"/>
  <c r="G64" i="6" s="1"/>
  <c r="E63" i="6"/>
  <c r="H63" i="6" s="1"/>
  <c r="D63" i="6"/>
  <c r="C63" i="6"/>
  <c r="B63" i="6"/>
  <c r="G63" i="6" s="1"/>
  <c r="E62" i="6"/>
  <c r="H62" i="6" s="1"/>
  <c r="D62" i="6"/>
  <c r="C62" i="6"/>
  <c r="B62" i="6"/>
  <c r="G62" i="6" s="1"/>
  <c r="E61" i="6"/>
  <c r="H61" i="6" s="1"/>
  <c r="D61" i="6"/>
  <c r="C61" i="6"/>
  <c r="B61" i="6"/>
  <c r="N61" i="6" s="1"/>
  <c r="V61" i="6" s="1"/>
  <c r="E60" i="6"/>
  <c r="H60" i="6" s="1"/>
  <c r="D60" i="6"/>
  <c r="C60" i="6"/>
  <c r="B60" i="6"/>
  <c r="G60" i="6" s="1"/>
  <c r="E59" i="6"/>
  <c r="H59" i="6" s="1"/>
  <c r="D59" i="6"/>
  <c r="C59" i="6"/>
  <c r="B59" i="6"/>
  <c r="G59" i="6" s="1"/>
  <c r="E58" i="6"/>
  <c r="H58" i="6" s="1"/>
  <c r="D58" i="6"/>
  <c r="C58" i="6"/>
  <c r="B58" i="6"/>
  <c r="G58" i="6" s="1"/>
  <c r="E57" i="6"/>
  <c r="H57" i="6" s="1"/>
  <c r="D57" i="6"/>
  <c r="C57" i="6"/>
  <c r="B57" i="6"/>
  <c r="N57" i="6" s="1"/>
  <c r="V57" i="6" s="1"/>
  <c r="E56" i="6"/>
  <c r="H56" i="6" s="1"/>
  <c r="D56" i="6"/>
  <c r="C56" i="6"/>
  <c r="B56" i="6"/>
  <c r="G56" i="6" s="1"/>
  <c r="E55" i="6"/>
  <c r="H55" i="6" s="1"/>
  <c r="D55" i="6"/>
  <c r="C55" i="6"/>
  <c r="B55" i="6"/>
  <c r="G55" i="6" s="1"/>
  <c r="E54" i="6"/>
  <c r="H54" i="6" s="1"/>
  <c r="D54" i="6"/>
  <c r="C54" i="6"/>
  <c r="B54" i="6"/>
  <c r="G54" i="6" s="1"/>
  <c r="E53" i="6"/>
  <c r="H53" i="6" s="1"/>
  <c r="D53" i="6"/>
  <c r="C53" i="6"/>
  <c r="B53" i="6"/>
  <c r="N53" i="6" s="1"/>
  <c r="V53" i="6" s="1"/>
  <c r="E52" i="6"/>
  <c r="H52" i="6" s="1"/>
  <c r="D52" i="6"/>
  <c r="C52" i="6"/>
  <c r="B52" i="6"/>
  <c r="G52" i="6" s="1"/>
  <c r="E51" i="6"/>
  <c r="H51" i="6" s="1"/>
  <c r="D51" i="6"/>
  <c r="C51" i="6"/>
  <c r="B51" i="6"/>
  <c r="G51" i="6" s="1"/>
  <c r="E50" i="6"/>
  <c r="H50" i="6" s="1"/>
  <c r="D50" i="6"/>
  <c r="C50" i="6"/>
  <c r="B50" i="6"/>
  <c r="G50" i="6" s="1"/>
  <c r="E49" i="6"/>
  <c r="H49" i="6" s="1"/>
  <c r="D49" i="6"/>
  <c r="C49" i="6"/>
  <c r="B49" i="6"/>
  <c r="N49" i="6" s="1"/>
  <c r="V49" i="6" s="1"/>
  <c r="E48" i="6"/>
  <c r="H48" i="6" s="1"/>
  <c r="D48" i="6"/>
  <c r="C48" i="6"/>
  <c r="B48" i="6"/>
  <c r="G48" i="6" s="1"/>
  <c r="E47" i="6"/>
  <c r="H47" i="6" s="1"/>
  <c r="D47" i="6"/>
  <c r="C47" i="6"/>
  <c r="B47" i="6"/>
  <c r="G47" i="6" s="1"/>
  <c r="E46" i="6"/>
  <c r="H46" i="6" s="1"/>
  <c r="D46" i="6"/>
  <c r="C46" i="6"/>
  <c r="B46" i="6"/>
  <c r="G46" i="6" s="1"/>
  <c r="E45" i="6"/>
  <c r="H45" i="6" s="1"/>
  <c r="D45" i="6"/>
  <c r="C45" i="6"/>
  <c r="B45" i="6"/>
  <c r="N45" i="6" s="1"/>
  <c r="V45" i="6" s="1"/>
  <c r="E44" i="6"/>
  <c r="H44" i="6" s="1"/>
  <c r="D44" i="6"/>
  <c r="C44" i="6"/>
  <c r="B44" i="6"/>
  <c r="G44" i="6" s="1"/>
  <c r="E43" i="6"/>
  <c r="H43" i="6" s="1"/>
  <c r="D43" i="6"/>
  <c r="C43" i="6"/>
  <c r="B43" i="6"/>
  <c r="G43" i="6" s="1"/>
  <c r="E42" i="6"/>
  <c r="H42" i="6" s="1"/>
  <c r="D42" i="6"/>
  <c r="C42" i="6"/>
  <c r="B42" i="6"/>
  <c r="G42" i="6" s="1"/>
  <c r="E41" i="6"/>
  <c r="H41" i="6" s="1"/>
  <c r="D41" i="6"/>
  <c r="C41" i="6"/>
  <c r="B41" i="6"/>
  <c r="N41" i="6" s="1"/>
  <c r="V41" i="6" s="1"/>
  <c r="E40" i="6"/>
  <c r="H40" i="6" s="1"/>
  <c r="D40" i="6"/>
  <c r="C40" i="6"/>
  <c r="B40" i="6"/>
  <c r="G40" i="6" s="1"/>
  <c r="E39" i="6"/>
  <c r="H39" i="6" s="1"/>
  <c r="D39" i="6"/>
  <c r="C39" i="6"/>
  <c r="B39" i="6"/>
  <c r="G39" i="6" s="1"/>
  <c r="E38" i="6"/>
  <c r="H38" i="6" s="1"/>
  <c r="D38" i="6"/>
  <c r="C38" i="6"/>
  <c r="B38" i="6"/>
  <c r="G38" i="6" s="1"/>
  <c r="E37" i="6"/>
  <c r="H37" i="6" s="1"/>
  <c r="D37" i="6"/>
  <c r="C37" i="6"/>
  <c r="B37" i="6"/>
  <c r="N37" i="6" s="1"/>
  <c r="V37" i="6" s="1"/>
  <c r="E36" i="6"/>
  <c r="H36" i="6" s="1"/>
  <c r="D36" i="6"/>
  <c r="C36" i="6"/>
  <c r="B36" i="6"/>
  <c r="G36" i="6" s="1"/>
  <c r="E35" i="6"/>
  <c r="H35" i="6" s="1"/>
  <c r="D35" i="6"/>
  <c r="C35" i="6"/>
  <c r="B35" i="6"/>
  <c r="G35" i="6" s="1"/>
  <c r="E34" i="6"/>
  <c r="H34" i="6" s="1"/>
  <c r="D34" i="6"/>
  <c r="C34" i="6"/>
  <c r="B34" i="6"/>
  <c r="G34" i="6" s="1"/>
  <c r="E33" i="6"/>
  <c r="H33" i="6" s="1"/>
  <c r="D33" i="6"/>
  <c r="C33" i="6"/>
  <c r="B33" i="6"/>
  <c r="N33" i="6" s="1"/>
  <c r="V33" i="6" s="1"/>
  <c r="E32" i="6"/>
  <c r="H32" i="6" s="1"/>
  <c r="D32" i="6"/>
  <c r="C32" i="6"/>
  <c r="B32" i="6"/>
  <c r="G32" i="6" s="1"/>
  <c r="E31" i="6"/>
  <c r="H31" i="6" s="1"/>
  <c r="D31" i="6"/>
  <c r="C31" i="6"/>
  <c r="B31" i="6"/>
  <c r="G31" i="6" s="1"/>
  <c r="E30" i="6"/>
  <c r="H30" i="6" s="1"/>
  <c r="D30" i="6"/>
  <c r="C30" i="6"/>
  <c r="B30" i="6"/>
  <c r="G30" i="6" s="1"/>
  <c r="E29" i="6"/>
  <c r="H29" i="6" s="1"/>
  <c r="D29" i="6"/>
  <c r="C29" i="6"/>
  <c r="B29" i="6"/>
  <c r="N29" i="6" s="1"/>
  <c r="V29" i="6" s="1"/>
  <c r="E28" i="6"/>
  <c r="H28" i="6" s="1"/>
  <c r="D28" i="6"/>
  <c r="C28" i="6"/>
  <c r="B28" i="6"/>
  <c r="G28" i="6" s="1"/>
  <c r="E27" i="6"/>
  <c r="H27" i="6" s="1"/>
  <c r="D27" i="6"/>
  <c r="C27" i="6"/>
  <c r="B27" i="6"/>
  <c r="G27" i="6" s="1"/>
  <c r="E26" i="6"/>
  <c r="H26" i="6" s="1"/>
  <c r="D26" i="6"/>
  <c r="C26" i="6"/>
  <c r="B26" i="6"/>
  <c r="G26" i="6" s="1"/>
  <c r="E25" i="6"/>
  <c r="H25" i="6" s="1"/>
  <c r="D25" i="6"/>
  <c r="C25" i="6"/>
  <c r="B25" i="6"/>
  <c r="N25" i="6" s="1"/>
  <c r="V25" i="6" s="1"/>
  <c r="E24" i="6"/>
  <c r="H24" i="6" s="1"/>
  <c r="D24" i="6"/>
  <c r="C24" i="6"/>
  <c r="B24" i="6"/>
  <c r="G24" i="6" s="1"/>
  <c r="E23" i="6"/>
  <c r="H23" i="6" s="1"/>
  <c r="D23" i="6"/>
  <c r="C23" i="6"/>
  <c r="B23" i="6"/>
  <c r="G23" i="6" s="1"/>
  <c r="E22" i="6"/>
  <c r="H22" i="6" s="1"/>
  <c r="D22" i="6"/>
  <c r="C22" i="6"/>
  <c r="O22" i="6" s="1"/>
  <c r="Q22" i="6" s="1"/>
  <c r="B22" i="6"/>
  <c r="G22" i="6" s="1"/>
  <c r="E21" i="6"/>
  <c r="H21" i="6" s="1"/>
  <c r="D21" i="6"/>
  <c r="C21" i="6"/>
  <c r="O21" i="6" s="1"/>
  <c r="Q21" i="6" s="1"/>
  <c r="B21" i="6"/>
  <c r="G21" i="6" s="1"/>
  <c r="H20" i="6"/>
  <c r="E20" i="6"/>
  <c r="D20" i="6"/>
  <c r="C20" i="6"/>
  <c r="B20" i="6"/>
  <c r="G20" i="6" s="1"/>
  <c r="E19" i="6"/>
  <c r="H19" i="6" s="1"/>
  <c r="D19" i="6"/>
  <c r="C19" i="6"/>
  <c r="O19" i="6" s="1"/>
  <c r="Q19" i="6" s="1"/>
  <c r="B19" i="6"/>
  <c r="G19" i="6" s="1"/>
  <c r="H18" i="6"/>
  <c r="E18" i="6"/>
  <c r="D18" i="6"/>
  <c r="C18" i="6"/>
  <c r="O18" i="6" s="1"/>
  <c r="Q18" i="6" s="1"/>
  <c r="B18" i="6"/>
  <c r="G18" i="6" s="1"/>
  <c r="E17" i="6"/>
  <c r="H17" i="6" s="1"/>
  <c r="D17" i="6"/>
  <c r="C17" i="6"/>
  <c r="O17" i="6" s="1"/>
  <c r="Q17" i="6" s="1"/>
  <c r="B17" i="6"/>
  <c r="G17" i="6" s="1"/>
  <c r="H16" i="6"/>
  <c r="E16" i="6"/>
  <c r="D16" i="6"/>
  <c r="C16" i="6"/>
  <c r="B16" i="6"/>
  <c r="G16" i="6" s="1"/>
  <c r="E15" i="6"/>
  <c r="H15" i="6" s="1"/>
  <c r="D15" i="6"/>
  <c r="C15" i="6"/>
  <c r="B15" i="6"/>
  <c r="G15" i="6" s="1"/>
  <c r="H14" i="6"/>
  <c r="E14" i="6"/>
  <c r="D14" i="6"/>
  <c r="C14" i="6"/>
  <c r="O14" i="6" s="1"/>
  <c r="Q14" i="6" s="1"/>
  <c r="B14" i="6"/>
  <c r="G14" i="6" s="1"/>
  <c r="E13" i="6"/>
  <c r="H13" i="6" s="1"/>
  <c r="D13" i="6"/>
  <c r="C13" i="6"/>
  <c r="O13" i="6" s="1"/>
  <c r="B13" i="6"/>
  <c r="G13" i="6" s="1"/>
  <c r="H12" i="6"/>
  <c r="E12" i="6"/>
  <c r="D12" i="6"/>
  <c r="C12" i="6"/>
  <c r="B12" i="6"/>
  <c r="G12" i="6" s="1"/>
  <c r="E11" i="6"/>
  <c r="H11" i="6" s="1"/>
  <c r="D11" i="6"/>
  <c r="C11" i="6"/>
  <c r="O11" i="6" s="1"/>
  <c r="B11" i="6"/>
  <c r="G11" i="6" s="1"/>
  <c r="H10" i="6"/>
  <c r="E10" i="6"/>
  <c r="D10" i="6"/>
  <c r="C10" i="6"/>
  <c r="O10" i="6" s="1"/>
  <c r="B10" i="6"/>
  <c r="G10" i="6" s="1"/>
  <c r="E9" i="6"/>
  <c r="H9" i="6" s="1"/>
  <c r="D9" i="6"/>
  <c r="C9" i="6"/>
  <c r="O9" i="6" s="1"/>
  <c r="B9" i="6"/>
  <c r="G9" i="6" s="1"/>
  <c r="H8" i="6"/>
  <c r="E8" i="6"/>
  <c r="D8" i="6"/>
  <c r="C8" i="6"/>
  <c r="B8" i="6"/>
  <c r="G8" i="6" s="1"/>
  <c r="E7" i="6"/>
  <c r="H7" i="6" s="1"/>
  <c r="D7" i="6"/>
  <c r="C7" i="6"/>
  <c r="B7" i="6"/>
  <c r="G7" i="6" s="1"/>
  <c r="O7" i="6"/>
  <c r="O15" i="6"/>
  <c r="Q15" i="6" s="1"/>
  <c r="O23" i="6"/>
  <c r="Q23" i="6" s="1"/>
  <c r="O25" i="6"/>
  <c r="Q25" i="6" s="1"/>
  <c r="O27" i="6"/>
  <c r="Q27" i="6" s="1"/>
  <c r="O29" i="6"/>
  <c r="Q29" i="6" s="1"/>
  <c r="O31" i="6"/>
  <c r="Q31" i="6" s="1"/>
  <c r="O33" i="6"/>
  <c r="Q33" i="6" s="1"/>
  <c r="O35" i="6"/>
  <c r="Q35" i="6" s="1"/>
  <c r="O37" i="6"/>
  <c r="Q37" i="6" s="1"/>
  <c r="O39" i="6"/>
  <c r="Q39" i="6" s="1"/>
  <c r="O41" i="6"/>
  <c r="Q41" i="6" s="1"/>
  <c r="O43" i="6"/>
  <c r="Q43" i="6" s="1"/>
  <c r="O45" i="6"/>
  <c r="Q45" i="6" s="1"/>
  <c r="O47" i="6"/>
  <c r="Q47" i="6" s="1"/>
  <c r="O49" i="6"/>
  <c r="Q49" i="6" s="1"/>
  <c r="O51" i="6"/>
  <c r="Q51" i="6" s="1"/>
  <c r="O53" i="6"/>
  <c r="Q53" i="6" s="1"/>
  <c r="O55" i="6"/>
  <c r="Q55" i="6" s="1"/>
  <c r="O57" i="6"/>
  <c r="Q57" i="6" s="1"/>
  <c r="O59" i="6"/>
  <c r="Q59" i="6" s="1"/>
  <c r="O61" i="6"/>
  <c r="Q61" i="6" s="1"/>
  <c r="O63" i="6"/>
  <c r="Q63" i="6" s="1"/>
  <c r="O65" i="6"/>
  <c r="Q65" i="6" s="1"/>
  <c r="O68" i="6"/>
  <c r="Q68" i="6" s="1"/>
  <c r="O70" i="6"/>
  <c r="Q70" i="6" s="1"/>
  <c r="O72" i="6"/>
  <c r="Q72" i="6" s="1"/>
  <c r="O74" i="6"/>
  <c r="Q74" i="6" s="1"/>
  <c r="O76" i="6"/>
  <c r="Q76" i="6" s="1"/>
  <c r="O78" i="6"/>
  <c r="Q78" i="6" s="1"/>
  <c r="O80" i="6"/>
  <c r="Q80" i="6" s="1"/>
  <c r="O82" i="6"/>
  <c r="Q82" i="6" s="1"/>
  <c r="O84" i="6"/>
  <c r="Q84" i="6" s="1"/>
  <c r="O86" i="6"/>
  <c r="Q86" i="6" s="1"/>
  <c r="O88" i="6"/>
  <c r="Q88" i="6" s="1"/>
  <c r="O90" i="6"/>
  <c r="Q90" i="6" s="1"/>
  <c r="O92" i="6"/>
  <c r="Q92" i="6" s="1"/>
  <c r="O95" i="6"/>
  <c r="O96" i="6"/>
  <c r="O99" i="6"/>
  <c r="O100" i="6"/>
  <c r="O103" i="6"/>
  <c r="O104" i="6"/>
  <c r="T106" i="6"/>
  <c r="X106" i="6" s="1"/>
  <c r="N106" i="6"/>
  <c r="O106" i="6"/>
  <c r="Q106" i="6" s="1"/>
  <c r="M106" i="6"/>
  <c r="T105" i="6"/>
  <c r="X105" i="6" s="1"/>
  <c r="O105" i="6"/>
  <c r="T104" i="6"/>
  <c r="X104" i="6" s="1"/>
  <c r="N104" i="6"/>
  <c r="P104" i="6" s="1"/>
  <c r="T103" i="6"/>
  <c r="X103" i="6" s="1"/>
  <c r="N103" i="6"/>
  <c r="P103" i="6" s="1"/>
  <c r="T102" i="6"/>
  <c r="X102" i="6" s="1"/>
  <c r="O102" i="6"/>
  <c r="N102" i="6"/>
  <c r="P102" i="6" s="1"/>
  <c r="T101" i="6"/>
  <c r="X101" i="6" s="1"/>
  <c r="O101" i="6"/>
  <c r="T100" i="6"/>
  <c r="X100" i="6" s="1"/>
  <c r="N100" i="6"/>
  <c r="P100" i="6" s="1"/>
  <c r="T99" i="6"/>
  <c r="X99" i="6" s="1"/>
  <c r="N99" i="6"/>
  <c r="P99" i="6" s="1"/>
  <c r="T98" i="6"/>
  <c r="X98" i="6" s="1"/>
  <c r="O98" i="6"/>
  <c r="N98" i="6"/>
  <c r="P98" i="6" s="1"/>
  <c r="T97" i="6"/>
  <c r="X97" i="6" s="1"/>
  <c r="O97" i="6"/>
  <c r="T96" i="6"/>
  <c r="X96" i="6" s="1"/>
  <c r="N96" i="6"/>
  <c r="P96" i="6" s="1"/>
  <c r="T95" i="6"/>
  <c r="X95" i="6" s="1"/>
  <c r="N95" i="6"/>
  <c r="P95" i="6" s="1"/>
  <c r="T94" i="6"/>
  <c r="X94" i="6" s="1"/>
  <c r="O94" i="6"/>
  <c r="N94" i="6"/>
  <c r="P94" i="6" s="1"/>
  <c r="T93" i="6"/>
  <c r="X93" i="6" s="1"/>
  <c r="O93" i="6"/>
  <c r="T92" i="6"/>
  <c r="X92" i="6" s="1"/>
  <c r="N92" i="6"/>
  <c r="T91" i="6"/>
  <c r="X91" i="6" s="1"/>
  <c r="O91" i="6"/>
  <c r="Q91" i="6" s="1"/>
  <c r="N91" i="6"/>
  <c r="V91" i="6" s="1"/>
  <c r="T90" i="6"/>
  <c r="X90" i="6" s="1"/>
  <c r="N90" i="6"/>
  <c r="X89" i="6"/>
  <c r="T89" i="6"/>
  <c r="O89" i="6"/>
  <c r="Q89" i="6" s="1"/>
  <c r="X88" i="6"/>
  <c r="T88" i="6"/>
  <c r="N88" i="6"/>
  <c r="T87" i="6"/>
  <c r="X87" i="6" s="1"/>
  <c r="O87" i="6"/>
  <c r="Q87" i="6" s="1"/>
  <c r="N87" i="6"/>
  <c r="V87" i="6" s="1"/>
  <c r="T86" i="6"/>
  <c r="X86" i="6" s="1"/>
  <c r="N86" i="6"/>
  <c r="X85" i="6"/>
  <c r="T85" i="6"/>
  <c r="O85" i="6"/>
  <c r="Q85" i="6" s="1"/>
  <c r="X84" i="6"/>
  <c r="T84" i="6"/>
  <c r="N84" i="6"/>
  <c r="T83" i="6"/>
  <c r="X83" i="6" s="1"/>
  <c r="O83" i="6"/>
  <c r="Q83" i="6" s="1"/>
  <c r="N83" i="6"/>
  <c r="V83" i="6" s="1"/>
  <c r="T82" i="6"/>
  <c r="X82" i="6" s="1"/>
  <c r="N82" i="6"/>
  <c r="X81" i="6"/>
  <c r="T81" i="6"/>
  <c r="O81" i="6"/>
  <c r="Q81" i="6" s="1"/>
  <c r="X80" i="6"/>
  <c r="T80" i="6"/>
  <c r="N80" i="6"/>
  <c r="T79" i="6"/>
  <c r="X79" i="6" s="1"/>
  <c r="O79" i="6"/>
  <c r="Q79" i="6" s="1"/>
  <c r="N79" i="6"/>
  <c r="V79" i="6" s="1"/>
  <c r="T78" i="6"/>
  <c r="X78" i="6" s="1"/>
  <c r="N78" i="6"/>
  <c r="X77" i="6"/>
  <c r="T77" i="6"/>
  <c r="O77" i="6"/>
  <c r="Q77" i="6" s="1"/>
  <c r="X76" i="6"/>
  <c r="T76" i="6"/>
  <c r="N76" i="6"/>
  <c r="T75" i="6"/>
  <c r="X75" i="6" s="1"/>
  <c r="O75" i="6"/>
  <c r="Q75" i="6" s="1"/>
  <c r="N75" i="6"/>
  <c r="V75" i="6" s="1"/>
  <c r="T74" i="6"/>
  <c r="X74" i="6" s="1"/>
  <c r="N74" i="6"/>
  <c r="X73" i="6"/>
  <c r="T73" i="6"/>
  <c r="O73" i="6"/>
  <c r="Q73" i="6" s="1"/>
  <c r="X72" i="6"/>
  <c r="T72" i="6"/>
  <c r="N72" i="6"/>
  <c r="T71" i="6"/>
  <c r="X71" i="6" s="1"/>
  <c r="O71" i="6"/>
  <c r="Q71" i="6" s="1"/>
  <c r="N71" i="6"/>
  <c r="V71" i="6" s="1"/>
  <c r="T70" i="6"/>
  <c r="X70" i="6" s="1"/>
  <c r="N70" i="6"/>
  <c r="X69" i="6"/>
  <c r="T69" i="6"/>
  <c r="O69" i="6"/>
  <c r="Q69" i="6" s="1"/>
  <c r="X68" i="6"/>
  <c r="T68" i="6"/>
  <c r="N68" i="6"/>
  <c r="T67" i="6"/>
  <c r="X67" i="6" s="1"/>
  <c r="O67" i="6"/>
  <c r="Q67" i="6" s="1"/>
  <c r="N67" i="6"/>
  <c r="V67" i="6" s="1"/>
  <c r="T66" i="6"/>
  <c r="X66" i="6" s="1"/>
  <c r="O66" i="6"/>
  <c r="Q66" i="6" s="1"/>
  <c r="N66" i="6"/>
  <c r="T65" i="6"/>
  <c r="X65" i="6" s="1"/>
  <c r="X64" i="6"/>
  <c r="T64" i="6"/>
  <c r="O64" i="6"/>
  <c r="Q64" i="6" s="1"/>
  <c r="N64" i="6"/>
  <c r="X63" i="6"/>
  <c r="T63" i="6"/>
  <c r="N63" i="6"/>
  <c r="V63" i="6" s="1"/>
  <c r="T62" i="6"/>
  <c r="X62" i="6" s="1"/>
  <c r="O62" i="6"/>
  <c r="Q62" i="6" s="1"/>
  <c r="N62" i="6"/>
  <c r="T61" i="6"/>
  <c r="X61" i="6" s="1"/>
  <c r="X60" i="6"/>
  <c r="T60" i="6"/>
  <c r="O60" i="6"/>
  <c r="Q60" i="6" s="1"/>
  <c r="N60" i="6"/>
  <c r="X59" i="6"/>
  <c r="T59" i="6"/>
  <c r="N59" i="6"/>
  <c r="V59" i="6" s="1"/>
  <c r="T58" i="6"/>
  <c r="X58" i="6" s="1"/>
  <c r="O58" i="6"/>
  <c r="Q58" i="6" s="1"/>
  <c r="N58" i="6"/>
  <c r="T57" i="6"/>
  <c r="X57" i="6" s="1"/>
  <c r="X56" i="6"/>
  <c r="T56" i="6"/>
  <c r="O56" i="6"/>
  <c r="Q56" i="6" s="1"/>
  <c r="N56" i="6"/>
  <c r="X55" i="6"/>
  <c r="T55" i="6"/>
  <c r="N55" i="6"/>
  <c r="V55" i="6" s="1"/>
  <c r="T54" i="6"/>
  <c r="X54" i="6" s="1"/>
  <c r="O54" i="6"/>
  <c r="Q54" i="6" s="1"/>
  <c r="N54" i="6"/>
  <c r="T53" i="6"/>
  <c r="X53" i="6" s="1"/>
  <c r="X52" i="6"/>
  <c r="T52" i="6"/>
  <c r="O52" i="6"/>
  <c r="Q52" i="6" s="1"/>
  <c r="N52" i="6"/>
  <c r="X51" i="6"/>
  <c r="T51" i="6"/>
  <c r="N51" i="6"/>
  <c r="V51" i="6" s="1"/>
  <c r="T50" i="6"/>
  <c r="X50" i="6" s="1"/>
  <c r="O50" i="6"/>
  <c r="Q50" i="6" s="1"/>
  <c r="N50" i="6"/>
  <c r="T49" i="6"/>
  <c r="X49" i="6" s="1"/>
  <c r="X48" i="6"/>
  <c r="T48" i="6"/>
  <c r="O48" i="6"/>
  <c r="Q48" i="6" s="1"/>
  <c r="N48" i="6"/>
  <c r="X47" i="6"/>
  <c r="T47" i="6"/>
  <c r="N47" i="6"/>
  <c r="V47" i="6" s="1"/>
  <c r="T46" i="6"/>
  <c r="X46" i="6" s="1"/>
  <c r="O46" i="6"/>
  <c r="Q46" i="6" s="1"/>
  <c r="N46" i="6"/>
  <c r="T45" i="6"/>
  <c r="X45" i="6" s="1"/>
  <c r="X44" i="6"/>
  <c r="T44" i="6"/>
  <c r="O44" i="6"/>
  <c r="Q44" i="6" s="1"/>
  <c r="N44" i="6"/>
  <c r="X43" i="6"/>
  <c r="T43" i="6"/>
  <c r="N43" i="6"/>
  <c r="V43" i="6" s="1"/>
  <c r="T42" i="6"/>
  <c r="X42" i="6" s="1"/>
  <c r="O42" i="6"/>
  <c r="Q42" i="6" s="1"/>
  <c r="N42" i="6"/>
  <c r="T41" i="6"/>
  <c r="X41" i="6" s="1"/>
  <c r="X40" i="6"/>
  <c r="T40" i="6"/>
  <c r="O40" i="6"/>
  <c r="Q40" i="6" s="1"/>
  <c r="N40" i="6"/>
  <c r="X39" i="6"/>
  <c r="T39" i="6"/>
  <c r="N39" i="6"/>
  <c r="V39" i="6" s="1"/>
  <c r="T38" i="6"/>
  <c r="X38" i="6" s="1"/>
  <c r="O38" i="6"/>
  <c r="Q38" i="6" s="1"/>
  <c r="N38" i="6"/>
  <c r="T37" i="6"/>
  <c r="X37" i="6" s="1"/>
  <c r="X36" i="6"/>
  <c r="T36" i="6"/>
  <c r="O36" i="6"/>
  <c r="Q36" i="6" s="1"/>
  <c r="N36" i="6"/>
  <c r="X35" i="6"/>
  <c r="T35" i="6"/>
  <c r="N35" i="6"/>
  <c r="V35" i="6" s="1"/>
  <c r="T34" i="6"/>
  <c r="X34" i="6" s="1"/>
  <c r="O34" i="6"/>
  <c r="Q34" i="6" s="1"/>
  <c r="N34" i="6"/>
  <c r="T33" i="6"/>
  <c r="X33" i="6" s="1"/>
  <c r="X32" i="6"/>
  <c r="T32" i="6"/>
  <c r="O32" i="6"/>
  <c r="Q32" i="6" s="1"/>
  <c r="N32" i="6"/>
  <c r="X31" i="6"/>
  <c r="T31" i="6"/>
  <c r="N31" i="6"/>
  <c r="V31" i="6" s="1"/>
  <c r="T30" i="6"/>
  <c r="X30" i="6" s="1"/>
  <c r="O30" i="6"/>
  <c r="Q30" i="6" s="1"/>
  <c r="N30" i="6"/>
  <c r="T29" i="6"/>
  <c r="X29" i="6" s="1"/>
  <c r="X28" i="6"/>
  <c r="T28" i="6"/>
  <c r="O28" i="6"/>
  <c r="Q28" i="6" s="1"/>
  <c r="N28" i="6"/>
  <c r="X27" i="6"/>
  <c r="T27" i="6"/>
  <c r="N27" i="6"/>
  <c r="V27" i="6" s="1"/>
  <c r="T26" i="6"/>
  <c r="X26" i="6" s="1"/>
  <c r="O26" i="6"/>
  <c r="Q26" i="6" s="1"/>
  <c r="N26" i="6"/>
  <c r="T25" i="6"/>
  <c r="X25" i="6" s="1"/>
  <c r="X24" i="6"/>
  <c r="T24" i="6"/>
  <c r="O24" i="6"/>
  <c r="Q24" i="6" s="1"/>
  <c r="N24" i="6"/>
  <c r="X23" i="6"/>
  <c r="T23" i="6"/>
  <c r="T22" i="6"/>
  <c r="X22" i="6" s="1"/>
  <c r="N22" i="6"/>
  <c r="T21" i="6"/>
  <c r="X21" i="6" s="1"/>
  <c r="N21" i="6"/>
  <c r="V21" i="6" s="1"/>
  <c r="X20" i="6"/>
  <c r="T20" i="6"/>
  <c r="O20" i="6"/>
  <c r="Q20" i="6" s="1"/>
  <c r="N20" i="6"/>
  <c r="X19" i="6"/>
  <c r="T19" i="6"/>
  <c r="N19" i="6"/>
  <c r="V19" i="6" s="1"/>
  <c r="T18" i="6"/>
  <c r="X18" i="6" s="1"/>
  <c r="N18" i="6"/>
  <c r="T17" i="6"/>
  <c r="X17" i="6" s="1"/>
  <c r="N17" i="6"/>
  <c r="V17" i="6" s="1"/>
  <c r="X16" i="6"/>
  <c r="T16" i="6"/>
  <c r="O16" i="6"/>
  <c r="Q16" i="6" s="1"/>
  <c r="N16" i="6"/>
  <c r="X15" i="6"/>
  <c r="T15" i="6"/>
  <c r="N15" i="6"/>
  <c r="V15" i="6" s="1"/>
  <c r="T14" i="6"/>
  <c r="X14" i="6" s="1"/>
  <c r="N14" i="6"/>
  <c r="T13" i="6"/>
  <c r="X13" i="6" s="1"/>
  <c r="N13" i="6"/>
  <c r="T12" i="6"/>
  <c r="X12" i="6" s="1"/>
  <c r="O12" i="6"/>
  <c r="N12" i="6"/>
  <c r="T11" i="6"/>
  <c r="X11" i="6" s="1"/>
  <c r="N11" i="6"/>
  <c r="T10" i="6"/>
  <c r="X10" i="6" s="1"/>
  <c r="N10" i="6"/>
  <c r="T9" i="6"/>
  <c r="X9" i="6" s="1"/>
  <c r="N9" i="6"/>
  <c r="T8" i="6"/>
  <c r="X8" i="6" s="1"/>
  <c r="O8" i="6"/>
  <c r="N8" i="6"/>
  <c r="T7" i="6"/>
  <c r="X7" i="6" s="1"/>
  <c r="N7" i="6"/>
  <c r="E4" i="6"/>
  <c r="B4" i="6"/>
  <c r="S2" i="6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7" i="5"/>
  <c r="E106" i="5"/>
  <c r="H106" i="5" s="1"/>
  <c r="D106" i="5"/>
  <c r="C106" i="5"/>
  <c r="B106" i="5"/>
  <c r="G106" i="5" s="1"/>
  <c r="E105" i="5"/>
  <c r="H105" i="5" s="1"/>
  <c r="D105" i="5"/>
  <c r="C105" i="5"/>
  <c r="B105" i="5"/>
  <c r="N105" i="5" s="1"/>
  <c r="V105" i="5" s="1"/>
  <c r="E104" i="5"/>
  <c r="H104" i="5" s="1"/>
  <c r="D104" i="5"/>
  <c r="C104" i="5"/>
  <c r="B104" i="5"/>
  <c r="G104" i="5" s="1"/>
  <c r="E103" i="5"/>
  <c r="H103" i="5" s="1"/>
  <c r="D103" i="5"/>
  <c r="C103" i="5"/>
  <c r="B103" i="5"/>
  <c r="N103" i="5" s="1"/>
  <c r="V103" i="5" s="1"/>
  <c r="E102" i="5"/>
  <c r="H102" i="5" s="1"/>
  <c r="D102" i="5"/>
  <c r="C102" i="5"/>
  <c r="B102" i="5"/>
  <c r="G102" i="5" s="1"/>
  <c r="E101" i="5"/>
  <c r="H101" i="5" s="1"/>
  <c r="D101" i="5"/>
  <c r="C101" i="5"/>
  <c r="B101" i="5"/>
  <c r="N101" i="5" s="1"/>
  <c r="V101" i="5" s="1"/>
  <c r="E100" i="5"/>
  <c r="H100" i="5" s="1"/>
  <c r="D100" i="5"/>
  <c r="C100" i="5"/>
  <c r="B100" i="5"/>
  <c r="G100" i="5" s="1"/>
  <c r="E99" i="5"/>
  <c r="H99" i="5" s="1"/>
  <c r="D99" i="5"/>
  <c r="C99" i="5"/>
  <c r="B99" i="5"/>
  <c r="N99" i="5" s="1"/>
  <c r="V99" i="5" s="1"/>
  <c r="E98" i="5"/>
  <c r="H98" i="5" s="1"/>
  <c r="D98" i="5"/>
  <c r="C98" i="5"/>
  <c r="B98" i="5"/>
  <c r="G98" i="5" s="1"/>
  <c r="E97" i="5"/>
  <c r="H97" i="5" s="1"/>
  <c r="D97" i="5"/>
  <c r="C97" i="5"/>
  <c r="B97" i="5"/>
  <c r="N97" i="5" s="1"/>
  <c r="V97" i="5" s="1"/>
  <c r="E96" i="5"/>
  <c r="H96" i="5" s="1"/>
  <c r="D96" i="5"/>
  <c r="C96" i="5"/>
  <c r="B96" i="5"/>
  <c r="G96" i="5" s="1"/>
  <c r="E95" i="5"/>
  <c r="H95" i="5" s="1"/>
  <c r="D95" i="5"/>
  <c r="C95" i="5"/>
  <c r="B95" i="5"/>
  <c r="N95" i="5" s="1"/>
  <c r="V95" i="5" s="1"/>
  <c r="E94" i="5"/>
  <c r="H94" i="5" s="1"/>
  <c r="D94" i="5"/>
  <c r="C94" i="5"/>
  <c r="B94" i="5"/>
  <c r="G94" i="5" s="1"/>
  <c r="E93" i="5"/>
  <c r="H93" i="5" s="1"/>
  <c r="D93" i="5"/>
  <c r="C93" i="5"/>
  <c r="B93" i="5"/>
  <c r="N93" i="5" s="1"/>
  <c r="V93" i="5" s="1"/>
  <c r="E92" i="5"/>
  <c r="H92" i="5" s="1"/>
  <c r="D92" i="5"/>
  <c r="C92" i="5"/>
  <c r="B92" i="5"/>
  <c r="G92" i="5" s="1"/>
  <c r="E91" i="5"/>
  <c r="H91" i="5" s="1"/>
  <c r="D91" i="5"/>
  <c r="C91" i="5"/>
  <c r="B91" i="5"/>
  <c r="N91" i="5" s="1"/>
  <c r="V91" i="5" s="1"/>
  <c r="E90" i="5"/>
  <c r="H90" i="5" s="1"/>
  <c r="D90" i="5"/>
  <c r="C90" i="5"/>
  <c r="B90" i="5"/>
  <c r="G90" i="5" s="1"/>
  <c r="E89" i="5"/>
  <c r="H89" i="5" s="1"/>
  <c r="D89" i="5"/>
  <c r="C89" i="5"/>
  <c r="B89" i="5"/>
  <c r="N89" i="5" s="1"/>
  <c r="E88" i="5"/>
  <c r="H88" i="5" s="1"/>
  <c r="D88" i="5"/>
  <c r="C88" i="5"/>
  <c r="B88" i="5"/>
  <c r="G88" i="5" s="1"/>
  <c r="E87" i="5"/>
  <c r="H87" i="5" s="1"/>
  <c r="D87" i="5"/>
  <c r="C87" i="5"/>
  <c r="B87" i="5"/>
  <c r="N87" i="5" s="1"/>
  <c r="E86" i="5"/>
  <c r="H86" i="5" s="1"/>
  <c r="D86" i="5"/>
  <c r="C86" i="5"/>
  <c r="B86" i="5"/>
  <c r="G86" i="5" s="1"/>
  <c r="E85" i="5"/>
  <c r="H85" i="5" s="1"/>
  <c r="D85" i="5"/>
  <c r="C85" i="5"/>
  <c r="B85" i="5"/>
  <c r="N85" i="5" s="1"/>
  <c r="E84" i="5"/>
  <c r="H84" i="5" s="1"/>
  <c r="D84" i="5"/>
  <c r="C84" i="5"/>
  <c r="B84" i="5"/>
  <c r="G84" i="5" s="1"/>
  <c r="E83" i="5"/>
  <c r="H83" i="5" s="1"/>
  <c r="D83" i="5"/>
  <c r="C83" i="5"/>
  <c r="B83" i="5"/>
  <c r="N83" i="5" s="1"/>
  <c r="E82" i="5"/>
  <c r="H82" i="5" s="1"/>
  <c r="D82" i="5"/>
  <c r="C82" i="5"/>
  <c r="B82" i="5"/>
  <c r="G82" i="5" s="1"/>
  <c r="E81" i="5"/>
  <c r="H81" i="5" s="1"/>
  <c r="D81" i="5"/>
  <c r="C81" i="5"/>
  <c r="B81" i="5"/>
  <c r="N81" i="5" s="1"/>
  <c r="E80" i="5"/>
  <c r="H80" i="5" s="1"/>
  <c r="D80" i="5"/>
  <c r="C80" i="5"/>
  <c r="B80" i="5"/>
  <c r="G80" i="5" s="1"/>
  <c r="E79" i="5"/>
  <c r="H79" i="5" s="1"/>
  <c r="D79" i="5"/>
  <c r="C79" i="5"/>
  <c r="B79" i="5"/>
  <c r="N79" i="5" s="1"/>
  <c r="P79" i="5" s="1"/>
  <c r="E78" i="5"/>
  <c r="H78" i="5" s="1"/>
  <c r="D78" i="5"/>
  <c r="C78" i="5"/>
  <c r="B78" i="5"/>
  <c r="G78" i="5" s="1"/>
  <c r="E77" i="5"/>
  <c r="H77" i="5" s="1"/>
  <c r="D77" i="5"/>
  <c r="C77" i="5"/>
  <c r="B77" i="5"/>
  <c r="N77" i="5" s="1"/>
  <c r="E76" i="5"/>
  <c r="H76" i="5" s="1"/>
  <c r="D76" i="5"/>
  <c r="C76" i="5"/>
  <c r="B76" i="5"/>
  <c r="G76" i="5" s="1"/>
  <c r="E75" i="5"/>
  <c r="H75" i="5" s="1"/>
  <c r="D75" i="5"/>
  <c r="C75" i="5"/>
  <c r="B75" i="5"/>
  <c r="N75" i="5" s="1"/>
  <c r="E74" i="5"/>
  <c r="H74" i="5" s="1"/>
  <c r="D74" i="5"/>
  <c r="C74" i="5"/>
  <c r="B74" i="5"/>
  <c r="G74" i="5" s="1"/>
  <c r="E73" i="5"/>
  <c r="H73" i="5" s="1"/>
  <c r="D73" i="5"/>
  <c r="C73" i="5"/>
  <c r="B73" i="5"/>
  <c r="N73" i="5" s="1"/>
  <c r="E72" i="5"/>
  <c r="H72" i="5" s="1"/>
  <c r="D72" i="5"/>
  <c r="C72" i="5"/>
  <c r="B72" i="5"/>
  <c r="G72" i="5" s="1"/>
  <c r="E71" i="5"/>
  <c r="H71" i="5" s="1"/>
  <c r="D71" i="5"/>
  <c r="C71" i="5"/>
  <c r="B71" i="5"/>
  <c r="N71" i="5" s="1"/>
  <c r="E70" i="5"/>
  <c r="H70" i="5" s="1"/>
  <c r="D70" i="5"/>
  <c r="C70" i="5"/>
  <c r="B70" i="5"/>
  <c r="G70" i="5" s="1"/>
  <c r="E69" i="5"/>
  <c r="H69" i="5" s="1"/>
  <c r="D69" i="5"/>
  <c r="C69" i="5"/>
  <c r="B69" i="5"/>
  <c r="N69" i="5" s="1"/>
  <c r="E68" i="5"/>
  <c r="H68" i="5" s="1"/>
  <c r="D68" i="5"/>
  <c r="C68" i="5"/>
  <c r="B68" i="5"/>
  <c r="G68" i="5" s="1"/>
  <c r="E67" i="5"/>
  <c r="H67" i="5" s="1"/>
  <c r="D67" i="5"/>
  <c r="C67" i="5"/>
  <c r="B67" i="5"/>
  <c r="N67" i="5" s="1"/>
  <c r="E66" i="5"/>
  <c r="H66" i="5" s="1"/>
  <c r="D66" i="5"/>
  <c r="C66" i="5"/>
  <c r="B66" i="5"/>
  <c r="G66" i="5" s="1"/>
  <c r="E65" i="5"/>
  <c r="H65" i="5" s="1"/>
  <c r="D65" i="5"/>
  <c r="C65" i="5"/>
  <c r="B65" i="5"/>
  <c r="N65" i="5" s="1"/>
  <c r="E64" i="5"/>
  <c r="H64" i="5" s="1"/>
  <c r="D64" i="5"/>
  <c r="C64" i="5"/>
  <c r="B64" i="5"/>
  <c r="G64" i="5" s="1"/>
  <c r="E63" i="5"/>
  <c r="H63" i="5" s="1"/>
  <c r="D63" i="5"/>
  <c r="C63" i="5"/>
  <c r="B63" i="5"/>
  <c r="N63" i="5" s="1"/>
  <c r="E62" i="5"/>
  <c r="H62" i="5" s="1"/>
  <c r="D62" i="5"/>
  <c r="C62" i="5"/>
  <c r="B62" i="5"/>
  <c r="G62" i="5" s="1"/>
  <c r="E61" i="5"/>
  <c r="H61" i="5" s="1"/>
  <c r="D61" i="5"/>
  <c r="C61" i="5"/>
  <c r="B61" i="5"/>
  <c r="N61" i="5" s="1"/>
  <c r="E60" i="5"/>
  <c r="H60" i="5" s="1"/>
  <c r="D60" i="5"/>
  <c r="C60" i="5"/>
  <c r="B60" i="5"/>
  <c r="G60" i="5" s="1"/>
  <c r="E59" i="5"/>
  <c r="H59" i="5" s="1"/>
  <c r="D59" i="5"/>
  <c r="C59" i="5"/>
  <c r="B59" i="5"/>
  <c r="N59" i="5" s="1"/>
  <c r="E58" i="5"/>
  <c r="H58" i="5" s="1"/>
  <c r="D58" i="5"/>
  <c r="C58" i="5"/>
  <c r="B58" i="5"/>
  <c r="G58" i="5" s="1"/>
  <c r="E57" i="5"/>
  <c r="H57" i="5" s="1"/>
  <c r="D57" i="5"/>
  <c r="C57" i="5"/>
  <c r="B57" i="5"/>
  <c r="N57" i="5" s="1"/>
  <c r="E56" i="5"/>
  <c r="H56" i="5" s="1"/>
  <c r="D56" i="5"/>
  <c r="C56" i="5"/>
  <c r="B56" i="5"/>
  <c r="G56" i="5" s="1"/>
  <c r="E55" i="5"/>
  <c r="H55" i="5" s="1"/>
  <c r="D55" i="5"/>
  <c r="C55" i="5"/>
  <c r="B55" i="5"/>
  <c r="N55" i="5" s="1"/>
  <c r="E54" i="5"/>
  <c r="H54" i="5" s="1"/>
  <c r="D54" i="5"/>
  <c r="C54" i="5"/>
  <c r="B54" i="5"/>
  <c r="G54" i="5" s="1"/>
  <c r="E53" i="5"/>
  <c r="H53" i="5" s="1"/>
  <c r="D53" i="5"/>
  <c r="C53" i="5"/>
  <c r="B53" i="5"/>
  <c r="N53" i="5" s="1"/>
  <c r="E52" i="5"/>
  <c r="H52" i="5" s="1"/>
  <c r="D52" i="5"/>
  <c r="C52" i="5"/>
  <c r="B52" i="5"/>
  <c r="G52" i="5" s="1"/>
  <c r="E51" i="5"/>
  <c r="H51" i="5" s="1"/>
  <c r="D51" i="5"/>
  <c r="C51" i="5"/>
  <c r="B51" i="5"/>
  <c r="N51" i="5" s="1"/>
  <c r="E50" i="5"/>
  <c r="H50" i="5" s="1"/>
  <c r="D50" i="5"/>
  <c r="C50" i="5"/>
  <c r="B50" i="5"/>
  <c r="G50" i="5" s="1"/>
  <c r="E49" i="5"/>
  <c r="H49" i="5" s="1"/>
  <c r="D49" i="5"/>
  <c r="C49" i="5"/>
  <c r="B49" i="5"/>
  <c r="N49" i="5" s="1"/>
  <c r="E48" i="5"/>
  <c r="H48" i="5" s="1"/>
  <c r="D48" i="5"/>
  <c r="C48" i="5"/>
  <c r="B48" i="5"/>
  <c r="G48" i="5" s="1"/>
  <c r="E47" i="5"/>
  <c r="H47" i="5" s="1"/>
  <c r="D47" i="5"/>
  <c r="C47" i="5"/>
  <c r="B47" i="5"/>
  <c r="N47" i="5" s="1"/>
  <c r="E46" i="5"/>
  <c r="H46" i="5" s="1"/>
  <c r="D46" i="5"/>
  <c r="C46" i="5"/>
  <c r="B46" i="5"/>
  <c r="G46" i="5" s="1"/>
  <c r="E45" i="5"/>
  <c r="H45" i="5" s="1"/>
  <c r="D45" i="5"/>
  <c r="C45" i="5"/>
  <c r="B45" i="5"/>
  <c r="N45" i="5" s="1"/>
  <c r="E44" i="5"/>
  <c r="H44" i="5" s="1"/>
  <c r="D44" i="5"/>
  <c r="C44" i="5"/>
  <c r="B44" i="5"/>
  <c r="G44" i="5" s="1"/>
  <c r="E43" i="5"/>
  <c r="H43" i="5" s="1"/>
  <c r="D43" i="5"/>
  <c r="C43" i="5"/>
  <c r="B43" i="5"/>
  <c r="N43" i="5" s="1"/>
  <c r="E42" i="5"/>
  <c r="H42" i="5" s="1"/>
  <c r="D42" i="5"/>
  <c r="C42" i="5"/>
  <c r="B42" i="5"/>
  <c r="G42" i="5" s="1"/>
  <c r="E41" i="5"/>
  <c r="H41" i="5" s="1"/>
  <c r="D41" i="5"/>
  <c r="C41" i="5"/>
  <c r="B41" i="5"/>
  <c r="N41" i="5" s="1"/>
  <c r="E40" i="5"/>
  <c r="H40" i="5" s="1"/>
  <c r="D40" i="5"/>
  <c r="C40" i="5"/>
  <c r="B40" i="5"/>
  <c r="G40" i="5" s="1"/>
  <c r="E39" i="5"/>
  <c r="H39" i="5" s="1"/>
  <c r="D39" i="5"/>
  <c r="C39" i="5"/>
  <c r="B39" i="5"/>
  <c r="N39" i="5" s="1"/>
  <c r="E38" i="5"/>
  <c r="H38" i="5" s="1"/>
  <c r="D38" i="5"/>
  <c r="C38" i="5"/>
  <c r="B38" i="5"/>
  <c r="G38" i="5" s="1"/>
  <c r="E37" i="5"/>
  <c r="H37" i="5" s="1"/>
  <c r="D37" i="5"/>
  <c r="C37" i="5"/>
  <c r="B37" i="5"/>
  <c r="N37" i="5" s="1"/>
  <c r="E36" i="5"/>
  <c r="H36" i="5" s="1"/>
  <c r="D36" i="5"/>
  <c r="C36" i="5"/>
  <c r="B36" i="5"/>
  <c r="G36" i="5" s="1"/>
  <c r="E35" i="5"/>
  <c r="H35" i="5" s="1"/>
  <c r="D35" i="5"/>
  <c r="C35" i="5"/>
  <c r="B35" i="5"/>
  <c r="N35" i="5" s="1"/>
  <c r="E34" i="5"/>
  <c r="H34" i="5" s="1"/>
  <c r="D34" i="5"/>
  <c r="C34" i="5"/>
  <c r="B34" i="5"/>
  <c r="G34" i="5" s="1"/>
  <c r="E33" i="5"/>
  <c r="H33" i="5" s="1"/>
  <c r="D33" i="5"/>
  <c r="C33" i="5"/>
  <c r="B33" i="5"/>
  <c r="N33" i="5" s="1"/>
  <c r="E32" i="5"/>
  <c r="H32" i="5" s="1"/>
  <c r="D32" i="5"/>
  <c r="C32" i="5"/>
  <c r="B32" i="5"/>
  <c r="G32" i="5" s="1"/>
  <c r="E31" i="5"/>
  <c r="H31" i="5" s="1"/>
  <c r="D31" i="5"/>
  <c r="C31" i="5"/>
  <c r="B31" i="5"/>
  <c r="N31" i="5" s="1"/>
  <c r="E30" i="5"/>
  <c r="H30" i="5" s="1"/>
  <c r="D30" i="5"/>
  <c r="C30" i="5"/>
  <c r="B30" i="5"/>
  <c r="G30" i="5" s="1"/>
  <c r="E29" i="5"/>
  <c r="H29" i="5" s="1"/>
  <c r="D29" i="5"/>
  <c r="C29" i="5"/>
  <c r="B29" i="5"/>
  <c r="N29" i="5" s="1"/>
  <c r="E28" i="5"/>
  <c r="H28" i="5" s="1"/>
  <c r="D28" i="5"/>
  <c r="C28" i="5"/>
  <c r="B28" i="5"/>
  <c r="G28" i="5" s="1"/>
  <c r="E27" i="5"/>
  <c r="H27" i="5" s="1"/>
  <c r="D27" i="5"/>
  <c r="C27" i="5"/>
  <c r="B27" i="5"/>
  <c r="N27" i="5" s="1"/>
  <c r="E26" i="5"/>
  <c r="H26" i="5" s="1"/>
  <c r="D26" i="5"/>
  <c r="C26" i="5"/>
  <c r="B26" i="5"/>
  <c r="G26" i="5" s="1"/>
  <c r="E25" i="5"/>
  <c r="H25" i="5" s="1"/>
  <c r="D25" i="5"/>
  <c r="C25" i="5"/>
  <c r="B25" i="5"/>
  <c r="N25" i="5" s="1"/>
  <c r="P25" i="5" s="1"/>
  <c r="E24" i="5"/>
  <c r="H24" i="5" s="1"/>
  <c r="D24" i="5"/>
  <c r="C24" i="5"/>
  <c r="B24" i="5"/>
  <c r="G24" i="5" s="1"/>
  <c r="E23" i="5"/>
  <c r="H23" i="5" s="1"/>
  <c r="D23" i="5"/>
  <c r="C23" i="5"/>
  <c r="B23" i="5"/>
  <c r="N23" i="5" s="1"/>
  <c r="E22" i="5"/>
  <c r="H22" i="5" s="1"/>
  <c r="D22" i="5"/>
  <c r="C22" i="5"/>
  <c r="B22" i="5"/>
  <c r="G22" i="5" s="1"/>
  <c r="E21" i="5"/>
  <c r="H21" i="5" s="1"/>
  <c r="D21" i="5"/>
  <c r="C21" i="5"/>
  <c r="O21" i="5" s="1"/>
  <c r="B21" i="5"/>
  <c r="G21" i="5" s="1"/>
  <c r="E20" i="5"/>
  <c r="H20" i="5" s="1"/>
  <c r="D20" i="5"/>
  <c r="C20" i="5"/>
  <c r="B20" i="5"/>
  <c r="G20" i="5" s="1"/>
  <c r="E19" i="5"/>
  <c r="H19" i="5" s="1"/>
  <c r="D19" i="5"/>
  <c r="C19" i="5"/>
  <c r="O19" i="5" s="1"/>
  <c r="B19" i="5"/>
  <c r="G19" i="5" s="1"/>
  <c r="E18" i="5"/>
  <c r="H18" i="5" s="1"/>
  <c r="D18" i="5"/>
  <c r="C18" i="5"/>
  <c r="B18" i="5"/>
  <c r="G18" i="5" s="1"/>
  <c r="E17" i="5"/>
  <c r="H17" i="5" s="1"/>
  <c r="D17" i="5"/>
  <c r="C17" i="5"/>
  <c r="O17" i="5" s="1"/>
  <c r="B17" i="5"/>
  <c r="G17" i="5" s="1"/>
  <c r="H16" i="5"/>
  <c r="E16" i="5"/>
  <c r="D16" i="5"/>
  <c r="C16" i="5"/>
  <c r="B16" i="5"/>
  <c r="G16" i="5" s="1"/>
  <c r="E15" i="5"/>
  <c r="H15" i="5" s="1"/>
  <c r="D15" i="5"/>
  <c r="C15" i="5"/>
  <c r="O15" i="5" s="1"/>
  <c r="B15" i="5"/>
  <c r="G15" i="5" s="1"/>
  <c r="H14" i="5"/>
  <c r="E14" i="5"/>
  <c r="D14" i="5"/>
  <c r="C14" i="5"/>
  <c r="B14" i="5"/>
  <c r="G14" i="5" s="1"/>
  <c r="E13" i="5"/>
  <c r="H13" i="5" s="1"/>
  <c r="D13" i="5"/>
  <c r="C13" i="5"/>
  <c r="O13" i="5" s="1"/>
  <c r="B13" i="5"/>
  <c r="G13" i="5" s="1"/>
  <c r="H12" i="5"/>
  <c r="E12" i="5"/>
  <c r="D12" i="5"/>
  <c r="C12" i="5"/>
  <c r="B12" i="5"/>
  <c r="G12" i="5" s="1"/>
  <c r="E11" i="5"/>
  <c r="H11" i="5" s="1"/>
  <c r="D11" i="5"/>
  <c r="C11" i="5"/>
  <c r="O11" i="5" s="1"/>
  <c r="B11" i="5"/>
  <c r="G11" i="5" s="1"/>
  <c r="H10" i="5"/>
  <c r="E10" i="5"/>
  <c r="D10" i="5"/>
  <c r="C10" i="5"/>
  <c r="B10" i="5"/>
  <c r="G10" i="5" s="1"/>
  <c r="E9" i="5"/>
  <c r="H9" i="5" s="1"/>
  <c r="D9" i="5"/>
  <c r="C9" i="5"/>
  <c r="O9" i="5" s="1"/>
  <c r="B9" i="5"/>
  <c r="G9" i="5" s="1"/>
  <c r="H8" i="5"/>
  <c r="E8" i="5"/>
  <c r="D8" i="5"/>
  <c r="C8" i="5"/>
  <c r="B8" i="5"/>
  <c r="G8" i="5" s="1"/>
  <c r="E7" i="5"/>
  <c r="H7" i="5" s="1"/>
  <c r="D7" i="5"/>
  <c r="C7" i="5"/>
  <c r="O7" i="5" s="1"/>
  <c r="B7" i="5"/>
  <c r="G7" i="5" s="1"/>
  <c r="T106" i="5"/>
  <c r="X106" i="5" s="1"/>
  <c r="O106" i="5"/>
  <c r="Q106" i="5" s="1"/>
  <c r="N106" i="5"/>
  <c r="P106" i="5" s="1"/>
  <c r="T105" i="5"/>
  <c r="X105" i="5" s="1"/>
  <c r="O105" i="5"/>
  <c r="Q105" i="5" s="1"/>
  <c r="T104" i="5"/>
  <c r="X104" i="5" s="1"/>
  <c r="O104" i="5"/>
  <c r="Q104" i="5" s="1"/>
  <c r="N104" i="5"/>
  <c r="T103" i="5"/>
  <c r="X103" i="5" s="1"/>
  <c r="O103" i="5"/>
  <c r="Q103" i="5" s="1"/>
  <c r="T102" i="5"/>
  <c r="X102" i="5" s="1"/>
  <c r="O102" i="5"/>
  <c r="Q102" i="5" s="1"/>
  <c r="N102" i="5"/>
  <c r="T101" i="5"/>
  <c r="X101" i="5" s="1"/>
  <c r="O101" i="5"/>
  <c r="Q101" i="5" s="1"/>
  <c r="T100" i="5"/>
  <c r="X100" i="5" s="1"/>
  <c r="O100" i="5"/>
  <c r="Q100" i="5" s="1"/>
  <c r="N100" i="5"/>
  <c r="T99" i="5"/>
  <c r="X99" i="5" s="1"/>
  <c r="O99" i="5"/>
  <c r="Q99" i="5" s="1"/>
  <c r="T98" i="5"/>
  <c r="X98" i="5" s="1"/>
  <c r="O98" i="5"/>
  <c r="Q98" i="5" s="1"/>
  <c r="N98" i="5"/>
  <c r="T97" i="5"/>
  <c r="X97" i="5" s="1"/>
  <c r="O97" i="5"/>
  <c r="Q97" i="5" s="1"/>
  <c r="T96" i="5"/>
  <c r="X96" i="5" s="1"/>
  <c r="O96" i="5"/>
  <c r="Q96" i="5" s="1"/>
  <c r="N96" i="5"/>
  <c r="T95" i="5"/>
  <c r="X95" i="5" s="1"/>
  <c r="O95" i="5"/>
  <c r="Q95" i="5" s="1"/>
  <c r="T94" i="5"/>
  <c r="X94" i="5" s="1"/>
  <c r="O94" i="5"/>
  <c r="Q94" i="5" s="1"/>
  <c r="N94" i="5"/>
  <c r="T93" i="5"/>
  <c r="X93" i="5" s="1"/>
  <c r="O93" i="5"/>
  <c r="Q93" i="5" s="1"/>
  <c r="T92" i="5"/>
  <c r="X92" i="5" s="1"/>
  <c r="O92" i="5"/>
  <c r="Q92" i="5" s="1"/>
  <c r="N92" i="5"/>
  <c r="T91" i="5"/>
  <c r="X91" i="5" s="1"/>
  <c r="O91" i="5"/>
  <c r="Q91" i="5" s="1"/>
  <c r="T90" i="5"/>
  <c r="X90" i="5" s="1"/>
  <c r="O90" i="5"/>
  <c r="Q90" i="5" s="1"/>
  <c r="N90" i="5"/>
  <c r="T89" i="5"/>
  <c r="X89" i="5" s="1"/>
  <c r="O89" i="5"/>
  <c r="T88" i="5"/>
  <c r="X88" i="5" s="1"/>
  <c r="O88" i="5"/>
  <c r="N88" i="5"/>
  <c r="T87" i="5"/>
  <c r="X87" i="5" s="1"/>
  <c r="O87" i="5"/>
  <c r="T86" i="5"/>
  <c r="X86" i="5" s="1"/>
  <c r="O86" i="5"/>
  <c r="N86" i="5"/>
  <c r="T85" i="5"/>
  <c r="X85" i="5" s="1"/>
  <c r="O85" i="5"/>
  <c r="T84" i="5"/>
  <c r="X84" i="5" s="1"/>
  <c r="O84" i="5"/>
  <c r="N84" i="5"/>
  <c r="T83" i="5"/>
  <c r="X83" i="5" s="1"/>
  <c r="O83" i="5"/>
  <c r="T82" i="5"/>
  <c r="X82" i="5" s="1"/>
  <c r="O82" i="5"/>
  <c r="N82" i="5"/>
  <c r="T81" i="5"/>
  <c r="X81" i="5" s="1"/>
  <c r="O81" i="5"/>
  <c r="T80" i="5"/>
  <c r="X80" i="5" s="1"/>
  <c r="O80" i="5"/>
  <c r="N80" i="5"/>
  <c r="T79" i="5"/>
  <c r="X79" i="5" s="1"/>
  <c r="O79" i="5"/>
  <c r="T78" i="5"/>
  <c r="X78" i="5" s="1"/>
  <c r="O78" i="5"/>
  <c r="N78" i="5"/>
  <c r="P78" i="5" s="1"/>
  <c r="T77" i="5"/>
  <c r="X77" i="5" s="1"/>
  <c r="O77" i="5"/>
  <c r="T76" i="5"/>
  <c r="X76" i="5" s="1"/>
  <c r="O76" i="5"/>
  <c r="N76" i="5"/>
  <c r="T75" i="5"/>
  <c r="X75" i="5" s="1"/>
  <c r="O75" i="5"/>
  <c r="T74" i="5"/>
  <c r="X74" i="5" s="1"/>
  <c r="O74" i="5"/>
  <c r="N74" i="5"/>
  <c r="T73" i="5"/>
  <c r="X73" i="5" s="1"/>
  <c r="O73" i="5"/>
  <c r="T72" i="5"/>
  <c r="X72" i="5" s="1"/>
  <c r="O72" i="5"/>
  <c r="N72" i="5"/>
  <c r="T71" i="5"/>
  <c r="X71" i="5" s="1"/>
  <c r="O71" i="5"/>
  <c r="T70" i="5"/>
  <c r="X70" i="5" s="1"/>
  <c r="O70" i="5"/>
  <c r="N70" i="5"/>
  <c r="T69" i="5"/>
  <c r="X69" i="5" s="1"/>
  <c r="O69" i="5"/>
  <c r="T68" i="5"/>
  <c r="X68" i="5" s="1"/>
  <c r="O68" i="5"/>
  <c r="N68" i="5"/>
  <c r="T67" i="5"/>
  <c r="X67" i="5" s="1"/>
  <c r="O67" i="5"/>
  <c r="T66" i="5"/>
  <c r="X66" i="5" s="1"/>
  <c r="O66" i="5"/>
  <c r="N66" i="5"/>
  <c r="T65" i="5"/>
  <c r="X65" i="5" s="1"/>
  <c r="O65" i="5"/>
  <c r="T64" i="5"/>
  <c r="X64" i="5" s="1"/>
  <c r="O64" i="5"/>
  <c r="N64" i="5"/>
  <c r="T63" i="5"/>
  <c r="X63" i="5" s="1"/>
  <c r="O63" i="5"/>
  <c r="T62" i="5"/>
  <c r="X62" i="5" s="1"/>
  <c r="O62" i="5"/>
  <c r="N62" i="5"/>
  <c r="T61" i="5"/>
  <c r="X61" i="5" s="1"/>
  <c r="O61" i="5"/>
  <c r="T60" i="5"/>
  <c r="X60" i="5" s="1"/>
  <c r="O60" i="5"/>
  <c r="N60" i="5"/>
  <c r="T59" i="5"/>
  <c r="X59" i="5" s="1"/>
  <c r="O59" i="5"/>
  <c r="T58" i="5"/>
  <c r="X58" i="5" s="1"/>
  <c r="O58" i="5"/>
  <c r="N58" i="5"/>
  <c r="T57" i="5"/>
  <c r="X57" i="5" s="1"/>
  <c r="O57" i="5"/>
  <c r="T56" i="5"/>
  <c r="X56" i="5" s="1"/>
  <c r="O56" i="5"/>
  <c r="N56" i="5"/>
  <c r="T55" i="5"/>
  <c r="X55" i="5" s="1"/>
  <c r="O55" i="5"/>
  <c r="T54" i="5"/>
  <c r="X54" i="5" s="1"/>
  <c r="O54" i="5"/>
  <c r="N54" i="5"/>
  <c r="T53" i="5"/>
  <c r="X53" i="5" s="1"/>
  <c r="O53" i="5"/>
  <c r="T52" i="5"/>
  <c r="X52" i="5" s="1"/>
  <c r="O52" i="5"/>
  <c r="N52" i="5"/>
  <c r="P52" i="5" s="1"/>
  <c r="T51" i="5"/>
  <c r="X51" i="5" s="1"/>
  <c r="O51" i="5"/>
  <c r="T50" i="5"/>
  <c r="X50" i="5" s="1"/>
  <c r="O50" i="5"/>
  <c r="N50" i="5"/>
  <c r="T49" i="5"/>
  <c r="X49" i="5" s="1"/>
  <c r="O49" i="5"/>
  <c r="T48" i="5"/>
  <c r="X48" i="5" s="1"/>
  <c r="O48" i="5"/>
  <c r="N48" i="5"/>
  <c r="T47" i="5"/>
  <c r="X47" i="5" s="1"/>
  <c r="O47" i="5"/>
  <c r="T46" i="5"/>
  <c r="X46" i="5" s="1"/>
  <c r="O46" i="5"/>
  <c r="N46" i="5"/>
  <c r="T45" i="5"/>
  <c r="X45" i="5" s="1"/>
  <c r="O45" i="5"/>
  <c r="T44" i="5"/>
  <c r="X44" i="5" s="1"/>
  <c r="O44" i="5"/>
  <c r="N44" i="5"/>
  <c r="T43" i="5"/>
  <c r="X43" i="5" s="1"/>
  <c r="O43" i="5"/>
  <c r="T42" i="5"/>
  <c r="X42" i="5" s="1"/>
  <c r="O42" i="5"/>
  <c r="N42" i="5"/>
  <c r="T41" i="5"/>
  <c r="X41" i="5" s="1"/>
  <c r="O41" i="5"/>
  <c r="T40" i="5"/>
  <c r="X40" i="5" s="1"/>
  <c r="O40" i="5"/>
  <c r="N40" i="5"/>
  <c r="T39" i="5"/>
  <c r="X39" i="5" s="1"/>
  <c r="O39" i="5"/>
  <c r="T38" i="5"/>
  <c r="X38" i="5" s="1"/>
  <c r="O38" i="5"/>
  <c r="N38" i="5"/>
  <c r="T37" i="5"/>
  <c r="X37" i="5" s="1"/>
  <c r="O37" i="5"/>
  <c r="T36" i="5"/>
  <c r="X36" i="5" s="1"/>
  <c r="O36" i="5"/>
  <c r="N36" i="5"/>
  <c r="T35" i="5"/>
  <c r="X35" i="5" s="1"/>
  <c r="O35" i="5"/>
  <c r="T34" i="5"/>
  <c r="X34" i="5" s="1"/>
  <c r="O34" i="5"/>
  <c r="N34" i="5"/>
  <c r="T33" i="5"/>
  <c r="X33" i="5" s="1"/>
  <c r="O33" i="5"/>
  <c r="T32" i="5"/>
  <c r="X32" i="5" s="1"/>
  <c r="O32" i="5"/>
  <c r="N32" i="5"/>
  <c r="T31" i="5"/>
  <c r="X31" i="5" s="1"/>
  <c r="O31" i="5"/>
  <c r="T30" i="5"/>
  <c r="X30" i="5" s="1"/>
  <c r="O30" i="5"/>
  <c r="N30" i="5"/>
  <c r="T29" i="5"/>
  <c r="X29" i="5" s="1"/>
  <c r="O29" i="5"/>
  <c r="T28" i="5"/>
  <c r="X28" i="5" s="1"/>
  <c r="O28" i="5"/>
  <c r="N28" i="5"/>
  <c r="T27" i="5"/>
  <c r="X27" i="5" s="1"/>
  <c r="O27" i="5"/>
  <c r="T26" i="5"/>
  <c r="X26" i="5" s="1"/>
  <c r="O26" i="5"/>
  <c r="N26" i="5"/>
  <c r="T25" i="5"/>
  <c r="X25" i="5" s="1"/>
  <c r="O25" i="5"/>
  <c r="X24" i="5"/>
  <c r="T24" i="5"/>
  <c r="O24" i="5"/>
  <c r="N24" i="5"/>
  <c r="X23" i="5"/>
  <c r="T23" i="5"/>
  <c r="O23" i="5"/>
  <c r="X22" i="5"/>
  <c r="T22" i="5"/>
  <c r="O22" i="5"/>
  <c r="N22" i="5"/>
  <c r="T21" i="5"/>
  <c r="X21" i="5" s="1"/>
  <c r="N21" i="5"/>
  <c r="T20" i="5"/>
  <c r="X20" i="5" s="1"/>
  <c r="O20" i="5"/>
  <c r="N20" i="5"/>
  <c r="T19" i="5"/>
  <c r="X19" i="5" s="1"/>
  <c r="N19" i="5"/>
  <c r="T18" i="5"/>
  <c r="X18" i="5" s="1"/>
  <c r="O18" i="5"/>
  <c r="N18" i="5"/>
  <c r="T17" i="5"/>
  <c r="X17" i="5" s="1"/>
  <c r="N17" i="5"/>
  <c r="T16" i="5"/>
  <c r="X16" i="5" s="1"/>
  <c r="O16" i="5"/>
  <c r="N16" i="5"/>
  <c r="T15" i="5"/>
  <c r="X15" i="5" s="1"/>
  <c r="N15" i="5"/>
  <c r="T14" i="5"/>
  <c r="X14" i="5" s="1"/>
  <c r="O14" i="5"/>
  <c r="N14" i="5"/>
  <c r="T13" i="5"/>
  <c r="X13" i="5" s="1"/>
  <c r="N13" i="5"/>
  <c r="T12" i="5"/>
  <c r="X12" i="5" s="1"/>
  <c r="O12" i="5"/>
  <c r="N12" i="5"/>
  <c r="T11" i="5"/>
  <c r="X11" i="5" s="1"/>
  <c r="N11" i="5"/>
  <c r="T10" i="5"/>
  <c r="X10" i="5" s="1"/>
  <c r="O10" i="5"/>
  <c r="N10" i="5"/>
  <c r="T9" i="5"/>
  <c r="X9" i="5" s="1"/>
  <c r="N9" i="5"/>
  <c r="T8" i="5"/>
  <c r="X8" i="5" s="1"/>
  <c r="O8" i="5"/>
  <c r="N8" i="5"/>
  <c r="T7" i="5"/>
  <c r="X7" i="5" s="1"/>
  <c r="N7" i="5"/>
  <c r="E4" i="5"/>
  <c r="B4" i="5"/>
  <c r="S2" i="5"/>
  <c r="N23" i="6" l="1"/>
  <c r="V23" i="6" s="1"/>
  <c r="G25" i="6"/>
  <c r="G29" i="6"/>
  <c r="G33" i="6"/>
  <c r="G37" i="6"/>
  <c r="G41" i="6"/>
  <c r="G45" i="6"/>
  <c r="G49" i="6"/>
  <c r="G53" i="6"/>
  <c r="G57" i="6"/>
  <c r="G61" i="6"/>
  <c r="G65" i="6"/>
  <c r="G69" i="6"/>
  <c r="G73" i="6"/>
  <c r="G77" i="6"/>
  <c r="G81" i="6"/>
  <c r="G85" i="6"/>
  <c r="G89" i="6"/>
  <c r="G93" i="6"/>
  <c r="G97" i="6"/>
  <c r="G101" i="6"/>
  <c r="G105" i="6"/>
  <c r="P71" i="6"/>
  <c r="P79" i="6"/>
  <c r="P87" i="6"/>
  <c r="P67" i="6"/>
  <c r="P75" i="6"/>
  <c r="P83" i="6"/>
  <c r="P91" i="6"/>
  <c r="R7" i="6"/>
  <c r="U7" i="6" s="1"/>
  <c r="Q7" i="6"/>
  <c r="P8" i="6"/>
  <c r="V8" i="6"/>
  <c r="R9" i="6"/>
  <c r="U9" i="6" s="1"/>
  <c r="Q9" i="6"/>
  <c r="P10" i="6"/>
  <c r="V10" i="6"/>
  <c r="R11" i="6"/>
  <c r="U11" i="6" s="1"/>
  <c r="Q11" i="6"/>
  <c r="P12" i="6"/>
  <c r="V12" i="6"/>
  <c r="R13" i="6"/>
  <c r="U13" i="6" s="1"/>
  <c r="Q13" i="6"/>
  <c r="V14" i="6"/>
  <c r="P14" i="6"/>
  <c r="V18" i="6"/>
  <c r="P18" i="6"/>
  <c r="V22" i="6"/>
  <c r="P22" i="6"/>
  <c r="V26" i="6"/>
  <c r="P26" i="6"/>
  <c r="V30" i="6"/>
  <c r="P30" i="6"/>
  <c r="V34" i="6"/>
  <c r="P34" i="6"/>
  <c r="V38" i="6"/>
  <c r="P38" i="6"/>
  <c r="V42" i="6"/>
  <c r="P42" i="6"/>
  <c r="V46" i="6"/>
  <c r="P46" i="6"/>
  <c r="V50" i="6"/>
  <c r="P50" i="6"/>
  <c r="V54" i="6"/>
  <c r="P54" i="6"/>
  <c r="V58" i="6"/>
  <c r="P58" i="6"/>
  <c r="V62" i="6"/>
  <c r="P62" i="6"/>
  <c r="V66" i="6"/>
  <c r="P66" i="6"/>
  <c r="P7" i="6"/>
  <c r="V7" i="6"/>
  <c r="R8" i="6"/>
  <c r="U8" i="6" s="1"/>
  <c r="Q8" i="6"/>
  <c r="P9" i="6"/>
  <c r="V9" i="6"/>
  <c r="R10" i="6"/>
  <c r="U10" i="6" s="1"/>
  <c r="Q10" i="6"/>
  <c r="P11" i="6"/>
  <c r="V11" i="6"/>
  <c r="R12" i="6"/>
  <c r="U12" i="6" s="1"/>
  <c r="Q12" i="6"/>
  <c r="P13" i="6"/>
  <c r="V13" i="6"/>
  <c r="V16" i="6"/>
  <c r="P16" i="6"/>
  <c r="V20" i="6"/>
  <c r="P20" i="6"/>
  <c r="V24" i="6"/>
  <c r="P24" i="6"/>
  <c r="V28" i="6"/>
  <c r="P28" i="6"/>
  <c r="V32" i="6"/>
  <c r="P32" i="6"/>
  <c r="V36" i="6"/>
  <c r="P36" i="6"/>
  <c r="V40" i="6"/>
  <c r="P40" i="6"/>
  <c r="V44" i="6"/>
  <c r="P44" i="6"/>
  <c r="V48" i="6"/>
  <c r="P48" i="6"/>
  <c r="V52" i="6"/>
  <c r="P52" i="6"/>
  <c r="V56" i="6"/>
  <c r="P56" i="6"/>
  <c r="V60" i="6"/>
  <c r="P60" i="6"/>
  <c r="V64" i="6"/>
  <c r="P64" i="6"/>
  <c r="R15" i="6"/>
  <c r="U15" i="6" s="1"/>
  <c r="R17" i="6"/>
  <c r="U17" i="6" s="1"/>
  <c r="R19" i="6"/>
  <c r="U19" i="6" s="1"/>
  <c r="R21" i="6"/>
  <c r="U21" i="6" s="1"/>
  <c r="R23" i="6"/>
  <c r="U23" i="6" s="1"/>
  <c r="R25" i="6"/>
  <c r="U25" i="6" s="1"/>
  <c r="R27" i="6"/>
  <c r="U27" i="6" s="1"/>
  <c r="R29" i="6"/>
  <c r="U29" i="6" s="1"/>
  <c r="R31" i="6"/>
  <c r="U31" i="6" s="1"/>
  <c r="R33" i="6"/>
  <c r="U33" i="6" s="1"/>
  <c r="R35" i="6"/>
  <c r="U35" i="6" s="1"/>
  <c r="R37" i="6"/>
  <c r="U37" i="6" s="1"/>
  <c r="R39" i="6"/>
  <c r="U39" i="6" s="1"/>
  <c r="R41" i="6"/>
  <c r="U41" i="6" s="1"/>
  <c r="R43" i="6"/>
  <c r="U43" i="6" s="1"/>
  <c r="R45" i="6"/>
  <c r="U45" i="6" s="1"/>
  <c r="R47" i="6"/>
  <c r="U47" i="6" s="1"/>
  <c r="R49" i="6"/>
  <c r="U49" i="6" s="1"/>
  <c r="R51" i="6"/>
  <c r="U51" i="6" s="1"/>
  <c r="R53" i="6"/>
  <c r="U53" i="6" s="1"/>
  <c r="R55" i="6"/>
  <c r="U55" i="6" s="1"/>
  <c r="R57" i="6"/>
  <c r="U57" i="6" s="1"/>
  <c r="R59" i="6"/>
  <c r="U59" i="6" s="1"/>
  <c r="R61" i="6"/>
  <c r="U61" i="6" s="1"/>
  <c r="R63" i="6"/>
  <c r="U63" i="6" s="1"/>
  <c r="R65" i="6"/>
  <c r="U65" i="6" s="1"/>
  <c r="R68" i="6"/>
  <c r="U68" i="6" s="1"/>
  <c r="V70" i="6"/>
  <c r="P70" i="6"/>
  <c r="R72" i="6"/>
  <c r="U72" i="6" s="1"/>
  <c r="V74" i="6"/>
  <c r="P74" i="6"/>
  <c r="R76" i="6"/>
  <c r="U76" i="6" s="1"/>
  <c r="V78" i="6"/>
  <c r="P78" i="6"/>
  <c r="R80" i="6"/>
  <c r="U80" i="6" s="1"/>
  <c r="V82" i="6"/>
  <c r="P82" i="6"/>
  <c r="R84" i="6"/>
  <c r="U84" i="6" s="1"/>
  <c r="V86" i="6"/>
  <c r="P86" i="6"/>
  <c r="R88" i="6"/>
  <c r="U88" i="6" s="1"/>
  <c r="V90" i="6"/>
  <c r="P90" i="6"/>
  <c r="R92" i="6"/>
  <c r="U92" i="6" s="1"/>
  <c r="R93" i="6"/>
  <c r="U93" i="6" s="1"/>
  <c r="Q93" i="6"/>
  <c r="R94" i="6"/>
  <c r="U94" i="6" s="1"/>
  <c r="Q94" i="6"/>
  <c r="R95" i="6"/>
  <c r="U95" i="6" s="1"/>
  <c r="Q95" i="6"/>
  <c r="R96" i="6"/>
  <c r="U96" i="6" s="1"/>
  <c r="Q96" i="6"/>
  <c r="R97" i="6"/>
  <c r="U97" i="6" s="1"/>
  <c r="Q97" i="6"/>
  <c r="R98" i="6"/>
  <c r="U98" i="6" s="1"/>
  <c r="Q98" i="6"/>
  <c r="R99" i="6"/>
  <c r="U99" i="6" s="1"/>
  <c r="Q99" i="6"/>
  <c r="R100" i="6"/>
  <c r="U100" i="6" s="1"/>
  <c r="Q100" i="6"/>
  <c r="R101" i="6"/>
  <c r="U101" i="6" s="1"/>
  <c r="Q101" i="6"/>
  <c r="R102" i="6"/>
  <c r="U102" i="6" s="1"/>
  <c r="Q102" i="6"/>
  <c r="R103" i="6"/>
  <c r="U103" i="6" s="1"/>
  <c r="Q103" i="6"/>
  <c r="R104" i="6"/>
  <c r="U104" i="6" s="1"/>
  <c r="Q104" i="6"/>
  <c r="R105" i="6"/>
  <c r="U105" i="6" s="1"/>
  <c r="Q105" i="6"/>
  <c r="R106" i="6"/>
  <c r="U106" i="6" s="1"/>
  <c r="R14" i="6"/>
  <c r="U14" i="6" s="1"/>
  <c r="P15" i="6"/>
  <c r="R16" i="6"/>
  <c r="U16" i="6" s="1"/>
  <c r="P17" i="6"/>
  <c r="R18" i="6"/>
  <c r="U18" i="6" s="1"/>
  <c r="P19" i="6"/>
  <c r="R20" i="6"/>
  <c r="U20" i="6" s="1"/>
  <c r="P21" i="6"/>
  <c r="R22" i="6"/>
  <c r="U22" i="6" s="1"/>
  <c r="P23" i="6"/>
  <c r="R24" i="6"/>
  <c r="U24" i="6" s="1"/>
  <c r="P25" i="6"/>
  <c r="R26" i="6"/>
  <c r="U26" i="6" s="1"/>
  <c r="P27" i="6"/>
  <c r="R28" i="6"/>
  <c r="U28" i="6" s="1"/>
  <c r="P29" i="6"/>
  <c r="R30" i="6"/>
  <c r="U30" i="6" s="1"/>
  <c r="P31" i="6"/>
  <c r="R32" i="6"/>
  <c r="U32" i="6" s="1"/>
  <c r="P33" i="6"/>
  <c r="R34" i="6"/>
  <c r="U34" i="6" s="1"/>
  <c r="P35" i="6"/>
  <c r="R36" i="6"/>
  <c r="U36" i="6" s="1"/>
  <c r="P37" i="6"/>
  <c r="R38" i="6"/>
  <c r="U38" i="6" s="1"/>
  <c r="P39" i="6"/>
  <c r="R40" i="6"/>
  <c r="U40" i="6" s="1"/>
  <c r="P41" i="6"/>
  <c r="R42" i="6"/>
  <c r="U42" i="6" s="1"/>
  <c r="P43" i="6"/>
  <c r="R44" i="6"/>
  <c r="U44" i="6" s="1"/>
  <c r="P45" i="6"/>
  <c r="R46" i="6"/>
  <c r="U46" i="6" s="1"/>
  <c r="P47" i="6"/>
  <c r="R48" i="6"/>
  <c r="U48" i="6" s="1"/>
  <c r="P49" i="6"/>
  <c r="R50" i="6"/>
  <c r="U50" i="6" s="1"/>
  <c r="P51" i="6"/>
  <c r="R52" i="6"/>
  <c r="U52" i="6" s="1"/>
  <c r="P53" i="6"/>
  <c r="R54" i="6"/>
  <c r="U54" i="6" s="1"/>
  <c r="P55" i="6"/>
  <c r="R56" i="6"/>
  <c r="U56" i="6" s="1"/>
  <c r="P57" i="6"/>
  <c r="R58" i="6"/>
  <c r="U58" i="6" s="1"/>
  <c r="P59" i="6"/>
  <c r="R60" i="6"/>
  <c r="U60" i="6" s="1"/>
  <c r="P61" i="6"/>
  <c r="R62" i="6"/>
  <c r="U62" i="6" s="1"/>
  <c r="P63" i="6"/>
  <c r="R64" i="6"/>
  <c r="U64" i="6" s="1"/>
  <c r="P65" i="6"/>
  <c r="R66" i="6"/>
  <c r="U66" i="6" s="1"/>
  <c r="V68" i="6"/>
  <c r="P68" i="6"/>
  <c r="P69" i="6"/>
  <c r="R70" i="6"/>
  <c r="U70" i="6" s="1"/>
  <c r="V72" i="6"/>
  <c r="P72" i="6"/>
  <c r="P73" i="6"/>
  <c r="R74" i="6"/>
  <c r="U74" i="6" s="1"/>
  <c r="V76" i="6"/>
  <c r="P76" i="6"/>
  <c r="P77" i="6"/>
  <c r="R78" i="6"/>
  <c r="U78" i="6" s="1"/>
  <c r="V80" i="6"/>
  <c r="P80" i="6"/>
  <c r="P81" i="6"/>
  <c r="R82" i="6"/>
  <c r="U82" i="6" s="1"/>
  <c r="V84" i="6"/>
  <c r="P84" i="6"/>
  <c r="P85" i="6"/>
  <c r="R86" i="6"/>
  <c r="U86" i="6" s="1"/>
  <c r="V88" i="6"/>
  <c r="P88" i="6"/>
  <c r="P89" i="6"/>
  <c r="R90" i="6"/>
  <c r="U90" i="6" s="1"/>
  <c r="V92" i="6"/>
  <c r="P92" i="6"/>
  <c r="R67" i="6"/>
  <c r="U67" i="6" s="1"/>
  <c r="R69" i="6"/>
  <c r="U69" i="6" s="1"/>
  <c r="R71" i="6"/>
  <c r="U71" i="6" s="1"/>
  <c r="R73" i="6"/>
  <c r="U73" i="6" s="1"/>
  <c r="R75" i="6"/>
  <c r="U75" i="6" s="1"/>
  <c r="R77" i="6"/>
  <c r="U77" i="6" s="1"/>
  <c r="R79" i="6"/>
  <c r="U79" i="6" s="1"/>
  <c r="R81" i="6"/>
  <c r="U81" i="6" s="1"/>
  <c r="R83" i="6"/>
  <c r="U83" i="6" s="1"/>
  <c r="R85" i="6"/>
  <c r="U85" i="6" s="1"/>
  <c r="R87" i="6"/>
  <c r="U87" i="6" s="1"/>
  <c r="R89" i="6"/>
  <c r="U89" i="6" s="1"/>
  <c r="R91" i="6"/>
  <c r="U91" i="6" s="1"/>
  <c r="V106" i="6"/>
  <c r="P106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  <c r="G63" i="5"/>
  <c r="G65" i="5"/>
  <c r="G67" i="5"/>
  <c r="G69" i="5"/>
  <c r="G71" i="5"/>
  <c r="G73" i="5"/>
  <c r="G75" i="5"/>
  <c r="G77" i="5"/>
  <c r="G79" i="5"/>
  <c r="G81" i="5"/>
  <c r="G83" i="5"/>
  <c r="G85" i="5"/>
  <c r="G87" i="5"/>
  <c r="G89" i="5"/>
  <c r="G91" i="5"/>
  <c r="G93" i="5"/>
  <c r="G95" i="5"/>
  <c r="G97" i="5"/>
  <c r="G99" i="5"/>
  <c r="G101" i="5"/>
  <c r="G103" i="5"/>
  <c r="G105" i="5"/>
  <c r="P9" i="5"/>
  <c r="V9" i="5"/>
  <c r="R10" i="5"/>
  <c r="U10" i="5" s="1"/>
  <c r="Q10" i="5"/>
  <c r="P11" i="5"/>
  <c r="V11" i="5"/>
  <c r="R12" i="5"/>
  <c r="U12" i="5" s="1"/>
  <c r="Q12" i="5"/>
  <c r="P13" i="5"/>
  <c r="V13" i="5"/>
  <c r="R14" i="5"/>
  <c r="U14" i="5" s="1"/>
  <c r="Q14" i="5"/>
  <c r="P15" i="5"/>
  <c r="V15" i="5"/>
  <c r="R16" i="5"/>
  <c r="U16" i="5" s="1"/>
  <c r="Q16" i="5"/>
  <c r="P17" i="5"/>
  <c r="V17" i="5"/>
  <c r="R18" i="5"/>
  <c r="U18" i="5" s="1"/>
  <c r="Q18" i="5"/>
  <c r="P19" i="5"/>
  <c r="V19" i="5"/>
  <c r="R20" i="5"/>
  <c r="U20" i="5" s="1"/>
  <c r="Q20" i="5"/>
  <c r="P21" i="5"/>
  <c r="V21" i="5"/>
  <c r="R22" i="5"/>
  <c r="U22" i="5" s="1"/>
  <c r="Q22" i="5"/>
  <c r="R23" i="5"/>
  <c r="U23" i="5" s="1"/>
  <c r="Q23" i="5"/>
  <c r="R24" i="5"/>
  <c r="U24" i="5" s="1"/>
  <c r="Q24" i="5"/>
  <c r="R25" i="5"/>
  <c r="U25" i="5" s="1"/>
  <c r="Q25" i="5"/>
  <c r="P7" i="5"/>
  <c r="V7" i="5"/>
  <c r="R8" i="5"/>
  <c r="U8" i="5" s="1"/>
  <c r="Q8" i="5"/>
  <c r="R7" i="5"/>
  <c r="U7" i="5" s="1"/>
  <c r="Q7" i="5"/>
  <c r="P8" i="5"/>
  <c r="V8" i="5"/>
  <c r="R9" i="5"/>
  <c r="U9" i="5" s="1"/>
  <c r="Q9" i="5"/>
  <c r="P10" i="5"/>
  <c r="V10" i="5"/>
  <c r="R11" i="5"/>
  <c r="U11" i="5" s="1"/>
  <c r="Q11" i="5"/>
  <c r="P12" i="5"/>
  <c r="V12" i="5"/>
  <c r="R13" i="5"/>
  <c r="U13" i="5" s="1"/>
  <c r="Q13" i="5"/>
  <c r="P14" i="5"/>
  <c r="V14" i="5"/>
  <c r="R15" i="5"/>
  <c r="U15" i="5" s="1"/>
  <c r="Q15" i="5"/>
  <c r="P16" i="5"/>
  <c r="V16" i="5"/>
  <c r="R17" i="5"/>
  <c r="U17" i="5" s="1"/>
  <c r="Q17" i="5"/>
  <c r="P18" i="5"/>
  <c r="V18" i="5"/>
  <c r="R19" i="5"/>
  <c r="U19" i="5" s="1"/>
  <c r="Q19" i="5"/>
  <c r="P20" i="5"/>
  <c r="V20" i="5"/>
  <c r="R21" i="5"/>
  <c r="U21" i="5" s="1"/>
  <c r="Q21" i="5"/>
  <c r="P22" i="5"/>
  <c r="V22" i="5"/>
  <c r="P23" i="5"/>
  <c r="V23" i="5"/>
  <c r="P24" i="5"/>
  <c r="V24" i="5"/>
  <c r="V25" i="5"/>
  <c r="P26" i="5"/>
  <c r="V26" i="5"/>
  <c r="R27" i="5"/>
  <c r="U27" i="5" s="1"/>
  <c r="Q27" i="5"/>
  <c r="P28" i="5"/>
  <c r="V28" i="5"/>
  <c r="R29" i="5"/>
  <c r="U29" i="5" s="1"/>
  <c r="Q29" i="5"/>
  <c r="P30" i="5"/>
  <c r="V30" i="5"/>
  <c r="R31" i="5"/>
  <c r="U31" i="5" s="1"/>
  <c r="Q31" i="5"/>
  <c r="P32" i="5"/>
  <c r="V32" i="5"/>
  <c r="R33" i="5"/>
  <c r="U33" i="5" s="1"/>
  <c r="Q33" i="5"/>
  <c r="P34" i="5"/>
  <c r="V34" i="5"/>
  <c r="R35" i="5"/>
  <c r="U35" i="5" s="1"/>
  <c r="Q35" i="5"/>
  <c r="P36" i="5"/>
  <c r="V36" i="5"/>
  <c r="R37" i="5"/>
  <c r="U37" i="5" s="1"/>
  <c r="Q37" i="5"/>
  <c r="P38" i="5"/>
  <c r="V38" i="5"/>
  <c r="R39" i="5"/>
  <c r="U39" i="5" s="1"/>
  <c r="Q39" i="5"/>
  <c r="P40" i="5"/>
  <c r="V40" i="5"/>
  <c r="R41" i="5"/>
  <c r="U41" i="5" s="1"/>
  <c r="Q41" i="5"/>
  <c r="P42" i="5"/>
  <c r="V42" i="5"/>
  <c r="R43" i="5"/>
  <c r="U43" i="5" s="1"/>
  <c r="Q43" i="5"/>
  <c r="P44" i="5"/>
  <c r="V44" i="5"/>
  <c r="R45" i="5"/>
  <c r="U45" i="5" s="1"/>
  <c r="Q45" i="5"/>
  <c r="P46" i="5"/>
  <c r="V46" i="5"/>
  <c r="R47" i="5"/>
  <c r="U47" i="5" s="1"/>
  <c r="Q47" i="5"/>
  <c r="P48" i="5"/>
  <c r="V48" i="5"/>
  <c r="R49" i="5"/>
  <c r="U49" i="5" s="1"/>
  <c r="Q49" i="5"/>
  <c r="P50" i="5"/>
  <c r="V50" i="5"/>
  <c r="R51" i="5"/>
  <c r="U51" i="5" s="1"/>
  <c r="Q51" i="5"/>
  <c r="R26" i="5"/>
  <c r="U26" i="5" s="1"/>
  <c r="Q26" i="5"/>
  <c r="P27" i="5"/>
  <c r="V27" i="5"/>
  <c r="R28" i="5"/>
  <c r="U28" i="5" s="1"/>
  <c r="Q28" i="5"/>
  <c r="P29" i="5"/>
  <c r="V29" i="5"/>
  <c r="R30" i="5"/>
  <c r="U30" i="5" s="1"/>
  <c r="Q30" i="5"/>
  <c r="P31" i="5"/>
  <c r="V31" i="5"/>
  <c r="R32" i="5"/>
  <c r="U32" i="5" s="1"/>
  <c r="Q32" i="5"/>
  <c r="P33" i="5"/>
  <c r="V33" i="5"/>
  <c r="R34" i="5"/>
  <c r="U34" i="5" s="1"/>
  <c r="Q34" i="5"/>
  <c r="P35" i="5"/>
  <c r="V35" i="5"/>
  <c r="R36" i="5"/>
  <c r="U36" i="5" s="1"/>
  <c r="Q36" i="5"/>
  <c r="P37" i="5"/>
  <c r="V37" i="5"/>
  <c r="R38" i="5"/>
  <c r="U38" i="5" s="1"/>
  <c r="Q38" i="5"/>
  <c r="P39" i="5"/>
  <c r="V39" i="5"/>
  <c r="R40" i="5"/>
  <c r="U40" i="5" s="1"/>
  <c r="Q40" i="5"/>
  <c r="P41" i="5"/>
  <c r="V41" i="5"/>
  <c r="R42" i="5"/>
  <c r="U42" i="5" s="1"/>
  <c r="Q42" i="5"/>
  <c r="P43" i="5"/>
  <c r="V43" i="5"/>
  <c r="R44" i="5"/>
  <c r="U44" i="5" s="1"/>
  <c r="Q44" i="5"/>
  <c r="P45" i="5"/>
  <c r="V45" i="5"/>
  <c r="R46" i="5"/>
  <c r="U46" i="5" s="1"/>
  <c r="Q46" i="5"/>
  <c r="P47" i="5"/>
  <c r="V47" i="5"/>
  <c r="R48" i="5"/>
  <c r="U48" i="5" s="1"/>
  <c r="Q48" i="5"/>
  <c r="P49" i="5"/>
  <c r="V49" i="5"/>
  <c r="R50" i="5"/>
  <c r="U50" i="5" s="1"/>
  <c r="Q50" i="5"/>
  <c r="P51" i="5"/>
  <c r="V51" i="5"/>
  <c r="R52" i="5"/>
  <c r="U52" i="5" s="1"/>
  <c r="Q52" i="5"/>
  <c r="Q53" i="5"/>
  <c r="R53" i="5"/>
  <c r="U53" i="5" s="1"/>
  <c r="V54" i="5"/>
  <c r="P54" i="5"/>
  <c r="Q55" i="5"/>
  <c r="R55" i="5"/>
  <c r="U55" i="5" s="1"/>
  <c r="V56" i="5"/>
  <c r="P56" i="5"/>
  <c r="Q57" i="5"/>
  <c r="R57" i="5"/>
  <c r="U57" i="5" s="1"/>
  <c r="V58" i="5"/>
  <c r="P58" i="5"/>
  <c r="Q59" i="5"/>
  <c r="R59" i="5"/>
  <c r="U59" i="5" s="1"/>
  <c r="V60" i="5"/>
  <c r="P60" i="5"/>
  <c r="Q61" i="5"/>
  <c r="R61" i="5"/>
  <c r="U61" i="5" s="1"/>
  <c r="V62" i="5"/>
  <c r="P62" i="5"/>
  <c r="Q63" i="5"/>
  <c r="R63" i="5"/>
  <c r="U63" i="5" s="1"/>
  <c r="V64" i="5"/>
  <c r="P64" i="5"/>
  <c r="Q65" i="5"/>
  <c r="R65" i="5"/>
  <c r="U65" i="5" s="1"/>
  <c r="V66" i="5"/>
  <c r="P66" i="5"/>
  <c r="Q67" i="5"/>
  <c r="R67" i="5"/>
  <c r="U67" i="5" s="1"/>
  <c r="V68" i="5"/>
  <c r="P68" i="5"/>
  <c r="Q69" i="5"/>
  <c r="R69" i="5"/>
  <c r="U69" i="5" s="1"/>
  <c r="V70" i="5"/>
  <c r="P70" i="5"/>
  <c r="Q71" i="5"/>
  <c r="R71" i="5"/>
  <c r="U71" i="5" s="1"/>
  <c r="V72" i="5"/>
  <c r="P72" i="5"/>
  <c r="Q73" i="5"/>
  <c r="R73" i="5"/>
  <c r="U73" i="5" s="1"/>
  <c r="V74" i="5"/>
  <c r="P74" i="5"/>
  <c r="Q75" i="5"/>
  <c r="R75" i="5"/>
  <c r="U75" i="5" s="1"/>
  <c r="V76" i="5"/>
  <c r="P76" i="5"/>
  <c r="Q77" i="5"/>
  <c r="R77" i="5"/>
  <c r="U77" i="5" s="1"/>
  <c r="R79" i="5"/>
  <c r="U79" i="5" s="1"/>
  <c r="Q79" i="5"/>
  <c r="V52" i="5"/>
  <c r="V53" i="5"/>
  <c r="P53" i="5"/>
  <c r="Q54" i="5"/>
  <c r="R54" i="5"/>
  <c r="U54" i="5" s="1"/>
  <c r="V55" i="5"/>
  <c r="P55" i="5"/>
  <c r="Q56" i="5"/>
  <c r="R56" i="5"/>
  <c r="U56" i="5" s="1"/>
  <c r="V57" i="5"/>
  <c r="P57" i="5"/>
  <c r="Q58" i="5"/>
  <c r="R58" i="5"/>
  <c r="U58" i="5" s="1"/>
  <c r="V59" i="5"/>
  <c r="P59" i="5"/>
  <c r="Q60" i="5"/>
  <c r="R60" i="5"/>
  <c r="U60" i="5" s="1"/>
  <c r="V61" i="5"/>
  <c r="P61" i="5"/>
  <c r="Q62" i="5"/>
  <c r="R62" i="5"/>
  <c r="U62" i="5" s="1"/>
  <c r="V63" i="5"/>
  <c r="P63" i="5"/>
  <c r="Q64" i="5"/>
  <c r="R64" i="5"/>
  <c r="U64" i="5" s="1"/>
  <c r="V65" i="5"/>
  <c r="P65" i="5"/>
  <c r="Q66" i="5"/>
  <c r="R66" i="5"/>
  <c r="U66" i="5" s="1"/>
  <c r="V67" i="5"/>
  <c r="P67" i="5"/>
  <c r="Q68" i="5"/>
  <c r="R68" i="5"/>
  <c r="U68" i="5" s="1"/>
  <c r="V69" i="5"/>
  <c r="P69" i="5"/>
  <c r="Q70" i="5"/>
  <c r="R70" i="5"/>
  <c r="U70" i="5" s="1"/>
  <c r="V71" i="5"/>
  <c r="P71" i="5"/>
  <c r="Q72" i="5"/>
  <c r="R72" i="5"/>
  <c r="U72" i="5" s="1"/>
  <c r="V73" i="5"/>
  <c r="P73" i="5"/>
  <c r="Q74" i="5"/>
  <c r="R74" i="5"/>
  <c r="U74" i="5" s="1"/>
  <c r="V75" i="5"/>
  <c r="P75" i="5"/>
  <c r="Q76" i="5"/>
  <c r="R76" i="5"/>
  <c r="U76" i="5" s="1"/>
  <c r="V77" i="5"/>
  <c r="P77" i="5"/>
  <c r="R78" i="5"/>
  <c r="U78" i="5" s="1"/>
  <c r="Q78" i="5"/>
  <c r="V78" i="5"/>
  <c r="V79" i="5"/>
  <c r="V80" i="5"/>
  <c r="P80" i="5"/>
  <c r="Q81" i="5"/>
  <c r="R81" i="5"/>
  <c r="U81" i="5" s="1"/>
  <c r="V82" i="5"/>
  <c r="P82" i="5"/>
  <c r="Q83" i="5"/>
  <c r="R83" i="5"/>
  <c r="U83" i="5" s="1"/>
  <c r="V84" i="5"/>
  <c r="P84" i="5"/>
  <c r="Q85" i="5"/>
  <c r="R85" i="5"/>
  <c r="U85" i="5" s="1"/>
  <c r="V86" i="5"/>
  <c r="P86" i="5"/>
  <c r="Q87" i="5"/>
  <c r="R87" i="5"/>
  <c r="U87" i="5" s="1"/>
  <c r="V88" i="5"/>
  <c r="P88" i="5"/>
  <c r="Q89" i="5"/>
  <c r="R89" i="5"/>
  <c r="U89" i="5" s="1"/>
  <c r="V90" i="5"/>
  <c r="P90" i="5"/>
  <c r="V94" i="5"/>
  <c r="P94" i="5"/>
  <c r="V98" i="5"/>
  <c r="P98" i="5"/>
  <c r="V102" i="5"/>
  <c r="P102" i="5"/>
  <c r="Q80" i="5"/>
  <c r="R80" i="5"/>
  <c r="U80" i="5" s="1"/>
  <c r="V81" i="5"/>
  <c r="P81" i="5"/>
  <c r="Q82" i="5"/>
  <c r="R82" i="5"/>
  <c r="U82" i="5" s="1"/>
  <c r="V83" i="5"/>
  <c r="P83" i="5"/>
  <c r="Q84" i="5"/>
  <c r="R84" i="5"/>
  <c r="U84" i="5" s="1"/>
  <c r="V85" i="5"/>
  <c r="P85" i="5"/>
  <c r="Q86" i="5"/>
  <c r="R86" i="5"/>
  <c r="U86" i="5" s="1"/>
  <c r="V87" i="5"/>
  <c r="P87" i="5"/>
  <c r="Q88" i="5"/>
  <c r="R88" i="5"/>
  <c r="U88" i="5" s="1"/>
  <c r="V89" i="5"/>
  <c r="P89" i="5"/>
  <c r="V92" i="5"/>
  <c r="P92" i="5"/>
  <c r="V96" i="5"/>
  <c r="P96" i="5"/>
  <c r="V100" i="5"/>
  <c r="P100" i="5"/>
  <c r="V104" i="5"/>
  <c r="P104" i="5"/>
  <c r="R90" i="5"/>
  <c r="U90" i="5" s="1"/>
  <c r="P91" i="5"/>
  <c r="R92" i="5"/>
  <c r="U92" i="5" s="1"/>
  <c r="P93" i="5"/>
  <c r="R94" i="5"/>
  <c r="U94" i="5" s="1"/>
  <c r="P95" i="5"/>
  <c r="R96" i="5"/>
  <c r="U96" i="5" s="1"/>
  <c r="P97" i="5"/>
  <c r="R98" i="5"/>
  <c r="U98" i="5" s="1"/>
  <c r="P99" i="5"/>
  <c r="R100" i="5"/>
  <c r="U100" i="5" s="1"/>
  <c r="P101" i="5"/>
  <c r="R102" i="5"/>
  <c r="U102" i="5" s="1"/>
  <c r="P103" i="5"/>
  <c r="R104" i="5"/>
  <c r="U104" i="5" s="1"/>
  <c r="P105" i="5"/>
  <c r="M106" i="5"/>
  <c r="V106" i="5"/>
  <c r="R91" i="5"/>
  <c r="U91" i="5" s="1"/>
  <c r="R93" i="5"/>
  <c r="U93" i="5" s="1"/>
  <c r="R95" i="5"/>
  <c r="U95" i="5" s="1"/>
  <c r="R97" i="5"/>
  <c r="U97" i="5" s="1"/>
  <c r="R99" i="5"/>
  <c r="U99" i="5" s="1"/>
  <c r="R101" i="5"/>
  <c r="U101" i="5" s="1"/>
  <c r="R103" i="5"/>
  <c r="U103" i="5" s="1"/>
  <c r="R105" i="5"/>
  <c r="U105" i="5" s="1"/>
  <c r="R106" i="5"/>
  <c r="U106" i="5" s="1"/>
  <c r="Z8" i="4"/>
  <c r="AA8" i="4" s="1"/>
  <c r="Z9" i="4"/>
  <c r="AA9" i="4" s="1"/>
  <c r="Z10" i="4"/>
  <c r="AA10" i="4" s="1"/>
  <c r="Z11" i="4"/>
  <c r="AA11" i="4" s="1"/>
  <c r="Z12" i="4"/>
  <c r="AA12" i="4" s="1"/>
  <c r="Z13" i="4"/>
  <c r="AA13" i="4" s="1"/>
  <c r="Z14" i="4"/>
  <c r="AA14" i="4" s="1"/>
  <c r="Z15" i="4"/>
  <c r="AA15" i="4" s="1"/>
  <c r="Z16" i="4"/>
  <c r="AA16" i="4" s="1"/>
  <c r="Z17" i="4"/>
  <c r="AA17" i="4" s="1"/>
  <c r="Z18" i="4"/>
  <c r="AA18" i="4" s="1"/>
  <c r="Z19" i="4"/>
  <c r="AA19" i="4" s="1"/>
  <c r="Z20" i="4"/>
  <c r="AA20" i="4" s="1"/>
  <c r="Z21" i="4"/>
  <c r="AA21" i="4" s="1"/>
  <c r="Z22" i="4"/>
  <c r="AA22" i="4" s="1"/>
  <c r="Z23" i="4"/>
  <c r="AA23" i="4" s="1"/>
  <c r="Z24" i="4"/>
  <c r="AA24" i="4" s="1"/>
  <c r="Z25" i="4"/>
  <c r="AA25" i="4" s="1"/>
  <c r="Z26" i="4"/>
  <c r="AA26" i="4" s="1"/>
  <c r="Z27" i="4"/>
  <c r="AA27" i="4" s="1"/>
  <c r="Z28" i="4"/>
  <c r="AA28" i="4" s="1"/>
  <c r="Z29" i="4"/>
  <c r="AA29" i="4" s="1"/>
  <c r="Z30" i="4"/>
  <c r="AA30" i="4" s="1"/>
  <c r="Z31" i="4"/>
  <c r="AA31" i="4" s="1"/>
  <c r="Z32" i="4"/>
  <c r="AA32" i="4" s="1"/>
  <c r="Z33" i="4"/>
  <c r="AA33" i="4" s="1"/>
  <c r="Z34" i="4"/>
  <c r="AA34" i="4" s="1"/>
  <c r="Z35" i="4"/>
  <c r="AA35" i="4" s="1"/>
  <c r="Z36" i="4"/>
  <c r="AA36" i="4" s="1"/>
  <c r="Z37" i="4"/>
  <c r="AA37" i="4" s="1"/>
  <c r="Z38" i="4"/>
  <c r="AA38" i="4" s="1"/>
  <c r="Z39" i="4"/>
  <c r="AA39" i="4" s="1"/>
  <c r="Z40" i="4"/>
  <c r="AA40" i="4" s="1"/>
  <c r="Z41" i="4"/>
  <c r="AA41" i="4" s="1"/>
  <c r="Z42" i="4"/>
  <c r="AA42" i="4" s="1"/>
  <c r="Z43" i="4"/>
  <c r="AA43" i="4" s="1"/>
  <c r="Z44" i="4"/>
  <c r="AA44" i="4" s="1"/>
  <c r="Z45" i="4"/>
  <c r="AA45" i="4" s="1"/>
  <c r="Z46" i="4"/>
  <c r="AA46" i="4" s="1"/>
  <c r="Z47" i="4"/>
  <c r="AA47" i="4" s="1"/>
  <c r="Z48" i="4"/>
  <c r="AA48" i="4" s="1"/>
  <c r="Z49" i="4"/>
  <c r="AA49" i="4" s="1"/>
  <c r="Z50" i="4"/>
  <c r="AA50" i="4" s="1"/>
  <c r="Z51" i="4"/>
  <c r="AA51" i="4" s="1"/>
  <c r="Z52" i="4"/>
  <c r="AA52" i="4" s="1"/>
  <c r="Z53" i="4"/>
  <c r="AA53" i="4" s="1"/>
  <c r="Z54" i="4"/>
  <c r="AA54" i="4" s="1"/>
  <c r="Z55" i="4"/>
  <c r="AA55" i="4" s="1"/>
  <c r="Z56" i="4"/>
  <c r="AA56" i="4" s="1"/>
  <c r="Z57" i="4"/>
  <c r="AA57" i="4" s="1"/>
  <c r="Z58" i="4"/>
  <c r="AA58" i="4" s="1"/>
  <c r="Z59" i="4"/>
  <c r="AA59" i="4" s="1"/>
  <c r="Z60" i="4"/>
  <c r="AA60" i="4" s="1"/>
  <c r="Z61" i="4"/>
  <c r="AA61" i="4" s="1"/>
  <c r="Z62" i="4"/>
  <c r="AA62" i="4" s="1"/>
  <c r="Z63" i="4"/>
  <c r="AA63" i="4" s="1"/>
  <c r="Z64" i="4"/>
  <c r="AA64" i="4" s="1"/>
  <c r="Z65" i="4"/>
  <c r="AA65" i="4" s="1"/>
  <c r="Z66" i="4"/>
  <c r="AA66" i="4" s="1"/>
  <c r="Z67" i="4"/>
  <c r="AA67" i="4" s="1"/>
  <c r="Z68" i="4"/>
  <c r="AA68" i="4" s="1"/>
  <c r="Z69" i="4"/>
  <c r="AA69" i="4" s="1"/>
  <c r="Z70" i="4"/>
  <c r="AA70" i="4" s="1"/>
  <c r="Z71" i="4"/>
  <c r="AA71" i="4" s="1"/>
  <c r="Z72" i="4"/>
  <c r="AA72" i="4" s="1"/>
  <c r="Z73" i="4"/>
  <c r="AA73" i="4" s="1"/>
  <c r="Z74" i="4"/>
  <c r="AA74" i="4" s="1"/>
  <c r="Z75" i="4"/>
  <c r="AA75" i="4" s="1"/>
  <c r="Z76" i="4"/>
  <c r="AA76" i="4" s="1"/>
  <c r="Z77" i="4"/>
  <c r="AA77" i="4" s="1"/>
  <c r="Z78" i="4"/>
  <c r="AA78" i="4" s="1"/>
  <c r="Z79" i="4"/>
  <c r="AA79" i="4" s="1"/>
  <c r="Z80" i="4"/>
  <c r="AA80" i="4" s="1"/>
  <c r="Z81" i="4"/>
  <c r="AA81" i="4" s="1"/>
  <c r="Z82" i="4"/>
  <c r="AA82" i="4" s="1"/>
  <c r="Z83" i="4"/>
  <c r="AA83" i="4" s="1"/>
  <c r="Z84" i="4"/>
  <c r="AA84" i="4" s="1"/>
  <c r="Z85" i="4"/>
  <c r="AA85" i="4" s="1"/>
  <c r="Z86" i="4"/>
  <c r="AA86" i="4" s="1"/>
  <c r="Z87" i="4"/>
  <c r="AA87" i="4" s="1"/>
  <c r="Z88" i="4"/>
  <c r="AA88" i="4" s="1"/>
  <c r="Z89" i="4"/>
  <c r="AA89" i="4" s="1"/>
  <c r="Z90" i="4"/>
  <c r="AA90" i="4" s="1"/>
  <c r="Z91" i="4"/>
  <c r="AA91" i="4" s="1"/>
  <c r="Z92" i="4"/>
  <c r="AA92" i="4" s="1"/>
  <c r="Z93" i="4"/>
  <c r="AA93" i="4"/>
  <c r="Z94" i="4"/>
  <c r="AA94" i="4"/>
  <c r="Z95" i="4"/>
  <c r="AA95" i="4"/>
  <c r="Z96" i="4"/>
  <c r="AA96" i="4"/>
  <c r="Z97" i="4"/>
  <c r="AA97" i="4"/>
  <c r="Z98" i="4"/>
  <c r="AA98" i="4"/>
  <c r="Z99" i="4"/>
  <c r="AA99" i="4"/>
  <c r="Z100" i="4"/>
  <c r="AA100" i="4"/>
  <c r="Z101" i="4"/>
  <c r="AA101" i="4"/>
  <c r="Z102" i="4"/>
  <c r="AA102" i="4"/>
  <c r="Z103" i="4"/>
  <c r="AA103" i="4"/>
  <c r="Z104" i="4"/>
  <c r="AA104" i="4"/>
  <c r="Z105" i="4"/>
  <c r="AA105" i="4"/>
  <c r="Z106" i="4"/>
  <c r="AA106" i="4"/>
  <c r="AA7" i="4"/>
  <c r="Z7" i="4"/>
  <c r="W106" i="4"/>
  <c r="W105" i="4"/>
  <c r="W104" i="4"/>
  <c r="W103" i="4"/>
  <c r="W102" i="4"/>
  <c r="W101" i="4"/>
  <c r="W100" i="4"/>
  <c r="W99" i="4"/>
  <c r="W98" i="4"/>
  <c r="W97" i="4"/>
  <c r="W96" i="4"/>
  <c r="W95" i="4"/>
  <c r="W94" i="4"/>
  <c r="W93" i="4"/>
  <c r="W92" i="4"/>
  <c r="W91" i="4"/>
  <c r="W90" i="4"/>
  <c r="W89" i="4"/>
  <c r="W88" i="4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M106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7" i="4"/>
  <c r="U2" i="4"/>
  <c r="B4" i="4"/>
  <c r="E4" i="4"/>
  <c r="B7" i="4"/>
  <c r="C7" i="4"/>
  <c r="D7" i="4"/>
  <c r="E7" i="4"/>
  <c r="G7" i="4"/>
  <c r="H7" i="4"/>
  <c r="N7" i="4"/>
  <c r="O7" i="4"/>
  <c r="R7" i="4"/>
  <c r="S7" i="4"/>
  <c r="V7" i="4"/>
  <c r="B8" i="4"/>
  <c r="C8" i="4"/>
  <c r="D8" i="4"/>
  <c r="E8" i="4"/>
  <c r="G8" i="4"/>
  <c r="H8" i="4"/>
  <c r="N8" i="4"/>
  <c r="O8" i="4"/>
  <c r="R8" i="4"/>
  <c r="S8" i="4"/>
  <c r="V8" i="4"/>
  <c r="B9" i="4"/>
  <c r="C9" i="4"/>
  <c r="D9" i="4"/>
  <c r="E9" i="4"/>
  <c r="G9" i="4"/>
  <c r="H9" i="4"/>
  <c r="N9" i="4"/>
  <c r="O9" i="4"/>
  <c r="R9" i="4"/>
  <c r="S9" i="4"/>
  <c r="V9" i="4"/>
  <c r="B10" i="4"/>
  <c r="C10" i="4"/>
  <c r="D10" i="4"/>
  <c r="E10" i="4"/>
  <c r="G10" i="4"/>
  <c r="H10" i="4"/>
  <c r="N10" i="4"/>
  <c r="O10" i="4"/>
  <c r="R10" i="4"/>
  <c r="S10" i="4"/>
  <c r="V10" i="4"/>
  <c r="B11" i="4"/>
  <c r="C11" i="4"/>
  <c r="D11" i="4"/>
  <c r="E11" i="4"/>
  <c r="G11" i="4"/>
  <c r="H11" i="4"/>
  <c r="N11" i="4"/>
  <c r="O11" i="4"/>
  <c r="R11" i="4"/>
  <c r="S11" i="4"/>
  <c r="V11" i="4"/>
  <c r="B12" i="4"/>
  <c r="C12" i="4"/>
  <c r="D12" i="4"/>
  <c r="E12" i="4"/>
  <c r="G12" i="4"/>
  <c r="H12" i="4"/>
  <c r="N12" i="4"/>
  <c r="O12" i="4"/>
  <c r="R12" i="4"/>
  <c r="S12" i="4"/>
  <c r="V12" i="4"/>
  <c r="B13" i="4"/>
  <c r="C13" i="4"/>
  <c r="D13" i="4"/>
  <c r="E13" i="4"/>
  <c r="G13" i="4"/>
  <c r="H13" i="4"/>
  <c r="N13" i="4"/>
  <c r="O13" i="4"/>
  <c r="R13" i="4"/>
  <c r="S13" i="4"/>
  <c r="V13" i="4"/>
  <c r="B14" i="4"/>
  <c r="C14" i="4"/>
  <c r="D14" i="4"/>
  <c r="E14" i="4"/>
  <c r="G14" i="4"/>
  <c r="H14" i="4"/>
  <c r="N14" i="4"/>
  <c r="O14" i="4"/>
  <c r="R14" i="4"/>
  <c r="S14" i="4"/>
  <c r="V14" i="4"/>
  <c r="B15" i="4"/>
  <c r="C15" i="4"/>
  <c r="D15" i="4"/>
  <c r="E15" i="4"/>
  <c r="G15" i="4"/>
  <c r="H15" i="4"/>
  <c r="N15" i="4"/>
  <c r="O15" i="4"/>
  <c r="R15" i="4"/>
  <c r="S15" i="4"/>
  <c r="V15" i="4"/>
  <c r="B16" i="4"/>
  <c r="C16" i="4"/>
  <c r="D16" i="4"/>
  <c r="E16" i="4"/>
  <c r="G16" i="4"/>
  <c r="H16" i="4"/>
  <c r="N16" i="4"/>
  <c r="O16" i="4"/>
  <c r="R16" i="4"/>
  <c r="S16" i="4"/>
  <c r="V16" i="4"/>
  <c r="B17" i="4"/>
  <c r="C17" i="4"/>
  <c r="D17" i="4"/>
  <c r="E17" i="4"/>
  <c r="G17" i="4"/>
  <c r="H17" i="4"/>
  <c r="N17" i="4"/>
  <c r="O17" i="4"/>
  <c r="R17" i="4"/>
  <c r="S17" i="4"/>
  <c r="V17" i="4"/>
  <c r="B18" i="4"/>
  <c r="C18" i="4"/>
  <c r="D18" i="4"/>
  <c r="E18" i="4"/>
  <c r="G18" i="4"/>
  <c r="H18" i="4"/>
  <c r="N18" i="4"/>
  <c r="O18" i="4"/>
  <c r="R18" i="4"/>
  <c r="S18" i="4"/>
  <c r="V18" i="4"/>
  <c r="B19" i="4"/>
  <c r="C19" i="4"/>
  <c r="D19" i="4"/>
  <c r="E19" i="4"/>
  <c r="G19" i="4"/>
  <c r="H19" i="4"/>
  <c r="N19" i="4"/>
  <c r="O19" i="4"/>
  <c r="R19" i="4"/>
  <c r="S19" i="4"/>
  <c r="V19" i="4"/>
  <c r="B20" i="4"/>
  <c r="C20" i="4"/>
  <c r="D20" i="4"/>
  <c r="E20" i="4"/>
  <c r="G20" i="4"/>
  <c r="H20" i="4"/>
  <c r="N20" i="4"/>
  <c r="O20" i="4"/>
  <c r="R20" i="4"/>
  <c r="S20" i="4"/>
  <c r="V20" i="4"/>
  <c r="B21" i="4"/>
  <c r="C21" i="4"/>
  <c r="D21" i="4"/>
  <c r="E21" i="4"/>
  <c r="G21" i="4"/>
  <c r="H21" i="4"/>
  <c r="N21" i="4"/>
  <c r="O21" i="4"/>
  <c r="R21" i="4"/>
  <c r="S21" i="4"/>
  <c r="V21" i="4"/>
  <c r="B22" i="4"/>
  <c r="C22" i="4"/>
  <c r="D22" i="4"/>
  <c r="E22" i="4"/>
  <c r="G22" i="4"/>
  <c r="H22" i="4"/>
  <c r="N22" i="4"/>
  <c r="O22" i="4"/>
  <c r="R22" i="4"/>
  <c r="S22" i="4"/>
  <c r="V22" i="4"/>
  <c r="B23" i="4"/>
  <c r="C23" i="4"/>
  <c r="D23" i="4"/>
  <c r="E23" i="4"/>
  <c r="G23" i="4"/>
  <c r="H23" i="4"/>
  <c r="N23" i="4"/>
  <c r="O23" i="4"/>
  <c r="R23" i="4"/>
  <c r="S23" i="4"/>
  <c r="V23" i="4"/>
  <c r="B24" i="4"/>
  <c r="C24" i="4"/>
  <c r="D24" i="4"/>
  <c r="E24" i="4"/>
  <c r="G24" i="4"/>
  <c r="H24" i="4"/>
  <c r="N24" i="4"/>
  <c r="O24" i="4"/>
  <c r="R24" i="4"/>
  <c r="S24" i="4"/>
  <c r="V24" i="4"/>
  <c r="B25" i="4"/>
  <c r="C25" i="4"/>
  <c r="D25" i="4"/>
  <c r="E25" i="4"/>
  <c r="G25" i="4"/>
  <c r="H25" i="4"/>
  <c r="N25" i="4"/>
  <c r="O25" i="4"/>
  <c r="R25" i="4"/>
  <c r="S25" i="4"/>
  <c r="V25" i="4"/>
  <c r="B26" i="4"/>
  <c r="C26" i="4"/>
  <c r="D26" i="4"/>
  <c r="E26" i="4"/>
  <c r="G26" i="4"/>
  <c r="H26" i="4"/>
  <c r="N26" i="4"/>
  <c r="O26" i="4"/>
  <c r="R26" i="4"/>
  <c r="S26" i="4"/>
  <c r="V26" i="4"/>
  <c r="B27" i="4"/>
  <c r="C27" i="4"/>
  <c r="D27" i="4"/>
  <c r="E27" i="4"/>
  <c r="G27" i="4"/>
  <c r="H27" i="4"/>
  <c r="N27" i="4"/>
  <c r="O27" i="4"/>
  <c r="R27" i="4"/>
  <c r="S27" i="4"/>
  <c r="V27" i="4"/>
  <c r="B28" i="4"/>
  <c r="C28" i="4"/>
  <c r="D28" i="4"/>
  <c r="E28" i="4"/>
  <c r="G28" i="4"/>
  <c r="H28" i="4"/>
  <c r="N28" i="4"/>
  <c r="O28" i="4"/>
  <c r="R28" i="4"/>
  <c r="S28" i="4"/>
  <c r="V28" i="4"/>
  <c r="B29" i="4"/>
  <c r="C29" i="4"/>
  <c r="D29" i="4"/>
  <c r="E29" i="4"/>
  <c r="G29" i="4"/>
  <c r="H29" i="4"/>
  <c r="N29" i="4"/>
  <c r="O29" i="4"/>
  <c r="R29" i="4"/>
  <c r="S29" i="4"/>
  <c r="V29" i="4"/>
  <c r="B30" i="4"/>
  <c r="C30" i="4"/>
  <c r="D30" i="4"/>
  <c r="E30" i="4"/>
  <c r="G30" i="4"/>
  <c r="H30" i="4"/>
  <c r="N30" i="4"/>
  <c r="O30" i="4"/>
  <c r="R30" i="4"/>
  <c r="S30" i="4"/>
  <c r="V30" i="4"/>
  <c r="B31" i="4"/>
  <c r="C31" i="4"/>
  <c r="D31" i="4"/>
  <c r="E31" i="4"/>
  <c r="G31" i="4"/>
  <c r="H31" i="4"/>
  <c r="N31" i="4"/>
  <c r="O31" i="4"/>
  <c r="R31" i="4"/>
  <c r="S31" i="4"/>
  <c r="V31" i="4"/>
  <c r="B32" i="4"/>
  <c r="C32" i="4"/>
  <c r="D32" i="4"/>
  <c r="E32" i="4"/>
  <c r="G32" i="4"/>
  <c r="H32" i="4"/>
  <c r="N32" i="4"/>
  <c r="O32" i="4"/>
  <c r="R32" i="4"/>
  <c r="S32" i="4"/>
  <c r="V32" i="4"/>
  <c r="B33" i="4"/>
  <c r="C33" i="4"/>
  <c r="D33" i="4"/>
  <c r="E33" i="4"/>
  <c r="G33" i="4"/>
  <c r="H33" i="4"/>
  <c r="N33" i="4"/>
  <c r="O33" i="4"/>
  <c r="R33" i="4"/>
  <c r="S33" i="4"/>
  <c r="V33" i="4"/>
  <c r="B34" i="4"/>
  <c r="C34" i="4"/>
  <c r="D34" i="4"/>
  <c r="E34" i="4"/>
  <c r="G34" i="4"/>
  <c r="H34" i="4"/>
  <c r="N34" i="4"/>
  <c r="O34" i="4"/>
  <c r="R34" i="4"/>
  <c r="S34" i="4"/>
  <c r="V34" i="4"/>
  <c r="B35" i="4"/>
  <c r="C35" i="4"/>
  <c r="D35" i="4"/>
  <c r="E35" i="4"/>
  <c r="G35" i="4"/>
  <c r="H35" i="4"/>
  <c r="N35" i="4"/>
  <c r="O35" i="4"/>
  <c r="R35" i="4"/>
  <c r="S35" i="4"/>
  <c r="V35" i="4"/>
  <c r="B36" i="4"/>
  <c r="C36" i="4"/>
  <c r="D36" i="4"/>
  <c r="E36" i="4"/>
  <c r="G36" i="4"/>
  <c r="H36" i="4"/>
  <c r="N36" i="4"/>
  <c r="O36" i="4"/>
  <c r="R36" i="4"/>
  <c r="S36" i="4"/>
  <c r="V36" i="4"/>
  <c r="B37" i="4"/>
  <c r="C37" i="4"/>
  <c r="D37" i="4"/>
  <c r="E37" i="4"/>
  <c r="G37" i="4"/>
  <c r="H37" i="4"/>
  <c r="N37" i="4"/>
  <c r="O37" i="4"/>
  <c r="R37" i="4"/>
  <c r="S37" i="4"/>
  <c r="V37" i="4"/>
  <c r="B38" i="4"/>
  <c r="C38" i="4"/>
  <c r="D38" i="4"/>
  <c r="E38" i="4"/>
  <c r="G38" i="4"/>
  <c r="H38" i="4"/>
  <c r="N38" i="4"/>
  <c r="O38" i="4"/>
  <c r="R38" i="4"/>
  <c r="S38" i="4"/>
  <c r="V38" i="4"/>
  <c r="B39" i="4"/>
  <c r="C39" i="4"/>
  <c r="D39" i="4"/>
  <c r="E39" i="4"/>
  <c r="G39" i="4"/>
  <c r="H39" i="4"/>
  <c r="N39" i="4"/>
  <c r="O39" i="4"/>
  <c r="R39" i="4"/>
  <c r="S39" i="4"/>
  <c r="V39" i="4"/>
  <c r="B40" i="4"/>
  <c r="C40" i="4"/>
  <c r="D40" i="4"/>
  <c r="E40" i="4"/>
  <c r="G40" i="4"/>
  <c r="H40" i="4"/>
  <c r="N40" i="4"/>
  <c r="O40" i="4"/>
  <c r="R40" i="4"/>
  <c r="S40" i="4"/>
  <c r="V40" i="4"/>
  <c r="B41" i="4"/>
  <c r="C41" i="4"/>
  <c r="D41" i="4"/>
  <c r="E41" i="4"/>
  <c r="G41" i="4"/>
  <c r="H41" i="4"/>
  <c r="N41" i="4"/>
  <c r="O41" i="4"/>
  <c r="R41" i="4"/>
  <c r="S41" i="4"/>
  <c r="V41" i="4"/>
  <c r="B42" i="4"/>
  <c r="C42" i="4"/>
  <c r="D42" i="4"/>
  <c r="E42" i="4"/>
  <c r="G42" i="4"/>
  <c r="H42" i="4"/>
  <c r="N42" i="4"/>
  <c r="O42" i="4"/>
  <c r="R42" i="4"/>
  <c r="S42" i="4"/>
  <c r="V42" i="4"/>
  <c r="B43" i="4"/>
  <c r="C43" i="4"/>
  <c r="D43" i="4"/>
  <c r="E43" i="4"/>
  <c r="G43" i="4"/>
  <c r="H43" i="4"/>
  <c r="N43" i="4"/>
  <c r="O43" i="4"/>
  <c r="R43" i="4"/>
  <c r="S43" i="4"/>
  <c r="V43" i="4"/>
  <c r="B44" i="4"/>
  <c r="C44" i="4"/>
  <c r="D44" i="4"/>
  <c r="E44" i="4"/>
  <c r="G44" i="4"/>
  <c r="H44" i="4"/>
  <c r="N44" i="4"/>
  <c r="O44" i="4"/>
  <c r="R44" i="4"/>
  <c r="S44" i="4"/>
  <c r="V44" i="4"/>
  <c r="B45" i="4"/>
  <c r="C45" i="4"/>
  <c r="D45" i="4"/>
  <c r="E45" i="4"/>
  <c r="G45" i="4"/>
  <c r="H45" i="4"/>
  <c r="N45" i="4"/>
  <c r="O45" i="4"/>
  <c r="R45" i="4"/>
  <c r="S45" i="4"/>
  <c r="V45" i="4"/>
  <c r="B46" i="4"/>
  <c r="C46" i="4"/>
  <c r="D46" i="4"/>
  <c r="E46" i="4"/>
  <c r="G46" i="4"/>
  <c r="H46" i="4"/>
  <c r="N46" i="4"/>
  <c r="O46" i="4"/>
  <c r="R46" i="4"/>
  <c r="S46" i="4"/>
  <c r="V46" i="4"/>
  <c r="B47" i="4"/>
  <c r="C47" i="4"/>
  <c r="D47" i="4"/>
  <c r="E47" i="4"/>
  <c r="G47" i="4"/>
  <c r="H47" i="4"/>
  <c r="N47" i="4"/>
  <c r="O47" i="4"/>
  <c r="R47" i="4"/>
  <c r="S47" i="4"/>
  <c r="V47" i="4"/>
  <c r="B48" i="4"/>
  <c r="C48" i="4"/>
  <c r="D48" i="4"/>
  <c r="E48" i="4"/>
  <c r="G48" i="4"/>
  <c r="H48" i="4"/>
  <c r="N48" i="4"/>
  <c r="O48" i="4"/>
  <c r="R48" i="4"/>
  <c r="S48" i="4"/>
  <c r="V48" i="4"/>
  <c r="B49" i="4"/>
  <c r="C49" i="4"/>
  <c r="D49" i="4"/>
  <c r="E49" i="4"/>
  <c r="G49" i="4"/>
  <c r="H49" i="4"/>
  <c r="N49" i="4"/>
  <c r="O49" i="4"/>
  <c r="R49" i="4"/>
  <c r="S49" i="4"/>
  <c r="V49" i="4"/>
  <c r="B50" i="4"/>
  <c r="C50" i="4"/>
  <c r="D50" i="4"/>
  <c r="E50" i="4"/>
  <c r="G50" i="4"/>
  <c r="H50" i="4"/>
  <c r="N50" i="4"/>
  <c r="O50" i="4"/>
  <c r="R50" i="4"/>
  <c r="S50" i="4"/>
  <c r="V50" i="4"/>
  <c r="B51" i="4"/>
  <c r="C51" i="4"/>
  <c r="D51" i="4"/>
  <c r="E51" i="4"/>
  <c r="G51" i="4"/>
  <c r="H51" i="4"/>
  <c r="N51" i="4"/>
  <c r="O51" i="4"/>
  <c r="R51" i="4"/>
  <c r="S51" i="4"/>
  <c r="V51" i="4"/>
  <c r="B52" i="4"/>
  <c r="C52" i="4"/>
  <c r="D52" i="4"/>
  <c r="E52" i="4"/>
  <c r="G52" i="4"/>
  <c r="H52" i="4"/>
  <c r="N52" i="4"/>
  <c r="O52" i="4"/>
  <c r="R52" i="4"/>
  <c r="S52" i="4"/>
  <c r="V52" i="4"/>
  <c r="B53" i="4"/>
  <c r="C53" i="4"/>
  <c r="D53" i="4"/>
  <c r="E53" i="4"/>
  <c r="G53" i="4"/>
  <c r="H53" i="4"/>
  <c r="N53" i="4"/>
  <c r="O53" i="4"/>
  <c r="R53" i="4"/>
  <c r="S53" i="4"/>
  <c r="V53" i="4"/>
  <c r="B54" i="4"/>
  <c r="C54" i="4"/>
  <c r="D54" i="4"/>
  <c r="E54" i="4"/>
  <c r="G54" i="4"/>
  <c r="H54" i="4"/>
  <c r="N54" i="4"/>
  <c r="O54" i="4"/>
  <c r="R54" i="4"/>
  <c r="S54" i="4"/>
  <c r="V54" i="4"/>
  <c r="B55" i="4"/>
  <c r="C55" i="4"/>
  <c r="D55" i="4"/>
  <c r="E55" i="4"/>
  <c r="G55" i="4"/>
  <c r="H55" i="4"/>
  <c r="N55" i="4"/>
  <c r="O55" i="4"/>
  <c r="R55" i="4"/>
  <c r="S55" i="4"/>
  <c r="V55" i="4"/>
  <c r="B56" i="4"/>
  <c r="C56" i="4"/>
  <c r="D56" i="4"/>
  <c r="E56" i="4"/>
  <c r="G56" i="4"/>
  <c r="H56" i="4"/>
  <c r="N56" i="4"/>
  <c r="O56" i="4"/>
  <c r="R56" i="4"/>
  <c r="S56" i="4"/>
  <c r="V56" i="4"/>
  <c r="B57" i="4"/>
  <c r="C57" i="4"/>
  <c r="D57" i="4"/>
  <c r="E57" i="4"/>
  <c r="G57" i="4"/>
  <c r="H57" i="4"/>
  <c r="N57" i="4"/>
  <c r="O57" i="4"/>
  <c r="R57" i="4"/>
  <c r="S57" i="4"/>
  <c r="V57" i="4"/>
  <c r="B58" i="4"/>
  <c r="C58" i="4"/>
  <c r="D58" i="4"/>
  <c r="E58" i="4"/>
  <c r="G58" i="4"/>
  <c r="H58" i="4"/>
  <c r="N58" i="4"/>
  <c r="O58" i="4"/>
  <c r="R58" i="4"/>
  <c r="S58" i="4"/>
  <c r="V58" i="4"/>
  <c r="B59" i="4"/>
  <c r="C59" i="4"/>
  <c r="D59" i="4"/>
  <c r="E59" i="4"/>
  <c r="G59" i="4"/>
  <c r="H59" i="4"/>
  <c r="N59" i="4"/>
  <c r="O59" i="4"/>
  <c r="R59" i="4"/>
  <c r="S59" i="4"/>
  <c r="V59" i="4"/>
  <c r="B60" i="4"/>
  <c r="C60" i="4"/>
  <c r="D60" i="4"/>
  <c r="E60" i="4"/>
  <c r="G60" i="4"/>
  <c r="H60" i="4"/>
  <c r="N60" i="4"/>
  <c r="O60" i="4"/>
  <c r="R60" i="4"/>
  <c r="S60" i="4"/>
  <c r="V60" i="4"/>
  <c r="B61" i="4"/>
  <c r="C61" i="4"/>
  <c r="D61" i="4"/>
  <c r="E61" i="4"/>
  <c r="G61" i="4"/>
  <c r="H61" i="4"/>
  <c r="N61" i="4"/>
  <c r="O61" i="4"/>
  <c r="R61" i="4"/>
  <c r="S61" i="4"/>
  <c r="V61" i="4"/>
  <c r="B62" i="4"/>
  <c r="C62" i="4"/>
  <c r="D62" i="4"/>
  <c r="E62" i="4"/>
  <c r="G62" i="4"/>
  <c r="H62" i="4"/>
  <c r="N62" i="4"/>
  <c r="O62" i="4"/>
  <c r="R62" i="4"/>
  <c r="S62" i="4"/>
  <c r="V62" i="4"/>
  <c r="B63" i="4"/>
  <c r="C63" i="4"/>
  <c r="D63" i="4"/>
  <c r="E63" i="4"/>
  <c r="G63" i="4"/>
  <c r="H63" i="4"/>
  <c r="N63" i="4"/>
  <c r="O63" i="4"/>
  <c r="R63" i="4"/>
  <c r="S63" i="4"/>
  <c r="V63" i="4"/>
  <c r="B64" i="4"/>
  <c r="C64" i="4"/>
  <c r="D64" i="4"/>
  <c r="E64" i="4"/>
  <c r="G64" i="4"/>
  <c r="H64" i="4"/>
  <c r="N64" i="4"/>
  <c r="O64" i="4"/>
  <c r="R64" i="4"/>
  <c r="S64" i="4"/>
  <c r="V64" i="4"/>
  <c r="B65" i="4"/>
  <c r="C65" i="4"/>
  <c r="D65" i="4"/>
  <c r="E65" i="4"/>
  <c r="G65" i="4"/>
  <c r="H65" i="4"/>
  <c r="N65" i="4"/>
  <c r="O65" i="4"/>
  <c r="R65" i="4"/>
  <c r="S65" i="4"/>
  <c r="V65" i="4"/>
  <c r="B66" i="4"/>
  <c r="C66" i="4"/>
  <c r="D66" i="4"/>
  <c r="E66" i="4"/>
  <c r="G66" i="4"/>
  <c r="H66" i="4"/>
  <c r="N66" i="4"/>
  <c r="O66" i="4"/>
  <c r="R66" i="4"/>
  <c r="S66" i="4"/>
  <c r="V66" i="4"/>
  <c r="B67" i="4"/>
  <c r="C67" i="4"/>
  <c r="D67" i="4"/>
  <c r="E67" i="4"/>
  <c r="G67" i="4"/>
  <c r="H67" i="4"/>
  <c r="N67" i="4"/>
  <c r="O67" i="4"/>
  <c r="R67" i="4"/>
  <c r="S67" i="4"/>
  <c r="V67" i="4"/>
  <c r="B68" i="4"/>
  <c r="C68" i="4"/>
  <c r="D68" i="4"/>
  <c r="E68" i="4"/>
  <c r="G68" i="4"/>
  <c r="H68" i="4"/>
  <c r="N68" i="4"/>
  <c r="O68" i="4"/>
  <c r="R68" i="4"/>
  <c r="S68" i="4"/>
  <c r="V68" i="4"/>
  <c r="B69" i="4"/>
  <c r="C69" i="4"/>
  <c r="D69" i="4"/>
  <c r="E69" i="4"/>
  <c r="G69" i="4"/>
  <c r="H69" i="4"/>
  <c r="N69" i="4"/>
  <c r="O69" i="4"/>
  <c r="R69" i="4"/>
  <c r="S69" i="4"/>
  <c r="V69" i="4"/>
  <c r="B70" i="4"/>
  <c r="C70" i="4"/>
  <c r="D70" i="4"/>
  <c r="E70" i="4"/>
  <c r="G70" i="4"/>
  <c r="H70" i="4"/>
  <c r="N70" i="4"/>
  <c r="O70" i="4"/>
  <c r="R70" i="4"/>
  <c r="S70" i="4"/>
  <c r="V70" i="4"/>
  <c r="B71" i="4"/>
  <c r="C71" i="4"/>
  <c r="D71" i="4"/>
  <c r="E71" i="4"/>
  <c r="G71" i="4"/>
  <c r="H71" i="4"/>
  <c r="N71" i="4"/>
  <c r="O71" i="4"/>
  <c r="R71" i="4"/>
  <c r="S71" i="4"/>
  <c r="V71" i="4"/>
  <c r="B72" i="4"/>
  <c r="C72" i="4"/>
  <c r="D72" i="4"/>
  <c r="E72" i="4"/>
  <c r="G72" i="4"/>
  <c r="H72" i="4"/>
  <c r="N72" i="4"/>
  <c r="O72" i="4"/>
  <c r="R72" i="4"/>
  <c r="S72" i="4"/>
  <c r="V72" i="4"/>
  <c r="B73" i="4"/>
  <c r="C73" i="4"/>
  <c r="D73" i="4"/>
  <c r="E73" i="4"/>
  <c r="G73" i="4"/>
  <c r="H73" i="4"/>
  <c r="N73" i="4"/>
  <c r="O73" i="4"/>
  <c r="R73" i="4"/>
  <c r="S73" i="4"/>
  <c r="V73" i="4"/>
  <c r="B74" i="4"/>
  <c r="C74" i="4"/>
  <c r="D74" i="4"/>
  <c r="E74" i="4"/>
  <c r="G74" i="4"/>
  <c r="H74" i="4"/>
  <c r="N74" i="4"/>
  <c r="O74" i="4"/>
  <c r="R74" i="4"/>
  <c r="S74" i="4"/>
  <c r="V74" i="4"/>
  <c r="B75" i="4"/>
  <c r="C75" i="4"/>
  <c r="D75" i="4"/>
  <c r="E75" i="4"/>
  <c r="G75" i="4"/>
  <c r="H75" i="4"/>
  <c r="N75" i="4"/>
  <c r="O75" i="4"/>
  <c r="R75" i="4"/>
  <c r="S75" i="4"/>
  <c r="V75" i="4"/>
  <c r="B76" i="4"/>
  <c r="C76" i="4"/>
  <c r="D76" i="4"/>
  <c r="E76" i="4"/>
  <c r="G76" i="4"/>
  <c r="H76" i="4"/>
  <c r="N76" i="4"/>
  <c r="O76" i="4"/>
  <c r="R76" i="4"/>
  <c r="S76" i="4"/>
  <c r="V76" i="4"/>
  <c r="B77" i="4"/>
  <c r="C77" i="4"/>
  <c r="D77" i="4"/>
  <c r="E77" i="4"/>
  <c r="G77" i="4"/>
  <c r="H77" i="4"/>
  <c r="N77" i="4"/>
  <c r="O77" i="4"/>
  <c r="R77" i="4"/>
  <c r="S77" i="4"/>
  <c r="V77" i="4"/>
  <c r="B78" i="4"/>
  <c r="C78" i="4"/>
  <c r="D78" i="4"/>
  <c r="E78" i="4"/>
  <c r="G78" i="4"/>
  <c r="H78" i="4"/>
  <c r="N78" i="4"/>
  <c r="O78" i="4"/>
  <c r="R78" i="4"/>
  <c r="S78" i="4"/>
  <c r="V78" i="4"/>
  <c r="B79" i="4"/>
  <c r="C79" i="4"/>
  <c r="D79" i="4"/>
  <c r="E79" i="4"/>
  <c r="G79" i="4"/>
  <c r="H79" i="4"/>
  <c r="N79" i="4"/>
  <c r="O79" i="4"/>
  <c r="R79" i="4"/>
  <c r="S79" i="4"/>
  <c r="V79" i="4"/>
  <c r="B80" i="4"/>
  <c r="C80" i="4"/>
  <c r="D80" i="4"/>
  <c r="E80" i="4"/>
  <c r="G80" i="4"/>
  <c r="H80" i="4"/>
  <c r="N80" i="4"/>
  <c r="O80" i="4"/>
  <c r="R80" i="4"/>
  <c r="S80" i="4"/>
  <c r="V80" i="4"/>
  <c r="B81" i="4"/>
  <c r="C81" i="4"/>
  <c r="D81" i="4"/>
  <c r="E81" i="4"/>
  <c r="G81" i="4"/>
  <c r="H81" i="4"/>
  <c r="N81" i="4"/>
  <c r="O81" i="4"/>
  <c r="R81" i="4"/>
  <c r="S81" i="4"/>
  <c r="V81" i="4"/>
  <c r="B82" i="4"/>
  <c r="C82" i="4"/>
  <c r="D82" i="4"/>
  <c r="E82" i="4"/>
  <c r="G82" i="4"/>
  <c r="H82" i="4"/>
  <c r="N82" i="4"/>
  <c r="O82" i="4"/>
  <c r="R82" i="4"/>
  <c r="S82" i="4"/>
  <c r="V82" i="4"/>
  <c r="B83" i="4"/>
  <c r="C83" i="4"/>
  <c r="D83" i="4"/>
  <c r="E83" i="4"/>
  <c r="G83" i="4"/>
  <c r="H83" i="4"/>
  <c r="N83" i="4"/>
  <c r="O83" i="4"/>
  <c r="R83" i="4"/>
  <c r="S83" i="4"/>
  <c r="V83" i="4"/>
  <c r="B84" i="4"/>
  <c r="C84" i="4"/>
  <c r="D84" i="4"/>
  <c r="E84" i="4"/>
  <c r="G84" i="4"/>
  <c r="H84" i="4"/>
  <c r="N84" i="4"/>
  <c r="O84" i="4"/>
  <c r="R84" i="4"/>
  <c r="S84" i="4"/>
  <c r="V84" i="4"/>
  <c r="B85" i="4"/>
  <c r="C85" i="4"/>
  <c r="D85" i="4"/>
  <c r="E85" i="4"/>
  <c r="G85" i="4"/>
  <c r="H85" i="4"/>
  <c r="N85" i="4"/>
  <c r="O85" i="4"/>
  <c r="R85" i="4"/>
  <c r="S85" i="4"/>
  <c r="V85" i="4"/>
  <c r="B86" i="4"/>
  <c r="C86" i="4"/>
  <c r="D86" i="4"/>
  <c r="E86" i="4"/>
  <c r="G86" i="4"/>
  <c r="H86" i="4"/>
  <c r="N86" i="4"/>
  <c r="O86" i="4"/>
  <c r="R86" i="4"/>
  <c r="S86" i="4"/>
  <c r="V86" i="4"/>
  <c r="B87" i="4"/>
  <c r="C87" i="4"/>
  <c r="D87" i="4"/>
  <c r="E87" i="4"/>
  <c r="G87" i="4"/>
  <c r="H87" i="4"/>
  <c r="N87" i="4"/>
  <c r="O87" i="4"/>
  <c r="R87" i="4"/>
  <c r="S87" i="4"/>
  <c r="V87" i="4"/>
  <c r="B88" i="4"/>
  <c r="C88" i="4"/>
  <c r="D88" i="4"/>
  <c r="E88" i="4"/>
  <c r="G88" i="4"/>
  <c r="H88" i="4"/>
  <c r="N88" i="4"/>
  <c r="O88" i="4"/>
  <c r="R88" i="4"/>
  <c r="S88" i="4"/>
  <c r="V88" i="4"/>
  <c r="B89" i="4"/>
  <c r="C89" i="4"/>
  <c r="D89" i="4"/>
  <c r="E89" i="4"/>
  <c r="G89" i="4"/>
  <c r="H89" i="4"/>
  <c r="N89" i="4"/>
  <c r="O89" i="4"/>
  <c r="R89" i="4"/>
  <c r="S89" i="4"/>
  <c r="V89" i="4"/>
  <c r="B90" i="4"/>
  <c r="C90" i="4"/>
  <c r="D90" i="4"/>
  <c r="E90" i="4"/>
  <c r="G90" i="4"/>
  <c r="H90" i="4"/>
  <c r="N90" i="4"/>
  <c r="O90" i="4"/>
  <c r="R90" i="4"/>
  <c r="S90" i="4"/>
  <c r="V90" i="4"/>
  <c r="B91" i="4"/>
  <c r="C91" i="4"/>
  <c r="D91" i="4"/>
  <c r="E91" i="4"/>
  <c r="G91" i="4"/>
  <c r="H91" i="4"/>
  <c r="N91" i="4"/>
  <c r="O91" i="4"/>
  <c r="R91" i="4"/>
  <c r="S91" i="4"/>
  <c r="V91" i="4"/>
  <c r="B92" i="4"/>
  <c r="C92" i="4"/>
  <c r="D92" i="4"/>
  <c r="E92" i="4"/>
  <c r="G92" i="4"/>
  <c r="H92" i="4"/>
  <c r="N92" i="4"/>
  <c r="O92" i="4"/>
  <c r="R92" i="4"/>
  <c r="S92" i="4"/>
  <c r="V92" i="4"/>
  <c r="B93" i="4"/>
  <c r="C93" i="4"/>
  <c r="D93" i="4"/>
  <c r="E93" i="4"/>
  <c r="G93" i="4"/>
  <c r="H93" i="4"/>
  <c r="N93" i="4"/>
  <c r="O93" i="4"/>
  <c r="R93" i="4"/>
  <c r="S93" i="4"/>
  <c r="V93" i="4"/>
  <c r="B94" i="4"/>
  <c r="C94" i="4"/>
  <c r="D94" i="4"/>
  <c r="E94" i="4"/>
  <c r="G94" i="4"/>
  <c r="H94" i="4"/>
  <c r="N94" i="4"/>
  <c r="O94" i="4"/>
  <c r="R94" i="4"/>
  <c r="S94" i="4"/>
  <c r="V94" i="4"/>
  <c r="B95" i="4"/>
  <c r="C95" i="4"/>
  <c r="D95" i="4"/>
  <c r="E95" i="4"/>
  <c r="G95" i="4"/>
  <c r="H95" i="4"/>
  <c r="N95" i="4"/>
  <c r="O95" i="4"/>
  <c r="R95" i="4"/>
  <c r="S95" i="4"/>
  <c r="V95" i="4"/>
  <c r="B96" i="4"/>
  <c r="C96" i="4"/>
  <c r="D96" i="4"/>
  <c r="E96" i="4"/>
  <c r="G96" i="4"/>
  <c r="H96" i="4"/>
  <c r="N96" i="4"/>
  <c r="O96" i="4"/>
  <c r="R96" i="4"/>
  <c r="S96" i="4"/>
  <c r="V96" i="4"/>
  <c r="B97" i="4"/>
  <c r="C97" i="4"/>
  <c r="D97" i="4"/>
  <c r="E97" i="4"/>
  <c r="G97" i="4"/>
  <c r="H97" i="4"/>
  <c r="N97" i="4"/>
  <c r="O97" i="4"/>
  <c r="R97" i="4"/>
  <c r="S97" i="4"/>
  <c r="V97" i="4"/>
  <c r="B98" i="4"/>
  <c r="C98" i="4"/>
  <c r="D98" i="4"/>
  <c r="E98" i="4"/>
  <c r="G98" i="4"/>
  <c r="H98" i="4"/>
  <c r="N98" i="4"/>
  <c r="O98" i="4"/>
  <c r="R98" i="4"/>
  <c r="S98" i="4"/>
  <c r="V98" i="4"/>
  <c r="B99" i="4"/>
  <c r="C99" i="4"/>
  <c r="D99" i="4"/>
  <c r="E99" i="4"/>
  <c r="G99" i="4"/>
  <c r="H99" i="4"/>
  <c r="N99" i="4"/>
  <c r="O99" i="4"/>
  <c r="R99" i="4"/>
  <c r="S99" i="4"/>
  <c r="V99" i="4"/>
  <c r="B100" i="4"/>
  <c r="C100" i="4"/>
  <c r="D100" i="4"/>
  <c r="E100" i="4"/>
  <c r="G100" i="4"/>
  <c r="H100" i="4"/>
  <c r="N100" i="4"/>
  <c r="O100" i="4"/>
  <c r="R100" i="4"/>
  <c r="S100" i="4"/>
  <c r="V100" i="4"/>
  <c r="B101" i="4"/>
  <c r="C101" i="4"/>
  <c r="D101" i="4"/>
  <c r="E101" i="4"/>
  <c r="G101" i="4"/>
  <c r="H101" i="4"/>
  <c r="N101" i="4"/>
  <c r="O101" i="4"/>
  <c r="R101" i="4"/>
  <c r="S101" i="4"/>
  <c r="V101" i="4"/>
  <c r="B102" i="4"/>
  <c r="C102" i="4"/>
  <c r="D102" i="4"/>
  <c r="E102" i="4"/>
  <c r="G102" i="4"/>
  <c r="H102" i="4"/>
  <c r="N102" i="4"/>
  <c r="O102" i="4"/>
  <c r="R102" i="4"/>
  <c r="S102" i="4"/>
  <c r="V102" i="4"/>
  <c r="B103" i="4"/>
  <c r="C103" i="4"/>
  <c r="D103" i="4"/>
  <c r="E103" i="4"/>
  <c r="G103" i="4"/>
  <c r="H103" i="4"/>
  <c r="N103" i="4"/>
  <c r="O103" i="4"/>
  <c r="R103" i="4"/>
  <c r="S103" i="4"/>
  <c r="V103" i="4"/>
  <c r="B104" i="4"/>
  <c r="C104" i="4"/>
  <c r="D104" i="4"/>
  <c r="E104" i="4"/>
  <c r="G104" i="4"/>
  <c r="H104" i="4"/>
  <c r="N104" i="4"/>
  <c r="O104" i="4"/>
  <c r="R104" i="4"/>
  <c r="S104" i="4"/>
  <c r="V104" i="4"/>
  <c r="B105" i="4"/>
  <c r="C105" i="4"/>
  <c r="D105" i="4"/>
  <c r="E105" i="4"/>
  <c r="G105" i="4"/>
  <c r="H105" i="4"/>
  <c r="N105" i="4"/>
  <c r="O105" i="4"/>
  <c r="R105" i="4"/>
  <c r="S105" i="4"/>
  <c r="V105" i="4"/>
  <c r="B106" i="4"/>
  <c r="C106" i="4"/>
  <c r="D106" i="4"/>
  <c r="E106" i="4"/>
  <c r="G106" i="4"/>
  <c r="H106" i="4"/>
  <c r="N106" i="4"/>
  <c r="O106" i="4"/>
  <c r="R106" i="4"/>
  <c r="S106" i="4"/>
  <c r="V106" i="4"/>
  <c r="B7" i="3" l="1"/>
  <c r="B16" i="3" s="1"/>
  <c r="C24" i="3"/>
  <c r="B24" i="3"/>
  <c r="D18" i="3"/>
  <c r="D24" i="3" s="1"/>
  <c r="C18" i="3"/>
  <c r="B13" i="3"/>
  <c r="B12" i="3"/>
  <c r="C18" i="1"/>
  <c r="D18" i="1" s="1"/>
  <c r="E18" i="1" s="1"/>
  <c r="F18" i="1" s="1"/>
  <c r="G18" i="1" s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B12" i="1"/>
  <c r="B13" i="1"/>
  <c r="B16" i="1"/>
  <c r="B24" i="1"/>
  <c r="E6" i="2" a="1"/>
  <c r="N6" i="2" a="1"/>
  <c r="B33" i="3"/>
  <c r="B33" i="1"/>
  <c r="C33" i="1"/>
  <c r="A47" i="2"/>
  <c r="C33" i="3"/>
  <c r="E18" i="3" l="1"/>
  <c r="C24" i="1"/>
  <c r="E6" i="2"/>
  <c r="G6" i="2"/>
  <c r="F7" i="2"/>
  <c r="E8" i="2"/>
  <c r="G8" i="2"/>
  <c r="F9" i="2"/>
  <c r="E10" i="2"/>
  <c r="G10" i="2"/>
  <c r="F11" i="2"/>
  <c r="E12" i="2"/>
  <c r="G12" i="2"/>
  <c r="F13" i="2"/>
  <c r="E14" i="2"/>
  <c r="G14" i="2"/>
  <c r="F15" i="2"/>
  <c r="E16" i="2"/>
  <c r="G16" i="2"/>
  <c r="F17" i="2"/>
  <c r="E18" i="2"/>
  <c r="G18" i="2"/>
  <c r="F19" i="2"/>
  <c r="E20" i="2"/>
  <c r="G20" i="2"/>
  <c r="F21" i="2"/>
  <c r="E22" i="2"/>
  <c r="G22" i="2"/>
  <c r="F23" i="2"/>
  <c r="E24" i="2"/>
  <c r="G24" i="2"/>
  <c r="F25" i="2"/>
  <c r="E26" i="2"/>
  <c r="G26" i="2"/>
  <c r="F27" i="2"/>
  <c r="E28" i="2"/>
  <c r="G28" i="2"/>
  <c r="F29" i="2"/>
  <c r="E30" i="2"/>
  <c r="G30" i="2"/>
  <c r="F31" i="2"/>
  <c r="E32" i="2"/>
  <c r="G32" i="2"/>
  <c r="F33" i="2"/>
  <c r="E34" i="2"/>
  <c r="G34" i="2"/>
  <c r="F35" i="2"/>
  <c r="E36" i="2"/>
  <c r="G36" i="2"/>
  <c r="F6" i="2"/>
  <c r="E7" i="2"/>
  <c r="G7" i="2"/>
  <c r="F8" i="2"/>
  <c r="E9" i="2"/>
  <c r="G9" i="2"/>
  <c r="F10" i="2"/>
  <c r="E11" i="2"/>
  <c r="G11" i="2"/>
  <c r="F12" i="2"/>
  <c r="E13" i="2"/>
  <c r="G13" i="2"/>
  <c r="F14" i="2"/>
  <c r="E15" i="2"/>
  <c r="G15" i="2"/>
  <c r="F16" i="2"/>
  <c r="E17" i="2"/>
  <c r="G17" i="2"/>
  <c r="F18" i="2"/>
  <c r="E19" i="2"/>
  <c r="G19" i="2"/>
  <c r="F20" i="2"/>
  <c r="E21" i="2"/>
  <c r="G21" i="2"/>
  <c r="F22" i="2"/>
  <c r="E23" i="2"/>
  <c r="G23" i="2"/>
  <c r="F24" i="2"/>
  <c r="E25" i="2"/>
  <c r="G25" i="2"/>
  <c r="F26" i="2"/>
  <c r="E27" i="2"/>
  <c r="G27" i="2"/>
  <c r="F28" i="2"/>
  <c r="E29" i="2"/>
  <c r="G29" i="2"/>
  <c r="F30" i="2"/>
  <c r="G31" i="2"/>
  <c r="E33" i="2"/>
  <c r="F34" i="2"/>
  <c r="G35" i="2"/>
  <c r="E31" i="2"/>
  <c r="F32" i="2"/>
  <c r="G33" i="2"/>
  <c r="E35" i="2"/>
  <c r="F36" i="2"/>
  <c r="E24" i="1"/>
  <c r="D24" i="1"/>
  <c r="N6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P6" i="2"/>
  <c r="N7" i="2"/>
  <c r="P7" i="2"/>
  <c r="N8" i="2"/>
  <c r="P8" i="2"/>
  <c r="N9" i="2"/>
  <c r="N11" i="2"/>
  <c r="P11" i="2"/>
  <c r="N12" i="2"/>
  <c r="P12" i="2"/>
  <c r="N13" i="2"/>
  <c r="N14" i="2"/>
  <c r="P15" i="2"/>
  <c r="N16" i="2"/>
  <c r="N18" i="2"/>
  <c r="P19" i="2"/>
  <c r="N20" i="2"/>
  <c r="P21" i="2"/>
  <c r="N22" i="2"/>
  <c r="P23" i="2"/>
  <c r="N24" i="2"/>
  <c r="P25" i="2"/>
  <c r="N26" i="2"/>
  <c r="P26" i="2"/>
  <c r="N27" i="2"/>
  <c r="P28" i="2"/>
  <c r="N29" i="2"/>
  <c r="P30" i="2"/>
  <c r="N31" i="2"/>
  <c r="P31" i="2"/>
  <c r="P9" i="2"/>
  <c r="N10" i="2"/>
  <c r="P10" i="2"/>
  <c r="P13" i="2"/>
  <c r="P14" i="2"/>
  <c r="N15" i="2"/>
  <c r="P16" i="2"/>
  <c r="N17" i="2"/>
  <c r="P17" i="2"/>
  <c r="P18" i="2"/>
  <c r="N19" i="2"/>
  <c r="P20" i="2"/>
  <c r="N21" i="2"/>
  <c r="P22" i="2"/>
  <c r="N23" i="2"/>
  <c r="P24" i="2"/>
  <c r="N25" i="2"/>
  <c r="P27" i="2"/>
  <c r="N28" i="2"/>
  <c r="P29" i="2"/>
  <c r="N30" i="2"/>
  <c r="P32" i="2"/>
  <c r="N33" i="2"/>
  <c r="P34" i="2"/>
  <c r="N35" i="2"/>
  <c r="P36" i="2"/>
  <c r="N34" i="2"/>
  <c r="P35" i="2"/>
  <c r="N32" i="2"/>
  <c r="P33" i="2"/>
  <c r="N36" i="2"/>
  <c r="D19" i="3"/>
  <c r="B19" i="1"/>
  <c r="B19" i="3"/>
  <c r="B20" i="1"/>
  <c r="B20" i="3"/>
  <c r="D20" i="1"/>
  <c r="C19" i="3"/>
  <c r="E19" i="1"/>
  <c r="C20" i="3"/>
  <c r="D20" i="3"/>
  <c r="E20" i="1"/>
  <c r="D19" i="1"/>
  <c r="C19" i="1"/>
  <c r="C20" i="1"/>
  <c r="C21" i="3" l="1"/>
  <c r="D22" i="3"/>
  <c r="B21" i="3"/>
  <c r="B22" i="3"/>
  <c r="C22" i="3"/>
  <c r="D21" i="3"/>
  <c r="D23" i="3" s="1"/>
  <c r="D25" i="3" s="1"/>
  <c r="E24" i="3"/>
  <c r="F18" i="3"/>
  <c r="B22" i="1"/>
  <c r="D22" i="1"/>
  <c r="C22" i="1"/>
  <c r="B21" i="1"/>
  <c r="D21" i="1"/>
  <c r="C21" i="1"/>
  <c r="E21" i="1"/>
  <c r="E22" i="1"/>
  <c r="F24" i="1"/>
  <c r="F20" i="1"/>
  <c r="E19" i="3"/>
  <c r="F19" i="1"/>
  <c r="E20" i="3"/>
  <c r="E22" i="3" l="1"/>
  <c r="E21" i="3"/>
  <c r="F24" i="3"/>
  <c r="G18" i="3"/>
  <c r="D28" i="3"/>
  <c r="D27" i="3"/>
  <c r="D26" i="3"/>
  <c r="B23" i="3"/>
  <c r="B25" i="3" s="1"/>
  <c r="C23" i="3"/>
  <c r="C25" i="3" s="1"/>
  <c r="E23" i="1"/>
  <c r="E25" i="1" s="1"/>
  <c r="E26" i="1" s="1"/>
  <c r="D23" i="1"/>
  <c r="D25" i="1" s="1"/>
  <c r="C23" i="1"/>
  <c r="C25" i="1" s="1"/>
  <c r="B23" i="1"/>
  <c r="B25" i="1" s="1"/>
  <c r="F21" i="1"/>
  <c r="F22" i="1"/>
  <c r="G24" i="1"/>
  <c r="F20" i="3"/>
  <c r="G20" i="1"/>
  <c r="G19" i="1"/>
  <c r="F19" i="3"/>
  <c r="E23" i="3" l="1"/>
  <c r="E25" i="3" s="1"/>
  <c r="E26" i="3" s="1"/>
  <c r="F21" i="3"/>
  <c r="F22" i="3"/>
  <c r="B28" i="3"/>
  <c r="B27" i="3"/>
  <c r="B26" i="3"/>
  <c r="G24" i="3"/>
  <c r="H18" i="3"/>
  <c r="C27" i="3"/>
  <c r="C26" i="3"/>
  <c r="C28" i="3"/>
  <c r="E28" i="1"/>
  <c r="E27" i="1"/>
  <c r="D26" i="1"/>
  <c r="D28" i="1"/>
  <c r="D27" i="1"/>
  <c r="F23" i="1"/>
  <c r="F25" i="1" s="1"/>
  <c r="F26" i="1" s="1"/>
  <c r="C26" i="1"/>
  <c r="C27" i="1"/>
  <c r="C28" i="1"/>
  <c r="B26" i="1"/>
  <c r="B28" i="1"/>
  <c r="B27" i="1"/>
  <c r="G22" i="1"/>
  <c r="G21" i="1"/>
  <c r="H24" i="1"/>
  <c r="G19" i="3"/>
  <c r="H20" i="1"/>
  <c r="G20" i="3"/>
  <c r="H19" i="1"/>
  <c r="E28" i="3" l="1"/>
  <c r="E27" i="3"/>
  <c r="F23" i="3"/>
  <c r="F25" i="3" s="1"/>
  <c r="F28" i="3" s="1"/>
  <c r="G21" i="3"/>
  <c r="G22" i="3"/>
  <c r="H24" i="3"/>
  <c r="I18" i="3"/>
  <c r="G23" i="1"/>
  <c r="G25" i="1" s="1"/>
  <c r="G27" i="1" s="1"/>
  <c r="F27" i="1"/>
  <c r="F28" i="1"/>
  <c r="H22" i="1"/>
  <c r="H21" i="1"/>
  <c r="I24" i="1"/>
  <c r="H20" i="3"/>
  <c r="I19" i="1"/>
  <c r="H19" i="3"/>
  <c r="I20" i="1"/>
  <c r="F27" i="3" l="1"/>
  <c r="F26" i="3"/>
  <c r="G23" i="3"/>
  <c r="G25" i="3" s="1"/>
  <c r="G27" i="3" s="1"/>
  <c r="H21" i="3"/>
  <c r="H22" i="3"/>
  <c r="I24" i="3"/>
  <c r="J18" i="3"/>
  <c r="H23" i="1"/>
  <c r="H25" i="1" s="1"/>
  <c r="H26" i="1" s="1"/>
  <c r="G26" i="1"/>
  <c r="G28" i="1"/>
  <c r="I22" i="1"/>
  <c r="I21" i="1"/>
  <c r="J24" i="1"/>
  <c r="J20" i="1"/>
  <c r="I20" i="3"/>
  <c r="J19" i="1"/>
  <c r="I19" i="3"/>
  <c r="G28" i="3" l="1"/>
  <c r="H23" i="3"/>
  <c r="H25" i="3" s="1"/>
  <c r="H27" i="3" s="1"/>
  <c r="G26" i="3"/>
  <c r="I22" i="3"/>
  <c r="I21" i="3"/>
  <c r="J24" i="3"/>
  <c r="K18" i="3"/>
  <c r="H27" i="1"/>
  <c r="H28" i="1"/>
  <c r="I23" i="1"/>
  <c r="I25" i="1" s="1"/>
  <c r="I28" i="1" s="1"/>
  <c r="J22" i="1"/>
  <c r="J21" i="1"/>
  <c r="K24" i="1"/>
  <c r="K20" i="1"/>
  <c r="J19" i="3"/>
  <c r="K19" i="1"/>
  <c r="J20" i="3"/>
  <c r="H28" i="3" l="1"/>
  <c r="H26" i="3"/>
  <c r="I23" i="3"/>
  <c r="I25" i="3" s="1"/>
  <c r="I28" i="3" s="1"/>
  <c r="J21" i="3"/>
  <c r="J22" i="3"/>
  <c r="K24" i="3"/>
  <c r="L18" i="3"/>
  <c r="I27" i="1"/>
  <c r="I26" i="1"/>
  <c r="J23" i="1"/>
  <c r="J25" i="1" s="1"/>
  <c r="J27" i="1" s="1"/>
  <c r="K22" i="1"/>
  <c r="K21" i="1"/>
  <c r="L24" i="1"/>
  <c r="L20" i="1"/>
  <c r="L19" i="1"/>
  <c r="K19" i="3"/>
  <c r="K20" i="3"/>
  <c r="I26" i="3" l="1"/>
  <c r="I27" i="3"/>
  <c r="J23" i="3"/>
  <c r="J25" i="3" s="1"/>
  <c r="J28" i="3" s="1"/>
  <c r="K22" i="3"/>
  <c r="K21" i="3"/>
  <c r="L24" i="3"/>
  <c r="M18" i="3"/>
  <c r="J26" i="1"/>
  <c r="J28" i="1"/>
  <c r="K23" i="1"/>
  <c r="K25" i="1" s="1"/>
  <c r="K27" i="1" s="1"/>
  <c r="L22" i="1"/>
  <c r="L21" i="1"/>
  <c r="M24" i="1"/>
  <c r="M20" i="1"/>
  <c r="L20" i="3"/>
  <c r="M19" i="1"/>
  <c r="L19" i="3"/>
  <c r="J27" i="3" l="1"/>
  <c r="J26" i="3"/>
  <c r="L22" i="3"/>
  <c r="L21" i="3"/>
  <c r="M24" i="3"/>
  <c r="N18" i="3"/>
  <c r="K23" i="3"/>
  <c r="K25" i="3" s="1"/>
  <c r="L23" i="1"/>
  <c r="L25" i="1" s="1"/>
  <c r="L27" i="1" s="1"/>
  <c r="K26" i="1"/>
  <c r="K28" i="1"/>
  <c r="M22" i="1"/>
  <c r="M21" i="1"/>
  <c r="N24" i="1"/>
  <c r="N19" i="1"/>
  <c r="M19" i="3"/>
  <c r="N20" i="1"/>
  <c r="M20" i="3"/>
  <c r="L23" i="3" l="1"/>
  <c r="L25" i="3" s="1"/>
  <c r="L28" i="3" s="1"/>
  <c r="M22" i="3"/>
  <c r="M21" i="3"/>
  <c r="M23" i="3" s="1"/>
  <c r="M25" i="3" s="1"/>
  <c r="N24" i="3"/>
  <c r="O18" i="3"/>
  <c r="K27" i="3"/>
  <c r="K26" i="3"/>
  <c r="K28" i="3"/>
  <c r="L26" i="1"/>
  <c r="L28" i="1"/>
  <c r="M23" i="1"/>
  <c r="M25" i="1" s="1"/>
  <c r="M26" i="1" s="1"/>
  <c r="N22" i="1"/>
  <c r="N21" i="1"/>
  <c r="O24" i="1"/>
  <c r="O20" i="1"/>
  <c r="O19" i="1"/>
  <c r="N20" i="3"/>
  <c r="N19" i="3"/>
  <c r="L27" i="3" l="1"/>
  <c r="L26" i="3"/>
  <c r="N21" i="3"/>
  <c r="N22" i="3"/>
  <c r="O24" i="3"/>
  <c r="P18" i="3"/>
  <c r="M28" i="3"/>
  <c r="M26" i="3"/>
  <c r="M27" i="3"/>
  <c r="M28" i="1"/>
  <c r="M27" i="1"/>
  <c r="N23" i="1"/>
  <c r="N25" i="1" s="1"/>
  <c r="N26" i="1" s="1"/>
  <c r="O22" i="1"/>
  <c r="O21" i="1"/>
  <c r="P24" i="1"/>
  <c r="O19" i="3"/>
  <c r="P19" i="1"/>
  <c r="O20" i="3"/>
  <c r="P20" i="1"/>
  <c r="N23" i="3" l="1"/>
  <c r="N25" i="3" s="1"/>
  <c r="N28" i="3" s="1"/>
  <c r="O22" i="3"/>
  <c r="O21" i="3"/>
  <c r="O23" i="3" s="1"/>
  <c r="O25" i="3" s="1"/>
  <c r="P24" i="3"/>
  <c r="Q18" i="3"/>
  <c r="O23" i="1"/>
  <c r="O25" i="1" s="1"/>
  <c r="O26" i="1" s="1"/>
  <c r="N27" i="1"/>
  <c r="N28" i="1"/>
  <c r="P22" i="1"/>
  <c r="P21" i="1"/>
  <c r="Q24" i="1"/>
  <c r="P19" i="3"/>
  <c r="Q20" i="1"/>
  <c r="P20" i="3"/>
  <c r="Q19" i="1"/>
  <c r="N27" i="3" l="1"/>
  <c r="N26" i="3"/>
  <c r="P21" i="3"/>
  <c r="P22" i="3"/>
  <c r="Q24" i="3"/>
  <c r="R18" i="3"/>
  <c r="O27" i="3"/>
  <c r="O28" i="3"/>
  <c r="O26" i="3"/>
  <c r="O28" i="1"/>
  <c r="O27" i="1"/>
  <c r="P23" i="1"/>
  <c r="P25" i="1" s="1"/>
  <c r="P27" i="1" s="1"/>
  <c r="Q22" i="1"/>
  <c r="Q21" i="1"/>
  <c r="R24" i="1"/>
  <c r="R19" i="1"/>
  <c r="Q19" i="3"/>
  <c r="R20" i="1"/>
  <c r="Q20" i="3"/>
  <c r="P23" i="3" l="1"/>
  <c r="P25" i="3" s="1"/>
  <c r="P28" i="3" s="1"/>
  <c r="Q22" i="3"/>
  <c r="Q21" i="3"/>
  <c r="Q23" i="3" s="1"/>
  <c r="Q25" i="3" s="1"/>
  <c r="R24" i="3"/>
  <c r="S18" i="3"/>
  <c r="P26" i="1"/>
  <c r="Q23" i="1"/>
  <c r="Q25" i="1" s="1"/>
  <c r="Q26" i="1" s="1"/>
  <c r="P28" i="1"/>
  <c r="R22" i="1"/>
  <c r="R21" i="1"/>
  <c r="S24" i="1"/>
  <c r="R20" i="3"/>
  <c r="R19" i="3"/>
  <c r="S20" i="1"/>
  <c r="S19" i="1"/>
  <c r="P27" i="3" l="1"/>
  <c r="P26" i="3"/>
  <c r="R21" i="3"/>
  <c r="R22" i="3"/>
  <c r="Q28" i="3"/>
  <c r="Q26" i="3"/>
  <c r="Q27" i="3"/>
  <c r="S24" i="3"/>
  <c r="T18" i="3"/>
  <c r="Q28" i="1"/>
  <c r="Q27" i="1"/>
  <c r="R23" i="1"/>
  <c r="R25" i="1" s="1"/>
  <c r="R26" i="1" s="1"/>
  <c r="S22" i="1"/>
  <c r="S21" i="1"/>
  <c r="T24" i="1"/>
  <c r="T19" i="1"/>
  <c r="S19" i="3"/>
  <c r="T20" i="1"/>
  <c r="S20" i="3"/>
  <c r="S22" i="3" l="1"/>
  <c r="S21" i="3"/>
  <c r="T24" i="3"/>
  <c r="U18" i="3"/>
  <c r="R23" i="3"/>
  <c r="R25" i="3" s="1"/>
  <c r="R27" i="1"/>
  <c r="R28" i="1"/>
  <c r="S23" i="1"/>
  <c r="S25" i="1" s="1"/>
  <c r="S27" i="1" s="1"/>
  <c r="T22" i="1"/>
  <c r="T21" i="1"/>
  <c r="T23" i="1" s="1"/>
  <c r="T25" i="1" s="1"/>
  <c r="U24" i="1"/>
  <c r="U19" i="1"/>
  <c r="T20" i="3"/>
  <c r="U20" i="1"/>
  <c r="T19" i="3"/>
  <c r="T21" i="3" l="1"/>
  <c r="T22" i="3"/>
  <c r="S23" i="3"/>
  <c r="S25" i="3" s="1"/>
  <c r="R28" i="3"/>
  <c r="R27" i="3"/>
  <c r="R26" i="3"/>
  <c r="U24" i="3"/>
  <c r="V18" i="3"/>
  <c r="S26" i="1"/>
  <c r="S28" i="1"/>
  <c r="U22" i="1"/>
  <c r="U21" i="1"/>
  <c r="V24" i="1"/>
  <c r="T26" i="1"/>
  <c r="T27" i="1"/>
  <c r="T28" i="1"/>
  <c r="U19" i="3"/>
  <c r="V20" i="1"/>
  <c r="U20" i="3"/>
  <c r="V19" i="1"/>
  <c r="T23" i="3" l="1"/>
  <c r="T25" i="3" s="1"/>
  <c r="T27" i="3" s="1"/>
  <c r="U21" i="3"/>
  <c r="U22" i="3"/>
  <c r="S27" i="3"/>
  <c r="S26" i="3"/>
  <c r="S28" i="3"/>
  <c r="V24" i="3"/>
  <c r="W18" i="3"/>
  <c r="U23" i="1"/>
  <c r="U25" i="1" s="1"/>
  <c r="U26" i="1" s="1"/>
  <c r="V22" i="1"/>
  <c r="V21" i="1"/>
  <c r="W24" i="1"/>
  <c r="V19" i="3"/>
  <c r="W20" i="1"/>
  <c r="W19" i="1"/>
  <c r="V20" i="3"/>
  <c r="T28" i="3" l="1"/>
  <c r="T26" i="3"/>
  <c r="U23" i="3"/>
  <c r="U25" i="3" s="1"/>
  <c r="U28" i="3" s="1"/>
  <c r="V21" i="3"/>
  <c r="V22" i="3"/>
  <c r="W24" i="3"/>
  <c r="X18" i="3"/>
  <c r="V23" i="1"/>
  <c r="V25" i="1" s="1"/>
  <c r="V26" i="1" s="1"/>
  <c r="U28" i="1"/>
  <c r="U27" i="1"/>
  <c r="W22" i="1"/>
  <c r="W21" i="1"/>
  <c r="X24" i="1"/>
  <c r="X20" i="1"/>
  <c r="W19" i="3"/>
  <c r="X19" i="1"/>
  <c r="W20" i="3"/>
  <c r="U26" i="3" l="1"/>
  <c r="U27" i="3"/>
  <c r="V23" i="3"/>
  <c r="V25" i="3" s="1"/>
  <c r="V28" i="3" s="1"/>
  <c r="W21" i="3"/>
  <c r="W22" i="3"/>
  <c r="X24" i="3"/>
  <c r="Y18" i="3"/>
  <c r="V27" i="1"/>
  <c r="V28" i="1"/>
  <c r="W23" i="1"/>
  <c r="W25" i="1" s="1"/>
  <c r="W27" i="1" s="1"/>
  <c r="X22" i="1"/>
  <c r="X21" i="1"/>
  <c r="Y24" i="1"/>
  <c r="Y20" i="1"/>
  <c r="X19" i="3"/>
  <c r="Y19" i="1"/>
  <c r="X20" i="3"/>
  <c r="V27" i="3" l="1"/>
  <c r="V26" i="3"/>
  <c r="W23" i="3"/>
  <c r="W25" i="3" s="1"/>
  <c r="W27" i="3" s="1"/>
  <c r="X21" i="3"/>
  <c r="X22" i="3"/>
  <c r="Y24" i="3"/>
  <c r="Z18" i="3"/>
  <c r="W26" i="1"/>
  <c r="W28" i="1"/>
  <c r="X23" i="1"/>
  <c r="X25" i="1" s="1"/>
  <c r="X26" i="1" s="1"/>
  <c r="Y22" i="1"/>
  <c r="Y21" i="1"/>
  <c r="Z24" i="1"/>
  <c r="Z19" i="1"/>
  <c r="Y20" i="3"/>
  <c r="Z20" i="1"/>
  <c r="Y19" i="3"/>
  <c r="W28" i="3" l="1"/>
  <c r="W26" i="3"/>
  <c r="X23" i="3"/>
  <c r="X25" i="3" s="1"/>
  <c r="X27" i="3" s="1"/>
  <c r="X27" i="1"/>
  <c r="Y21" i="3"/>
  <c r="Y23" i="3" s="1"/>
  <c r="Y25" i="3" s="1"/>
  <c r="Y22" i="3"/>
  <c r="X28" i="3"/>
  <c r="Z24" i="3"/>
  <c r="AA18" i="3"/>
  <c r="Y23" i="1"/>
  <c r="Y25" i="1" s="1"/>
  <c r="Y28" i="1" s="1"/>
  <c r="X28" i="1"/>
  <c r="Z22" i="1"/>
  <c r="Z21" i="1"/>
  <c r="AA24" i="1"/>
  <c r="Z19" i="3"/>
  <c r="AA20" i="1"/>
  <c r="Z20" i="3"/>
  <c r="AA19" i="1"/>
  <c r="X26" i="3" l="1"/>
  <c r="Z21" i="3"/>
  <c r="Z22" i="3"/>
  <c r="AA24" i="3"/>
  <c r="AB18" i="3"/>
  <c r="Y28" i="3"/>
  <c r="Y26" i="3"/>
  <c r="Y27" i="3"/>
  <c r="Y27" i="1"/>
  <c r="Y26" i="1"/>
  <c r="Z23" i="1"/>
  <c r="Z25" i="1" s="1"/>
  <c r="Z26" i="1" s="1"/>
  <c r="AA22" i="1"/>
  <c r="AA21" i="1"/>
  <c r="AB24" i="1"/>
  <c r="AB19" i="1"/>
  <c r="AA19" i="3"/>
  <c r="AB20" i="1"/>
  <c r="AA20" i="3"/>
  <c r="Z23" i="3" l="1"/>
  <c r="Z25" i="3" s="1"/>
  <c r="Z28" i="3" s="1"/>
  <c r="AA22" i="3"/>
  <c r="AA21" i="3"/>
  <c r="AB24" i="3"/>
  <c r="AC18" i="3"/>
  <c r="Z27" i="1"/>
  <c r="Z28" i="1"/>
  <c r="AA23" i="1"/>
  <c r="AA25" i="1" s="1"/>
  <c r="AA27" i="1" s="1"/>
  <c r="AB22" i="1"/>
  <c r="AB21" i="1"/>
  <c r="AC24" i="1"/>
  <c r="AB20" i="3"/>
  <c r="AC19" i="1"/>
  <c r="AB19" i="3"/>
  <c r="AC20" i="1"/>
  <c r="Z27" i="3" l="1"/>
  <c r="Z26" i="3"/>
  <c r="AA23" i="3"/>
  <c r="AA25" i="3" s="1"/>
  <c r="AA27" i="3" s="1"/>
  <c r="AB21" i="3"/>
  <c r="AB22" i="3"/>
  <c r="AC24" i="3"/>
  <c r="AD18" i="3"/>
  <c r="AA26" i="1"/>
  <c r="AA28" i="1"/>
  <c r="AB23" i="1"/>
  <c r="AB25" i="1" s="1"/>
  <c r="AB26" i="1" s="1"/>
  <c r="AC22" i="1"/>
  <c r="AC21" i="1"/>
  <c r="AC23" i="1" s="1"/>
  <c r="AC25" i="1" s="1"/>
  <c r="AD24" i="1"/>
  <c r="AD19" i="1"/>
  <c r="AC20" i="3"/>
  <c r="AD20" i="1"/>
  <c r="AC19" i="3"/>
  <c r="AA26" i="3" l="1"/>
  <c r="AA28" i="3"/>
  <c r="AB23" i="3"/>
  <c r="AB25" i="3" s="1"/>
  <c r="AB28" i="3" s="1"/>
  <c r="AC21" i="3"/>
  <c r="AC22" i="3"/>
  <c r="AD24" i="3"/>
  <c r="AE18" i="3"/>
  <c r="AB27" i="1"/>
  <c r="AB28" i="1"/>
  <c r="AD22" i="1"/>
  <c r="AD21" i="1"/>
  <c r="AC26" i="1"/>
  <c r="AC28" i="1"/>
  <c r="AC27" i="1"/>
  <c r="AE24" i="1"/>
  <c r="AE20" i="1"/>
  <c r="AD19" i="3"/>
  <c r="AE19" i="1"/>
  <c r="AD20" i="3"/>
  <c r="AB27" i="3" l="1"/>
  <c r="AC23" i="3"/>
  <c r="AC25" i="3" s="1"/>
  <c r="AC28" i="3" s="1"/>
  <c r="AB26" i="3"/>
  <c r="AD21" i="3"/>
  <c r="AD23" i="3" s="1"/>
  <c r="AD25" i="3" s="1"/>
  <c r="AD22" i="3"/>
  <c r="AE24" i="3"/>
  <c r="AD23" i="1"/>
  <c r="AD25" i="1" s="1"/>
  <c r="AD26" i="1" s="1"/>
  <c r="AE21" i="1"/>
  <c r="AE22" i="1"/>
  <c r="AE20" i="3"/>
  <c r="AE19" i="3"/>
  <c r="AC26" i="3" l="1"/>
  <c r="AC27" i="3"/>
  <c r="AE22" i="3"/>
  <c r="AE21" i="3"/>
  <c r="AD28" i="3"/>
  <c r="AD27" i="3"/>
  <c r="AD26" i="3"/>
  <c r="AD27" i="1"/>
  <c r="AD28" i="1"/>
  <c r="AE23" i="1"/>
  <c r="AE25" i="1" s="1"/>
  <c r="AE27" i="1" s="1"/>
  <c r="AE23" i="3" l="1"/>
  <c r="AE25" i="3" s="1"/>
  <c r="AE27" i="3" s="1"/>
  <c r="AE26" i="1"/>
  <c r="AE28" i="1"/>
  <c r="AE28" i="3" l="1"/>
  <c r="AE26" i="3"/>
</calcChain>
</file>

<file path=xl/sharedStrings.xml><?xml version="1.0" encoding="utf-8"?>
<sst xmlns="http://schemas.openxmlformats.org/spreadsheetml/2006/main" count="129" uniqueCount="49">
  <si>
    <t># #61 mix u'</t>
  </si>
  <si>
    <t># #61 mix u''</t>
  </si>
  <si>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</si>
  <si>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</si>
  <si>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</si>
  <si>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</si>
  <si>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</si>
  <si>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</si>
  <si>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</si>
  <si>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</si>
  <si>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</si>
  <si>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</si>
  <si>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</si>
  <si>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</si>
  <si>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</si>
  <si>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</si>
  <si>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</si>
  <si>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</si>
  <si>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</si>
  <si>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</si>
  <si>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µ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</si>
  <si>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</si>
  <si>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</si>
  <si>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</si>
  <si>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</si>
  <si>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</si>
  <si>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</si>
  <si>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</si>
  <si>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</si>
  <si>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</si>
  <si>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</si>
  <si>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F14</t>
  </si>
  <si>
    <t>Neosid 28-053-31</t>
  </si>
  <si>
    <t>Tl</t>
  </si>
  <si>
    <t>IL</t>
  </si>
  <si>
    <t>RL</t>
  </si>
  <si>
    <t>Zout</t>
  </si>
  <si>
    <t>Zin</t>
  </si>
  <si>
    <t>S22</t>
  </si>
  <si>
    <t>S12</t>
  </si>
  <si>
    <t>S21</t>
  </si>
  <si>
    <t>S11</t>
  </si>
  <si>
    <t>Frequency (Hz.)</t>
  </si>
  <si>
    <t>Unity</t>
  </si>
  <si>
    <t>50+j0</t>
  </si>
  <si>
    <t xml:space="preserve"> 9 February 2014   10:19:15</t>
  </si>
  <si>
    <t>! Sunday</t>
  </si>
  <si>
    <t>! Tucson Amateur Packet Radio</t>
  </si>
  <si>
    <t>! Vector Network Analyzer VNA 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</si>
</sst>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0"/>
    <numFmt numFmtId="166" formatCode="0.0000"/>
  </numFmts>
  <fonts count="6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3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2" fillId="0" borderId="0" xfId="0" applyFont="1"/>
    <xf numFmtId="0" fontId="3" fillId="0" borderId="0" xfId="0" applyFont="1"/>
    <xf numFmtId="164" fontId="0" fillId="2" borderId="0" xfId="0" applyNumberFormat="1" applyFill="1"/>
    <xf numFmtId="0" fontId="2" fillId="0" borderId="0" xfId="0" applyFont="1" applyAlignment="1">
      <alignment horizontal="right"/>
    </xf>
    <xf numFmtId="14" fontId="0" fillId="0" borderId="0" xfId="0" applyNumberFormat="1"/>
    <xf numFmtId="0" fontId="4" fillId="0" borderId="0" xfId="1" applyFont="1" applyAlignment="1" applyProtection="1"/>
    <xf numFmtId="2" fontId="0" fillId="0" borderId="0" xfId="0" applyNumberFormat="1"/>
    <xf numFmtId="0" fontId="5" fillId="0" borderId="0" xfId="0" applyFont="1"/>
    <xf numFmtId="0" fontId="1" fillId="0" borderId="0" xfId="2"/>
    <xf numFmtId="2" fontId="1" fillId="0" borderId="0" xfId="2" applyNumberFormat="1"/>
    <xf numFmtId="164" fontId="1" fillId="0" borderId="0" xfId="2" applyNumberFormat="1"/>
    <xf numFmtId="166" fontId="1" fillId="0" borderId="0" xfId="2" applyNumberFormat="1"/>
    <xf numFmtId="2" fontId="5" fillId="0" borderId="0" xfId="0" applyNumberFormat="1" applyFont="1"/>
    <xf numFmtId="1" fontId="1" fillId="0" borderId="0" xfId="2" applyNumberFormat="1"/>
    <xf numFmtId="0" fontId="0" fillId="0" borderId="1" xfId="0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Zcm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Choke!$B$26:$AE$26</c:f>
              <c:numCache>
                <c:formatCode>0</c:formatCode>
                <c:ptCount val="30"/>
                <c:pt idx="0">
                  <c:v>4.0113908481022698</c:v>
                </c:pt>
                <c:pt idx="1">
                  <c:v>4.7619275251899698</c:v>
                </c:pt>
                <c:pt idx="2">
                  <c:v>5.72418409948048</c:v>
                </c:pt>
                <c:pt idx="3">
                  <c:v>7.0680803302587796</c:v>
                </c:pt>
                <c:pt idx="4">
                  <c:v>8.8285349901302599</c:v>
                </c:pt>
                <c:pt idx="5">
                  <c:v>11.3615513561417</c:v>
                </c:pt>
                <c:pt idx="6">
                  <c:v>15.315819579761</c:v>
                </c:pt>
                <c:pt idx="7">
                  <c:v>21.3102891696923</c:v>
                </c:pt>
                <c:pt idx="8">
                  <c:v>31.436862521684599</c:v>
                </c:pt>
                <c:pt idx="9">
                  <c:v>49.176686241948197</c:v>
                </c:pt>
                <c:pt idx="10">
                  <c:v>89.977248496486894</c:v>
                </c:pt>
                <c:pt idx="11">
                  <c:v>198.72010925098701</c:v>
                </c:pt>
                <c:pt idx="12">
                  <c:v>552.50447444114002</c:v>
                </c:pt>
                <c:pt idx="13">
                  <c:v>2252.6052991247202</c:v>
                </c:pt>
                <c:pt idx="14">
                  <c:v>15101.188421450899</c:v>
                </c:pt>
                <c:pt idx="15">
                  <c:v>11984.9676155539</c:v>
                </c:pt>
                <c:pt idx="16">
                  <c:v>3624.1637891749701</c:v>
                </c:pt>
                <c:pt idx="17">
                  <c:v>1647.02430955766</c:v>
                </c:pt>
                <c:pt idx="18">
                  <c:v>922.19977011680601</c:v>
                </c:pt>
                <c:pt idx="19">
                  <c:v>588.14851707223295</c:v>
                </c:pt>
                <c:pt idx="20">
                  <c:v>392.48855193928603</c:v>
                </c:pt>
                <c:pt idx="21">
                  <c:v>264.800702030644</c:v>
                </c:pt>
                <c:pt idx="22">
                  <c:v>180.251080932587</c:v>
                </c:pt>
                <c:pt idx="23">
                  <c:v>123.692707590212</c:v>
                </c:pt>
                <c:pt idx="24">
                  <c:v>85.125313659121701</c:v>
                </c:pt>
                <c:pt idx="25">
                  <c:v>59.645468909617698</c:v>
                </c:pt>
                <c:pt idx="26">
                  <c:v>43.707712125190398</c:v>
                </c:pt>
                <c:pt idx="27">
                  <c:v>32.944652341325103</c:v>
                </c:pt>
                <c:pt idx="28">
                  <c:v>19.643702585748699</c:v>
                </c:pt>
                <c:pt idx="29">
                  <c:v>7.11350117234372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Choke!$A$27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Choke!$B$27:$AE$27</c:f>
              <c:numCache>
                <c:formatCode>0</c:formatCode>
                <c:ptCount val="30"/>
                <c:pt idx="0">
                  <c:v>447.77303316797901</c:v>
                </c:pt>
                <c:pt idx="1">
                  <c:v>518.18713280857298</c:v>
                </c:pt>
                <c:pt idx="2">
                  <c:v>601.16252492734702</c:v>
                </c:pt>
                <c:pt idx="3">
                  <c:v>697.427079859939</c:v>
                </c:pt>
                <c:pt idx="4">
                  <c:v>812.41792470615303</c:v>
                </c:pt>
                <c:pt idx="5">
                  <c:v>955.63213642315895</c:v>
                </c:pt>
                <c:pt idx="6">
                  <c:v>1132.03052447052</c:v>
                </c:pt>
                <c:pt idx="7">
                  <c:v>1353.8222250153301</c:v>
                </c:pt>
                <c:pt idx="8">
                  <c:v>1646.85816280732</c:v>
                </c:pt>
                <c:pt idx="9">
                  <c:v>2066.1446437248901</c:v>
                </c:pt>
                <c:pt idx="10">
                  <c:v>2690.2235515166099</c:v>
                </c:pt>
                <c:pt idx="11">
                  <c:v>3677.06490449173</c:v>
                </c:pt>
                <c:pt idx="12">
                  <c:v>5303.1171141018403</c:v>
                </c:pt>
                <c:pt idx="13">
                  <c:v>8836.1870391371594</c:v>
                </c:pt>
                <c:pt idx="14">
                  <c:v>13186.640784867601</c:v>
                </c:pt>
                <c:pt idx="15">
                  <c:v>-10674.8571796792</c:v>
                </c:pt>
                <c:pt idx="16">
                  <c:v>-7001.5678775504803</c:v>
                </c:pt>
                <c:pt idx="17">
                  <c:v>-4901.60982431913</c:v>
                </c:pt>
                <c:pt idx="18">
                  <c:v>-3702.8321672064899</c:v>
                </c:pt>
                <c:pt idx="19">
                  <c:v>-2938.3138157856101</c:v>
                </c:pt>
                <c:pt idx="20">
                  <c:v>-2390.0076612248399</c:v>
                </c:pt>
                <c:pt idx="21">
                  <c:v>-1973.5065741466201</c:v>
                </c:pt>
                <c:pt idx="22">
                  <c:v>-1649.5479459466701</c:v>
                </c:pt>
                <c:pt idx="23">
                  <c:v>-1391.6314381536799</c:v>
                </c:pt>
                <c:pt idx="24">
                  <c:v>-1183.27187424057</c:v>
                </c:pt>
                <c:pt idx="25">
                  <c:v>-1011.75690291517</c:v>
                </c:pt>
                <c:pt idx="26">
                  <c:v>-866.735027708129</c:v>
                </c:pt>
                <c:pt idx="27">
                  <c:v>-740.44540292025704</c:v>
                </c:pt>
                <c:pt idx="28">
                  <c:v>-631.63036920407706</c:v>
                </c:pt>
                <c:pt idx="29">
                  <c:v>-546.61111913343905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Choke!$A$28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Choke!$B$28:$AE$28</c:f>
              <c:numCache>
                <c:formatCode>0</c:formatCode>
                <c:ptCount val="30"/>
                <c:pt idx="0">
                  <c:v>447.7910009021935</c:v>
                </c:pt>
                <c:pt idx="1">
                  <c:v>518.20901242850346</c:v>
                </c:pt>
                <c:pt idx="2">
                  <c:v>601.18977674327414</c:v>
                </c:pt>
                <c:pt idx="3">
                  <c:v>697.46289469871931</c:v>
                </c:pt>
                <c:pt idx="4">
                  <c:v>812.46589307731824</c:v>
                </c:pt>
                <c:pt idx="5">
                  <c:v>955.69967302176542</c:v>
                </c:pt>
                <c:pt idx="6">
                  <c:v>1132.1341275053942</c:v>
                </c:pt>
                <c:pt idx="7">
                  <c:v>1353.9899354758716</c:v>
                </c:pt>
                <c:pt idx="8">
                  <c:v>1647.1581844893674</c:v>
                </c:pt>
                <c:pt idx="9">
                  <c:v>2066.7297925134753</c:v>
                </c:pt>
                <c:pt idx="10">
                  <c:v>2691.7278210067302</c:v>
                </c:pt>
                <c:pt idx="11">
                  <c:v>3682.4307181080135</c:v>
                </c:pt>
                <c:pt idx="12">
                  <c:v>5331.820732184955</c:v>
                </c:pt>
                <c:pt idx="13">
                  <c:v>9118.7955358292947</c:v>
                </c:pt>
                <c:pt idx="14">
                  <c:v>20048.276407943307</c:v>
                </c:pt>
                <c:pt idx="15">
                  <c:v>16049.673658751581</c:v>
                </c:pt>
                <c:pt idx="16">
                  <c:v>7883.9403799568272</c:v>
                </c:pt>
                <c:pt idx="17">
                  <c:v>5170.9252504881269</c:v>
                </c:pt>
                <c:pt idx="18">
                  <c:v>3815.9426718050418</c:v>
                </c:pt>
                <c:pt idx="19">
                  <c:v>2996.5991987869947</c:v>
                </c:pt>
                <c:pt idx="20">
                  <c:v>2422.0206200849793</c:v>
                </c:pt>
                <c:pt idx="21">
                  <c:v>1991.1925095268543</c:v>
                </c:pt>
                <c:pt idx="22">
                  <c:v>1659.367011289017</c:v>
                </c:pt>
                <c:pt idx="23">
                  <c:v>1397.1177278843315</c:v>
                </c:pt>
                <c:pt idx="24">
                  <c:v>1186.32990664248</c:v>
                </c:pt>
                <c:pt idx="25">
                  <c:v>1013.5134989520095</c:v>
                </c:pt>
                <c:pt idx="26">
                  <c:v>867.83637418319222</c:v>
                </c:pt>
                <c:pt idx="27">
                  <c:v>741.17794410224633</c:v>
                </c:pt>
                <c:pt idx="28">
                  <c:v>631.93575492462526</c:v>
                </c:pt>
                <c:pt idx="29">
                  <c:v>546.65740410172771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474664"/>
        <c:axId val="529475056"/>
      </c:scatterChart>
      <c:valAx>
        <c:axId val="5294746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475056"/>
        <c:crosses val="autoZero"/>
        <c:crossBetween val="midCat"/>
      </c:valAx>
      <c:valAx>
        <c:axId val="529475056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94746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Complex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662207357859535E-2"/>
          <c:y val="0.18080376848904037"/>
          <c:w val="0.78093715710285383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Choke!$A$19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Choke!$A$20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Choke!$B$18:$AE$18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Choke!$B$20:$AE$20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262336"/>
        <c:axId val="536262728"/>
      </c:scatterChart>
      <c:valAx>
        <c:axId val="536262336"/>
        <c:scaling>
          <c:logBase val="10"/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262728"/>
        <c:crosses val="autoZero"/>
        <c:crossBetween val="midCat"/>
      </c:valAx>
      <c:valAx>
        <c:axId val="536262728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Relative permeability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2623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'Choke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'Choke (2)'!$B$18:$AE$18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'Choke (2)'!$B$26:$AE$26</c:f>
              <c:numCache>
                <c:formatCode>0</c:formatCode>
                <c:ptCount val="30"/>
                <c:pt idx="0">
                  <c:v>8.4626185913840093</c:v>
                </c:pt>
                <c:pt idx="1">
                  <c:v>10.227369041961101</c:v>
                </c:pt>
                <c:pt idx="2">
                  <c:v>12.5961995528627</c:v>
                </c:pt>
                <c:pt idx="3">
                  <c:v>16.072444228897499</c:v>
                </c:pt>
                <c:pt idx="4">
                  <c:v>21.006677623047199</c:v>
                </c:pt>
                <c:pt idx="5">
                  <c:v>28.8426148101363</c:v>
                </c:pt>
                <c:pt idx="6">
                  <c:v>42.692312994353898</c:v>
                </c:pt>
                <c:pt idx="7">
                  <c:v>68.310145587652002</c:v>
                </c:pt>
                <c:pt idx="8">
                  <c:v>125.992205393725</c:v>
                </c:pt>
                <c:pt idx="9">
                  <c:v>295.458193467022</c:v>
                </c:pt>
                <c:pt idx="10">
                  <c:v>1330.59512262609</c:v>
                </c:pt>
                <c:pt idx="11">
                  <c:v>135915.410196835</c:v>
                </c:pt>
                <c:pt idx="12">
                  <c:v>2472.7713727493801</c:v>
                </c:pt>
                <c:pt idx="13">
                  <c:v>854.81985443941505</c:v>
                </c:pt>
                <c:pt idx="14">
                  <c:v>524.11975737176601</c:v>
                </c:pt>
                <c:pt idx="15">
                  <c:v>352.166182247471</c:v>
                </c:pt>
                <c:pt idx="16">
                  <c:v>271.24264402535698</c:v>
                </c:pt>
                <c:pt idx="17">
                  <c:v>189.41093643964101</c:v>
                </c:pt>
                <c:pt idx="18">
                  <c:v>134.763025017768</c:v>
                </c:pt>
                <c:pt idx="19">
                  <c:v>99.353948785509402</c:v>
                </c:pt>
                <c:pt idx="20">
                  <c:v>73.417845063648798</c:v>
                </c:pt>
                <c:pt idx="21">
                  <c:v>53.503107665115799</c:v>
                </c:pt>
                <c:pt idx="22">
                  <c:v>38.5933481157183</c:v>
                </c:pt>
                <c:pt idx="23">
                  <c:v>27.671171775563302</c:v>
                </c:pt>
                <c:pt idx="24">
                  <c:v>19.671429279115099</c:v>
                </c:pt>
                <c:pt idx="25">
                  <c:v>14.1236289105256</c:v>
                </c:pt>
                <c:pt idx="26">
                  <c:v>10.573982442840901</c:v>
                </c:pt>
                <c:pt idx="27">
                  <c:v>8.1698777476923308</c:v>
                </c:pt>
                <c:pt idx="28">
                  <c:v>5.00300554529694</c:v>
                </c:pt>
                <c:pt idx="29">
                  <c:v>1.8261956878705701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'Choke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'Choke (2)'!$B$18:$AE$18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'Choke (2)'!$B$27:$AE$27</c:f>
              <c:numCache>
                <c:formatCode>0</c:formatCode>
                <c:ptCount val="30"/>
                <c:pt idx="0">
                  <c:v>919.76498367293095</c:v>
                </c:pt>
                <c:pt idx="1">
                  <c:v>1073.9667626503301</c:v>
                </c:pt>
                <c:pt idx="2">
                  <c:v>1261.1533370586301</c:v>
                </c:pt>
                <c:pt idx="3">
                  <c:v>1487.3082074625199</c:v>
                </c:pt>
                <c:pt idx="4">
                  <c:v>1772.2459560472</c:v>
                </c:pt>
                <c:pt idx="5">
                  <c:v>2153.2575302649898</c:v>
                </c:pt>
                <c:pt idx="6">
                  <c:v>2672.7738037383401</c:v>
                </c:pt>
                <c:pt idx="7">
                  <c:v>3427.61582151112</c:v>
                </c:pt>
                <c:pt idx="8">
                  <c:v>4661.6964095002304</c:v>
                </c:pt>
                <c:pt idx="9">
                  <c:v>7158.0947733142903</c:v>
                </c:pt>
                <c:pt idx="10">
                  <c:v>14578.1099975732</c:v>
                </c:pt>
                <c:pt idx="11">
                  <c:v>8731.4476643928901</c:v>
                </c:pt>
                <c:pt idx="12">
                  <c:v>-15759.159062381101</c:v>
                </c:pt>
                <c:pt idx="13">
                  <c:v>-7898.0213401043402</c:v>
                </c:pt>
                <c:pt idx="14">
                  <c:v>-5255.97300471778</c:v>
                </c:pt>
                <c:pt idx="15">
                  <c:v>-3874.8087069244598</c:v>
                </c:pt>
                <c:pt idx="16">
                  <c:v>-3038.1516577285201</c:v>
                </c:pt>
                <c:pt idx="17">
                  <c:v>-2472.6651823798502</c:v>
                </c:pt>
                <c:pt idx="18">
                  <c:v>-2058.5483683880402</c:v>
                </c:pt>
                <c:pt idx="19">
                  <c:v>-1738.9417087213001</c:v>
                </c:pt>
                <c:pt idx="20">
                  <c:v>-1479.60628055966</c:v>
                </c:pt>
                <c:pt idx="21">
                  <c:v>-1264.64860908369</c:v>
                </c:pt>
                <c:pt idx="22">
                  <c:v>-1085.17620784204</c:v>
                </c:pt>
                <c:pt idx="23">
                  <c:v>-934.11266630524301</c:v>
                </c:pt>
                <c:pt idx="24">
                  <c:v>-806.26879158060399</c:v>
                </c:pt>
                <c:pt idx="25">
                  <c:v>-697.33248433105803</c:v>
                </c:pt>
                <c:pt idx="26">
                  <c:v>-603.56836082335803</c:v>
                </c:pt>
                <c:pt idx="27">
                  <c:v>-521.91478136504202</c:v>
                </c:pt>
                <c:pt idx="28">
                  <c:v>-450.98803708526299</c:v>
                </c:pt>
                <c:pt idx="29">
                  <c:v>-391.703512008583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'Choke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'Choke (2)'!$B$18:$AE$18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'Choke (2)'!$B$28:$AE$28</c:f>
              <c:numCache>
                <c:formatCode>0</c:formatCode>
                <c:ptCount val="30"/>
                <c:pt idx="0">
                  <c:v>919.80391448628347</c:v>
                </c:pt>
                <c:pt idx="1">
                  <c:v>1074.0154590857392</c:v>
                </c:pt>
                <c:pt idx="2">
                  <c:v>1261.216239911814</c:v>
                </c:pt>
                <c:pt idx="3">
                  <c:v>1487.3950475407887</c:v>
                </c:pt>
                <c:pt idx="4">
                  <c:v>1772.3704492093104</c:v>
                </c:pt>
                <c:pt idx="5">
                  <c:v>2153.450693206596</c:v>
                </c:pt>
                <c:pt idx="6">
                  <c:v>2673.1147449256127</c:v>
                </c:pt>
                <c:pt idx="7">
                  <c:v>3428.2964422382665</c:v>
                </c:pt>
                <c:pt idx="8">
                  <c:v>4663.3987016088722</c:v>
                </c:pt>
                <c:pt idx="9">
                  <c:v>7164.1898584442997</c:v>
                </c:pt>
                <c:pt idx="10">
                  <c:v>14638.708087864175</c:v>
                </c:pt>
                <c:pt idx="11">
                  <c:v>136195.58328848242</c:v>
                </c:pt>
                <c:pt idx="12">
                  <c:v>15951.980836727373</c:v>
                </c:pt>
                <c:pt idx="13">
                  <c:v>7944.1461512416417</c:v>
                </c:pt>
                <c:pt idx="14">
                  <c:v>5282.0406801149766</c:v>
                </c:pt>
                <c:pt idx="15">
                  <c:v>3890.7792966417878</c:v>
                </c:pt>
                <c:pt idx="16">
                  <c:v>3050.2357396267621</c:v>
                </c:pt>
                <c:pt idx="17">
                  <c:v>2479.9091932965043</c:v>
                </c:pt>
                <c:pt idx="18">
                  <c:v>2062.9547881388485</c:v>
                </c:pt>
                <c:pt idx="19">
                  <c:v>1741.7776762462622</c:v>
                </c:pt>
                <c:pt idx="20">
                  <c:v>1481.4266520639426</c:v>
                </c:pt>
                <c:pt idx="21">
                  <c:v>1265.7798730376214</c:v>
                </c:pt>
                <c:pt idx="22">
                  <c:v>1085.8622604111497</c:v>
                </c:pt>
                <c:pt idx="23">
                  <c:v>934.522427285361</c:v>
                </c:pt>
                <c:pt idx="24">
                  <c:v>806.50872866121586</c:v>
                </c:pt>
                <c:pt idx="25">
                  <c:v>697.47549820544054</c:v>
                </c:pt>
                <c:pt idx="26">
                  <c:v>603.66097711521559</c:v>
                </c:pt>
                <c:pt idx="27">
                  <c:v>521.97872170207461</c:v>
                </c:pt>
                <c:pt idx="28">
                  <c:v>451.01578648480233</c:v>
                </c:pt>
                <c:pt idx="29">
                  <c:v>391.70776901990149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261944"/>
        <c:axId val="536263512"/>
      </c:scatterChart>
      <c:valAx>
        <c:axId val="5362619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286579687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263512"/>
        <c:crosses val="autoZero"/>
        <c:crossBetween val="midCat"/>
      </c:valAx>
      <c:valAx>
        <c:axId val="536263512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2619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769296719286232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'Choke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'Choke (2)'!$B$18:$AE$18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'Choke (2)'!$B$19:$AE$19</c:f>
              <c:numCache>
                <c:formatCode>0</c:formatCode>
                <c:ptCount val="30"/>
                <c:pt idx="0">
                  <c:v>1.9121445035223179</c:v>
                </c:pt>
                <c:pt idx="1">
                  <c:v>1.9574362303797543</c:v>
                </c:pt>
                <c:pt idx="2">
                  <c:v>2.0226374329293155</c:v>
                </c:pt>
                <c:pt idx="3">
                  <c:v>2.13811662060994</c:v>
                </c:pt>
                <c:pt idx="4">
                  <c:v>2.2733346634365299</c:v>
                </c:pt>
                <c:pt idx="5">
                  <c:v>2.4696466463547706</c:v>
                </c:pt>
                <c:pt idx="6">
                  <c:v>2.7791213259113334</c:v>
                </c:pt>
                <c:pt idx="7">
                  <c:v>3.1775320463613363</c:v>
                </c:pt>
                <c:pt idx="8">
                  <c:v>3.761712878740791</c:v>
                </c:pt>
                <c:pt idx="9">
                  <c:v>4.5431176223534013</c:v>
                </c:pt>
                <c:pt idx="10">
                  <c:v>6.0421780525816695</c:v>
                </c:pt>
                <c:pt idx="11">
                  <c:v>8.8077479841265731</c:v>
                </c:pt>
                <c:pt idx="12">
                  <c:v>13.980324367016085</c:v>
                </c:pt>
                <c:pt idx="13">
                  <c:v>23.484815673283332</c:v>
                </c:pt>
                <c:pt idx="14">
                  <c:v>38.259354026927227</c:v>
                </c:pt>
                <c:pt idx="15">
                  <c:v>56.472371106696684</c:v>
                </c:pt>
                <c:pt idx="16">
                  <c:v>80.674965517493945</c:v>
                </c:pt>
                <c:pt idx="17">
                  <c:v>95.766108505532216</c:v>
                </c:pt>
                <c:pt idx="18">
                  <c:v>106.15987426408267</c:v>
                </c:pt>
                <c:pt idx="19">
                  <c:v>111.79845317976333</c:v>
                </c:pt>
                <c:pt idx="20">
                  <c:v>115.41576165229573</c:v>
                </c:pt>
                <c:pt idx="21">
                  <c:v>118.74905396107683</c:v>
                </c:pt>
                <c:pt idx="22">
                  <c:v>121.58877771325294</c:v>
                </c:pt>
                <c:pt idx="23">
                  <c:v>124.23422193122427</c:v>
                </c:pt>
                <c:pt idx="24">
                  <c:v>125.68862620524732</c:v>
                </c:pt>
                <c:pt idx="25">
                  <c:v>126.48837881104612</c:v>
                </c:pt>
                <c:pt idx="26">
                  <c:v>131.67124057216782</c:v>
                </c:pt>
                <c:pt idx="27">
                  <c:v>151.46200540619219</c:v>
                </c:pt>
                <c:pt idx="28">
                  <c:v>204.89884681421552</c:v>
                </c:pt>
                <c:pt idx="29">
                  <c:v>325.6578397936072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'Choke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'Choke (2)'!$B$18:$AE$18</c:f>
              <c:numCache>
                <c:formatCode>0.000</c:formatCode>
                <c:ptCount val="30"/>
                <c:pt idx="0">
                  <c:v>1.04</c:v>
                </c:pt>
                <c:pt idx="1">
                  <c:v>1.1946462891969165</c:v>
                </c:pt>
                <c:pt idx="2">
                  <c:v>1.3722882272038102</c:v>
                </c:pt>
                <c:pt idx="3">
                  <c:v>1.5763452291708142</c:v>
                </c:pt>
                <c:pt idx="4">
                  <c:v>1.8107451716559386</c:v>
                </c:pt>
                <c:pt idx="5">
                  <c:v>2.0800000000000005</c:v>
                </c:pt>
                <c:pt idx="6">
                  <c:v>2.3892925783938335</c:v>
                </c:pt>
                <c:pt idx="7">
                  <c:v>2.7445764544076212</c:v>
                </c:pt>
                <c:pt idx="8">
                  <c:v>3.1526904583416298</c:v>
                </c:pt>
                <c:pt idx="9">
                  <c:v>3.6214903433118786</c:v>
                </c:pt>
                <c:pt idx="10">
                  <c:v>4.1600000000000028</c:v>
                </c:pt>
                <c:pt idx="11">
                  <c:v>4.7785851567876696</c:v>
                </c:pt>
                <c:pt idx="12">
                  <c:v>5.4891529088152451</c:v>
                </c:pt>
                <c:pt idx="13">
                  <c:v>6.3053809166832622</c:v>
                </c:pt>
                <c:pt idx="14">
                  <c:v>7.2429806866237607</c:v>
                </c:pt>
                <c:pt idx="15">
                  <c:v>8.3200000000000092</c:v>
                </c:pt>
                <c:pt idx="16">
                  <c:v>9.5571703135753427</c:v>
                </c:pt>
                <c:pt idx="17">
                  <c:v>10.978305817630494</c:v>
                </c:pt>
                <c:pt idx="18">
                  <c:v>12.610761833366528</c:v>
                </c:pt>
                <c:pt idx="19">
                  <c:v>14.485961373247525</c:v>
                </c:pt>
                <c:pt idx="20">
                  <c:v>16.640000000000022</c:v>
                </c:pt>
                <c:pt idx="21">
                  <c:v>19.114340627150689</c:v>
                </c:pt>
                <c:pt idx="22">
                  <c:v>21.956611635260991</c:v>
                </c:pt>
                <c:pt idx="23">
                  <c:v>25.221523666733063</c:v>
                </c:pt>
                <c:pt idx="24">
                  <c:v>28.971922746495057</c:v>
                </c:pt>
                <c:pt idx="25">
                  <c:v>33.280000000000058</c:v>
                </c:pt>
                <c:pt idx="26">
                  <c:v>38.228681254301392</c:v>
                </c:pt>
                <c:pt idx="27">
                  <c:v>43.913223270522003</c:v>
                </c:pt>
                <c:pt idx="28">
                  <c:v>50.443047333466147</c:v>
                </c:pt>
                <c:pt idx="29">
                  <c:v>57.943845492990143</c:v>
                </c:pt>
              </c:numCache>
            </c:numRef>
          </c:xVal>
          <c:yVal>
            <c:numRef>
              <c:f>'Choke (2)'!$B$20:$AE$20</c:f>
              <c:numCache>
                <c:formatCode>0</c:formatCode>
                <c:ptCount val="30"/>
                <c:pt idx="0">
                  <c:v>216.56677081846061</c:v>
                </c:pt>
                <c:pt idx="1">
                  <c:v>217.14871349507604</c:v>
                </c:pt>
                <c:pt idx="2">
                  <c:v>217.9262915874186</c:v>
                </c:pt>
                <c:pt idx="3">
                  <c:v>218.26130634875207</c:v>
                </c:pt>
                <c:pt idx="4">
                  <c:v>218.86564770997416</c:v>
                </c:pt>
                <c:pt idx="5">
                  <c:v>220.69798291534474</c:v>
                </c:pt>
                <c:pt idx="6">
                  <c:v>222.86931423204547</c:v>
                </c:pt>
                <c:pt idx="7">
                  <c:v>225.43540443442456</c:v>
                </c:pt>
                <c:pt idx="8">
                  <c:v>229.21687247983448</c:v>
                </c:pt>
                <c:pt idx="9">
                  <c:v>235.77294877348464</c:v>
                </c:pt>
                <c:pt idx="10">
                  <c:v>244.24136720170733</c:v>
                </c:pt>
                <c:pt idx="11">
                  <c:v>253.20428554657747</c:v>
                </c:pt>
                <c:pt idx="12">
                  <c:v>258.23510458974437</c:v>
                </c:pt>
                <c:pt idx="13">
                  <c:v>263.84961579974163</c:v>
                </c:pt>
                <c:pt idx="14">
                  <c:v>265.12039210045725</c:v>
                </c:pt>
                <c:pt idx="15">
                  <c:v>266.95307501135346</c:v>
                </c:pt>
                <c:pt idx="16">
                  <c:v>259.57203478269071</c:v>
                </c:pt>
                <c:pt idx="17">
                  <c:v>251.20457283472493</c:v>
                </c:pt>
                <c:pt idx="18">
                  <c:v>237.84015515956833</c:v>
                </c:pt>
                <c:pt idx="19">
                  <c:v>218.25882830152995</c:v>
                </c:pt>
                <c:pt idx="20">
                  <c:v>198.96334379253616</c:v>
                </c:pt>
                <c:pt idx="21">
                  <c:v>182.68089201570345</c:v>
                </c:pt>
                <c:pt idx="22">
                  <c:v>168.49007711967346</c:v>
                </c:pt>
                <c:pt idx="23">
                  <c:v>155.67988040016419</c:v>
                </c:pt>
                <c:pt idx="24">
                  <c:v>144.24901848827639</c:v>
                </c:pt>
                <c:pt idx="25">
                  <c:v>131.93407537755965</c:v>
                </c:pt>
                <c:pt idx="26">
                  <c:v>113.8081278926735</c:v>
                </c:pt>
                <c:pt idx="27">
                  <c:v>80.072509261330453</c:v>
                </c:pt>
                <c:pt idx="28">
                  <c:v>12.66483834112536</c:v>
                </c:pt>
                <c:pt idx="29">
                  <c:v>-120.18242149596054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7552"/>
        <c:axId val="531387160"/>
      </c:scatterChart>
      <c:valAx>
        <c:axId val="53138755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5167187475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7160"/>
        <c:crosses val="autoZero"/>
        <c:crossBetween val="midCat"/>
      </c:valAx>
      <c:valAx>
        <c:axId val="531387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75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7767909205746467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563433667781494"/>
                  <c:y val="8.69713160854893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TLmeas!$V$7:$V$106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TLmeas!$W$7:$W$106</c:f>
              <c:numCache>
                <c:formatCode>0.00</c:formatCode>
                <c:ptCount val="100"/>
                <c:pt idx="0">
                  <c:v>0.11182299532266869</c:v>
                </c:pt>
                <c:pt idx="1">
                  <c:v>1.1653313478966358E-2</c:v>
                </c:pt>
                <c:pt idx="2">
                  <c:v>-2.7973935799126725E-2</c:v>
                </c:pt>
                <c:pt idx="3">
                  <c:v>0.2381392383965131</c:v>
                </c:pt>
                <c:pt idx="4">
                  <c:v>0.18240771167294692</c:v>
                </c:pt>
                <c:pt idx="5">
                  <c:v>0.19384069794438571</c:v>
                </c:pt>
                <c:pt idx="6">
                  <c:v>7.7803420620073005E-2</c:v>
                </c:pt>
                <c:pt idx="7">
                  <c:v>0.14939041837236192</c:v>
                </c:pt>
                <c:pt idx="8">
                  <c:v>0.11522208880701172</c:v>
                </c:pt>
                <c:pt idx="9">
                  <c:v>0.21706508765483418</c:v>
                </c:pt>
                <c:pt idx="10">
                  <c:v>0.14423001688557205</c:v>
                </c:pt>
                <c:pt idx="11">
                  <c:v>0.13774279014504004</c:v>
                </c:pt>
                <c:pt idx="12">
                  <c:v>0.2160463831042356</c:v>
                </c:pt>
                <c:pt idx="13">
                  <c:v>9.745643077210793E-2</c:v>
                </c:pt>
                <c:pt idx="14">
                  <c:v>0.14640684206176807</c:v>
                </c:pt>
                <c:pt idx="15">
                  <c:v>0.14586504550166993</c:v>
                </c:pt>
                <c:pt idx="16">
                  <c:v>0.19915417890293508</c:v>
                </c:pt>
                <c:pt idx="17">
                  <c:v>0.1752519651356105</c:v>
                </c:pt>
                <c:pt idx="18">
                  <c:v>0.18076201445572171</c:v>
                </c:pt>
                <c:pt idx="19">
                  <c:v>0.19410872800570034</c:v>
                </c:pt>
                <c:pt idx="20">
                  <c:v>0.18610304744103345</c:v>
                </c:pt>
                <c:pt idx="21">
                  <c:v>0.18880874912760764</c:v>
                </c:pt>
                <c:pt idx="22">
                  <c:v>0.17922293537584949</c:v>
                </c:pt>
                <c:pt idx="23">
                  <c:v>0.19144367522692396</c:v>
                </c:pt>
                <c:pt idx="24">
                  <c:v>0.26436706622211986</c:v>
                </c:pt>
                <c:pt idx="25">
                  <c:v>0.22280998940678798</c:v>
                </c:pt>
                <c:pt idx="26">
                  <c:v>0.24161380732664381</c:v>
                </c:pt>
                <c:pt idx="27">
                  <c:v>0.2849259352075903</c:v>
                </c:pt>
                <c:pt idx="28">
                  <c:v>0.23604315365718689</c:v>
                </c:pt>
                <c:pt idx="29">
                  <c:v>0.16534041843994954</c:v>
                </c:pt>
                <c:pt idx="30">
                  <c:v>0.2026608877558819</c:v>
                </c:pt>
                <c:pt idx="31">
                  <c:v>0.1896984951644437</c:v>
                </c:pt>
                <c:pt idx="32">
                  <c:v>0.25028302223188809</c:v>
                </c:pt>
                <c:pt idx="33">
                  <c:v>0.35680607898561212</c:v>
                </c:pt>
                <c:pt idx="34">
                  <c:v>0.22553214722730341</c:v>
                </c:pt>
                <c:pt idx="35">
                  <c:v>0.25514924268406503</c:v>
                </c:pt>
                <c:pt idx="36">
                  <c:v>0.31948594517091422</c:v>
                </c:pt>
                <c:pt idx="37">
                  <c:v>0.22376166613366827</c:v>
                </c:pt>
                <c:pt idx="38">
                  <c:v>0.23280078673365537</c:v>
                </c:pt>
                <c:pt idx="39">
                  <c:v>0.28013828622951814</c:v>
                </c:pt>
                <c:pt idx="40">
                  <c:v>0.28123743805351437</c:v>
                </c:pt>
                <c:pt idx="41">
                  <c:v>0.24426616523352102</c:v>
                </c:pt>
                <c:pt idx="42">
                  <c:v>0.2257042278357726</c:v>
                </c:pt>
                <c:pt idx="43">
                  <c:v>0.28204257710339753</c:v>
                </c:pt>
                <c:pt idx="44">
                  <c:v>0.28715252413103087</c:v>
                </c:pt>
                <c:pt idx="45">
                  <c:v>0.31188811973222186</c:v>
                </c:pt>
                <c:pt idx="46">
                  <c:v>0.30951881492712618</c:v>
                </c:pt>
                <c:pt idx="47">
                  <c:v>0.28589892292608532</c:v>
                </c:pt>
                <c:pt idx="48">
                  <c:v>0.2814874956657476</c:v>
                </c:pt>
                <c:pt idx="49">
                  <c:v>0.30400666054943826</c:v>
                </c:pt>
                <c:pt idx="50">
                  <c:v>0.29133337970353756</c:v>
                </c:pt>
                <c:pt idx="51">
                  <c:v>0.35813896487442703</c:v>
                </c:pt>
                <c:pt idx="52">
                  <c:v>0.29979604165417123</c:v>
                </c:pt>
                <c:pt idx="53">
                  <c:v>0.30722498933208414</c:v>
                </c:pt>
                <c:pt idx="54">
                  <c:v>0.30315586638890785</c:v>
                </c:pt>
                <c:pt idx="55">
                  <c:v>0.30521203566205329</c:v>
                </c:pt>
                <c:pt idx="56">
                  <c:v>0.29651268346074672</c:v>
                </c:pt>
                <c:pt idx="57">
                  <c:v>0.30009795591705762</c:v>
                </c:pt>
                <c:pt idx="58">
                  <c:v>0.31995574206086574</c:v>
                </c:pt>
                <c:pt idx="59">
                  <c:v>0.30324637638541091</c:v>
                </c:pt>
                <c:pt idx="60">
                  <c:v>0.34345787250079246</c:v>
                </c:pt>
                <c:pt idx="61">
                  <c:v>0.27225462090125957</c:v>
                </c:pt>
                <c:pt idx="62">
                  <c:v>0.33534037814465889</c:v>
                </c:pt>
                <c:pt idx="63">
                  <c:v>0.31316671166573784</c:v>
                </c:pt>
                <c:pt idx="64">
                  <c:v>0.31370340039747735</c:v>
                </c:pt>
                <c:pt idx="65">
                  <c:v>0.28532329925145106</c:v>
                </c:pt>
                <c:pt idx="66">
                  <c:v>0.30824112496806289</c:v>
                </c:pt>
                <c:pt idx="67">
                  <c:v>0.26898519488352629</c:v>
                </c:pt>
                <c:pt idx="68">
                  <c:v>0.26019824566463623</c:v>
                </c:pt>
                <c:pt idx="69">
                  <c:v>0.25177896107501729</c:v>
                </c:pt>
                <c:pt idx="70">
                  <c:v>0.26493943259458186</c:v>
                </c:pt>
                <c:pt idx="71">
                  <c:v>0.21535303886893647</c:v>
                </c:pt>
                <c:pt idx="72">
                  <c:v>0.26939946550683391</c:v>
                </c:pt>
                <c:pt idx="73">
                  <c:v>0.27476817760531713</c:v>
                </c:pt>
                <c:pt idx="74">
                  <c:v>0.247976126494384</c:v>
                </c:pt>
                <c:pt idx="75">
                  <c:v>0.24884008891750395</c:v>
                </c:pt>
                <c:pt idx="76">
                  <c:v>0.22434775560936898</c:v>
                </c:pt>
                <c:pt idx="77">
                  <c:v>0.26304586939878771</c:v>
                </c:pt>
                <c:pt idx="78">
                  <c:v>0.25583046121987102</c:v>
                </c:pt>
                <c:pt idx="79">
                  <c:v>0.24792360445002073</c:v>
                </c:pt>
                <c:pt idx="80">
                  <c:v>0.20947449020510467</c:v>
                </c:pt>
                <c:pt idx="81">
                  <c:v>0.22296294418925922</c:v>
                </c:pt>
                <c:pt idx="82">
                  <c:v>0.24454226023071329</c:v>
                </c:pt>
                <c:pt idx="83">
                  <c:v>0.1697945044722747</c:v>
                </c:pt>
                <c:pt idx="84">
                  <c:v>0.18439835421416712</c:v>
                </c:pt>
                <c:pt idx="85">
                  <c:v>0.1793423892614856</c:v>
                </c:pt>
                <c:pt idx="86">
                  <c:v>0.2253404573140623</c:v>
                </c:pt>
                <c:pt idx="87">
                  <c:v>0.1865981548850017</c:v>
                </c:pt>
                <c:pt idx="88">
                  <c:v>0.18801066780925749</c:v>
                </c:pt>
                <c:pt idx="89">
                  <c:v>0.19492121902759355</c:v>
                </c:pt>
                <c:pt idx="90">
                  <c:v>0.18784201758119126</c:v>
                </c:pt>
                <c:pt idx="91">
                  <c:v>0.16508196429751379</c:v>
                </c:pt>
                <c:pt idx="92">
                  <c:v>0.16847399642912841</c:v>
                </c:pt>
                <c:pt idx="93">
                  <c:v>0.19117014235024099</c:v>
                </c:pt>
                <c:pt idx="94">
                  <c:v>0.18230863514295034</c:v>
                </c:pt>
                <c:pt idx="95">
                  <c:v>0.20446770177826767</c:v>
                </c:pt>
                <c:pt idx="96">
                  <c:v>0.1742524791943327</c:v>
                </c:pt>
                <c:pt idx="97">
                  <c:v>0.19255014446813393</c:v>
                </c:pt>
                <c:pt idx="98">
                  <c:v>0.17179745665278295</c:v>
                </c:pt>
                <c:pt idx="99">
                  <c:v>0.19799377546238475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76856"/>
        <c:axId val="531377248"/>
      </c:scatterChart>
      <c:valAx>
        <c:axId val="53137685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7248"/>
        <c:crosses val="autoZero"/>
        <c:crossBetween val="midCat"/>
      </c:valAx>
      <c:valAx>
        <c:axId val="53137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6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TLmeas!$V$7:$V$106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TLmeas!$X$7:$X$106</c:f>
              <c:numCache>
                <c:formatCode>0.00</c:formatCode>
                <c:ptCount val="100"/>
                <c:pt idx="0">
                  <c:v>1.0457968883761743</c:v>
                </c:pt>
                <c:pt idx="1">
                  <c:v>1.1279939055143091</c:v>
                </c:pt>
                <c:pt idx="2">
                  <c:v>1.1818910300400278</c:v>
                </c:pt>
                <c:pt idx="3">
                  <c:v>1.2099561916895343</c:v>
                </c:pt>
                <c:pt idx="4">
                  <c:v>1.2418127595715152</c:v>
                </c:pt>
                <c:pt idx="5">
                  <c:v>1.2696830080973807</c:v>
                </c:pt>
                <c:pt idx="6">
                  <c:v>1.2999933431904374</c:v>
                </c:pt>
                <c:pt idx="7">
                  <c:v>1.3316653039759145</c:v>
                </c:pt>
                <c:pt idx="8">
                  <c:v>1.3659943114690076</c:v>
                </c:pt>
                <c:pt idx="9">
                  <c:v>1.3954360144203766</c:v>
                </c:pt>
                <c:pt idx="10">
                  <c:v>1.429207547729537</c:v>
                </c:pt>
                <c:pt idx="11">
                  <c:v>1.4613868228455638</c:v>
                </c:pt>
                <c:pt idx="12">
                  <c:v>1.4957304513885321</c:v>
                </c:pt>
                <c:pt idx="13">
                  <c:v>1.5321407774089644</c:v>
                </c:pt>
                <c:pt idx="14">
                  <c:v>1.5691684647108757</c:v>
                </c:pt>
                <c:pt idx="15">
                  <c:v>1.6059919035393038</c:v>
                </c:pt>
                <c:pt idx="16">
                  <c:v>1.6430300706817291</c:v>
                </c:pt>
                <c:pt idx="17">
                  <c:v>1.6884361909083958</c:v>
                </c:pt>
                <c:pt idx="18">
                  <c:v>1.7247886684587648</c:v>
                </c:pt>
                <c:pt idx="19">
                  <c:v>1.7659924433152963</c:v>
                </c:pt>
                <c:pt idx="20">
                  <c:v>1.8102181678632643</c:v>
                </c:pt>
                <c:pt idx="21">
                  <c:v>1.8535695639641181</c:v>
                </c:pt>
                <c:pt idx="22">
                  <c:v>1.8969343533551994</c:v>
                </c:pt>
                <c:pt idx="23">
                  <c:v>1.9427000897067044</c:v>
                </c:pt>
                <c:pt idx="24">
                  <c:v>1.9895455105845123</c:v>
                </c:pt>
                <c:pt idx="25">
                  <c:v>2.0359149426494962</c:v>
                </c:pt>
                <c:pt idx="26">
                  <c:v>2.080835631273092</c:v>
                </c:pt>
                <c:pt idx="27">
                  <c:v>2.1310308053733236</c:v>
                </c:pt>
                <c:pt idx="28">
                  <c:v>2.1803205137658068</c:v>
                </c:pt>
                <c:pt idx="29">
                  <c:v>2.2307800848304922</c:v>
                </c:pt>
                <c:pt idx="30">
                  <c:v>2.2775736640236577</c:v>
                </c:pt>
                <c:pt idx="31">
                  <c:v>2.3222973852155588</c:v>
                </c:pt>
                <c:pt idx="32">
                  <c:v>2.3737789795873834</c:v>
                </c:pt>
                <c:pt idx="33">
                  <c:v>2.402639882044348</c:v>
                </c:pt>
                <c:pt idx="34">
                  <c:v>2.4935190767556725</c:v>
                </c:pt>
                <c:pt idx="35">
                  <c:v>2.5477414121719879</c:v>
                </c:pt>
                <c:pt idx="36">
                  <c:v>2.6001560081596784</c:v>
                </c:pt>
                <c:pt idx="37">
                  <c:v>2.6573874809532478</c:v>
                </c:pt>
                <c:pt idx="38">
                  <c:v>2.7122964670366065</c:v>
                </c:pt>
                <c:pt idx="39">
                  <c:v>2.7689475091459554</c:v>
                </c:pt>
                <c:pt idx="40">
                  <c:v>2.8289501200971041</c:v>
                </c:pt>
                <c:pt idx="41">
                  <c:v>2.8821114696159484</c:v>
                </c:pt>
                <c:pt idx="42">
                  <c:v>2.953121040193559</c:v>
                </c:pt>
                <c:pt idx="43">
                  <c:v>2.9934777040967973</c:v>
                </c:pt>
                <c:pt idx="44">
                  <c:v>3.0692522427135467</c:v>
                </c:pt>
                <c:pt idx="45">
                  <c:v>3.1178998815442567</c:v>
                </c:pt>
                <c:pt idx="46">
                  <c:v>3.1745718462733938</c:v>
                </c:pt>
                <c:pt idx="47">
                  <c:v>3.2337764036318246</c:v>
                </c:pt>
                <c:pt idx="48">
                  <c:v>3.2870797573514308</c:v>
                </c:pt>
                <c:pt idx="49">
                  <c:v>3.3494002989082299</c:v>
                </c:pt>
                <c:pt idx="50">
                  <c:v>3.4152200142940097</c:v>
                </c:pt>
                <c:pt idx="51">
                  <c:v>3.4723599243588055</c:v>
                </c:pt>
                <c:pt idx="52">
                  <c:v>3.5448830021001601</c:v>
                </c:pt>
                <c:pt idx="53">
                  <c:v>3.5849392529262096</c:v>
                </c:pt>
                <c:pt idx="54">
                  <c:v>3.6421514795734962</c:v>
                </c:pt>
                <c:pt idx="55">
                  <c:v>3.6960369653416945</c:v>
                </c:pt>
                <c:pt idx="56">
                  <c:v>3.7731557083823213</c:v>
                </c:pt>
                <c:pt idx="57">
                  <c:v>3.8425504832822814</c:v>
                </c:pt>
                <c:pt idx="58">
                  <c:v>3.9338831992480179</c:v>
                </c:pt>
                <c:pt idx="59">
                  <c:v>3.9642206006133365</c:v>
                </c:pt>
                <c:pt idx="60">
                  <c:v>3.9768603416286035</c:v>
                </c:pt>
                <c:pt idx="61">
                  <c:v>4.1146994600269968</c:v>
                </c:pt>
                <c:pt idx="62">
                  <c:v>4.1718168600267758</c:v>
                </c:pt>
                <c:pt idx="63">
                  <c:v>4.2440748211471195</c:v>
                </c:pt>
                <c:pt idx="64">
                  <c:v>4.3114415612297963</c:v>
                </c:pt>
                <c:pt idx="65">
                  <c:v>4.3949631998870027</c:v>
                </c:pt>
                <c:pt idx="66">
                  <c:v>4.4515710796826484</c:v>
                </c:pt>
                <c:pt idx="67">
                  <c:v>4.5403916851121329</c:v>
                </c:pt>
                <c:pt idx="68">
                  <c:v>4.6094649415719449</c:v>
                </c:pt>
                <c:pt idx="69">
                  <c:v>4.6941780553617498</c:v>
                </c:pt>
                <c:pt idx="70">
                  <c:v>4.7434745865358874</c:v>
                </c:pt>
                <c:pt idx="71">
                  <c:v>4.8269962107602797</c:v>
                </c:pt>
                <c:pt idx="72">
                  <c:v>4.8759427221717022</c:v>
                </c:pt>
                <c:pt idx="73">
                  <c:v>4.9679210216800547</c:v>
                </c:pt>
                <c:pt idx="74">
                  <c:v>5.0247578655796694</c:v>
                </c:pt>
                <c:pt idx="75">
                  <c:v>5.0990523908222656</c:v>
                </c:pt>
                <c:pt idx="76">
                  <c:v>5.2113557568556859</c:v>
                </c:pt>
                <c:pt idx="77">
                  <c:v>5.2197304836320564</c:v>
                </c:pt>
                <c:pt idx="78">
                  <c:v>5.3047302937764176</c:v>
                </c:pt>
                <c:pt idx="79">
                  <c:v>5.3952304111398099</c:v>
                </c:pt>
                <c:pt idx="80">
                  <c:v>5.4801397590992087</c:v>
                </c:pt>
                <c:pt idx="81">
                  <c:v>5.5009350929022771</c:v>
                </c:pt>
                <c:pt idx="82">
                  <c:v>5.5357140040651274</c:v>
                </c:pt>
                <c:pt idx="83">
                  <c:v>5.6912882889353353</c:v>
                </c:pt>
                <c:pt idx="84">
                  <c:v>5.7711231835310368</c:v>
                </c:pt>
                <c:pt idx="85">
                  <c:v>5.7979641211086212</c:v>
                </c:pt>
                <c:pt idx="86">
                  <c:v>5.8506744367847672</c:v>
                </c:pt>
                <c:pt idx="87">
                  <c:v>5.9565454522339287</c:v>
                </c:pt>
                <c:pt idx="88">
                  <c:v>5.9858985690796604</c:v>
                </c:pt>
                <c:pt idx="89">
                  <c:v>6.036766596771038</c:v>
                </c:pt>
                <c:pt idx="90">
                  <c:v>6.0857757505740784</c:v>
                </c:pt>
                <c:pt idx="91">
                  <c:v>6.1600900541176173</c:v>
                </c:pt>
                <c:pt idx="92">
                  <c:v>6.2531524391358664</c:v>
                </c:pt>
                <c:pt idx="93">
                  <c:v>6.2549067606734523</c:v>
                </c:pt>
                <c:pt idx="94">
                  <c:v>6.3555839609110309</c:v>
                </c:pt>
                <c:pt idx="95">
                  <c:v>6.3635251991739432</c:v>
                </c:pt>
                <c:pt idx="96">
                  <c:v>6.4402414257992833</c:v>
                </c:pt>
                <c:pt idx="97">
                  <c:v>6.5042312310093271</c:v>
                </c:pt>
                <c:pt idx="98">
                  <c:v>6.5468346062765672</c:v>
                </c:pt>
                <c:pt idx="99">
                  <c:v>6.5447913236884752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78032"/>
        <c:axId val="525939784"/>
      </c:scatterChart>
      <c:valAx>
        <c:axId val="53137803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39784"/>
        <c:crosses val="autoZero"/>
        <c:crossBetween val="midCat"/>
      </c:valAx>
      <c:valAx>
        <c:axId val="525939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78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none"/>
            </c:marker>
            <c:bubble3D val="0"/>
          </c:dPt>
          <c:xVal>
            <c:numRef>
              <c:f>TLmeas!$Z$7:$Z$106</c:f>
              <c:numCache>
                <c:formatCode>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TLmeas!$AA$7:$AA$106</c:f>
              <c:numCache>
                <c:formatCode>0.00</c:formatCode>
                <c:ptCount val="100"/>
                <c:pt idx="0">
                  <c:v>7.9300000000000009E-2</c:v>
                </c:pt>
                <c:pt idx="1">
                  <c:v>8.696467968076721E-2</c:v>
                </c:pt>
                <c:pt idx="2">
                  <c:v>9.4492067523068796E-2</c:v>
                </c:pt>
                <c:pt idx="3">
                  <c:v>0.1018821635269048</c:v>
                </c:pt>
                <c:pt idx="4">
                  <c:v>0.1091349922175288</c:v>
                </c:pt>
                <c:pt idx="5">
                  <c:v>0.11625050407574722</c:v>
                </c:pt>
                <c:pt idx="6">
                  <c:v>0.12322872409550001</c:v>
                </c:pt>
                <c:pt idx="7">
                  <c:v>0.13006967539597999</c:v>
                </c:pt>
                <c:pt idx="8">
                  <c:v>0.13677331127011519</c:v>
                </c:pt>
                <c:pt idx="9">
                  <c:v>0.1433396553057848</c:v>
                </c:pt>
                <c:pt idx="10">
                  <c:v>0.14976870750298879</c:v>
                </c:pt>
                <c:pt idx="11">
                  <c:v>0.15606048910617282</c:v>
                </c:pt>
                <c:pt idx="12">
                  <c:v>0.16221495715775919</c:v>
                </c:pt>
                <c:pt idx="13">
                  <c:v>0.16823213337088</c:v>
                </c:pt>
                <c:pt idx="14">
                  <c:v>0.17411203758392002</c:v>
                </c:pt>
                <c:pt idx="15">
                  <c:v>0.17985462965142318</c:v>
                </c:pt>
                <c:pt idx="16">
                  <c:v>0.18545992988046081</c:v>
                </c:pt>
                <c:pt idx="17">
                  <c:v>0.1909279382710328</c:v>
                </c:pt>
                <c:pt idx="18">
                  <c:v>0.19625867278677681</c:v>
                </c:pt>
                <c:pt idx="19">
                  <c:v>0.2014520970317312</c:v>
                </c:pt>
                <c:pt idx="20">
                  <c:v>0.20650822943821998</c:v>
                </c:pt>
                <c:pt idx="21">
                  <c:v>0.21142708656382</c:v>
                </c:pt>
                <c:pt idx="22">
                  <c:v>0.21620863482469121</c:v>
                </c:pt>
                <c:pt idx="23">
                  <c:v>0.22085289124709681</c:v>
                </c:pt>
                <c:pt idx="24">
                  <c:v>0.22535987098255281</c:v>
                </c:pt>
                <c:pt idx="25">
                  <c:v>0.22972954325934083</c:v>
                </c:pt>
                <c:pt idx="26">
                  <c:v>0.23396192369766319</c:v>
                </c:pt>
                <c:pt idx="27">
                  <c:v>0.23805701229752005</c:v>
                </c:pt>
                <c:pt idx="28">
                  <c:v>0.24201482233568</c:v>
                </c:pt>
                <c:pt idx="29">
                  <c:v>0.24583532678991923</c:v>
                </c:pt>
                <c:pt idx="30">
                  <c:v>0.24951853940569282</c:v>
                </c:pt>
                <c:pt idx="31">
                  <c:v>0.25306447205370874</c:v>
                </c:pt>
                <c:pt idx="32">
                  <c:v>0.25647310052386479</c:v>
                </c:pt>
                <c:pt idx="33">
                  <c:v>0.25974443715555517</c:v>
                </c:pt>
                <c:pt idx="34">
                  <c:v>0.26287848194878</c:v>
                </c:pt>
                <c:pt idx="35">
                  <c:v>0.26587524489949999</c:v>
                </c:pt>
                <c:pt idx="36">
                  <c:v>0.26873470554710721</c:v>
                </c:pt>
                <c:pt idx="37">
                  <c:v>0.27145687435624877</c:v>
                </c:pt>
                <c:pt idx="38">
                  <c:v>0.27404175991682478</c:v>
                </c:pt>
                <c:pt idx="39">
                  <c:v>0.27648934458034879</c:v>
                </c:pt>
                <c:pt idx="40">
                  <c:v>0.2787996374054072</c:v>
                </c:pt>
                <c:pt idx="41">
                  <c:v>0.28097264557583917</c:v>
                </c:pt>
                <c:pt idx="42">
                  <c:v>0.28300835425527998</c:v>
                </c:pt>
                <c:pt idx="43">
                  <c:v>0.28490677109625517</c:v>
                </c:pt>
                <c:pt idx="44">
                  <c:v>0.28666789609876481</c:v>
                </c:pt>
                <c:pt idx="45">
                  <c:v>0.28829173457190083</c:v>
                </c:pt>
                <c:pt idx="46">
                  <c:v>0.28977827542879275</c:v>
                </c:pt>
                <c:pt idx="47">
                  <c:v>0.29112752444721918</c:v>
                </c:pt>
                <c:pt idx="48">
                  <c:v>0.29233948553021116</c:v>
                </c:pt>
                <c:pt idx="49">
                  <c:v>0.29341415040301999</c:v>
                </c:pt>
                <c:pt idx="50">
                  <c:v>0.29435152343736321</c:v>
                </c:pt>
                <c:pt idx="51">
                  <c:v>0.2951516046332408</c:v>
                </c:pt>
                <c:pt idx="52">
                  <c:v>0.29581439601893678</c:v>
                </c:pt>
                <c:pt idx="53">
                  <c:v>0.29633989306919678</c:v>
                </c:pt>
                <c:pt idx="54">
                  <c:v>0.29672809828099117</c:v>
                </c:pt>
                <c:pt idx="55">
                  <c:v>0.29697901227654322</c:v>
                </c:pt>
                <c:pt idx="56">
                  <c:v>0.29709263334272001</c:v>
                </c:pt>
                <c:pt idx="57">
                  <c:v>0.29706896257043114</c:v>
                </c:pt>
                <c:pt idx="58">
                  <c:v>0.29690799995967676</c:v>
                </c:pt>
                <c:pt idx="59">
                  <c:v>0.29660974425793274</c:v>
                </c:pt>
                <c:pt idx="60">
                  <c:v>0.29617419750156071</c:v>
                </c:pt>
                <c:pt idx="61">
                  <c:v>0.29560135890672318</c:v>
                </c:pt>
                <c:pt idx="62">
                  <c:v>0.29489122581483523</c:v>
                </c:pt>
                <c:pt idx="63">
                  <c:v>0.29404380307438005</c:v>
                </c:pt>
                <c:pt idx="64">
                  <c:v>0.29305908849545914</c:v>
                </c:pt>
                <c:pt idx="65">
                  <c:v>0.29193707801342716</c:v>
                </c:pt>
                <c:pt idx="66">
                  <c:v>0.29067777928888883</c:v>
                </c:pt>
                <c:pt idx="67">
                  <c:v>0.28928118872588482</c:v>
                </c:pt>
                <c:pt idx="68">
                  <c:v>0.28774730632441525</c:v>
                </c:pt>
                <c:pt idx="69">
                  <c:v>0.28607612614508715</c:v>
                </c:pt>
                <c:pt idx="70">
                  <c:v>0.28426765959799999</c:v>
                </c:pt>
                <c:pt idx="71">
                  <c:v>0.28232190121244716</c:v>
                </c:pt>
                <c:pt idx="72">
                  <c:v>0.28023884364297519</c:v>
                </c:pt>
                <c:pt idx="73">
                  <c:v>0.27801850111180476</c:v>
                </c:pt>
                <c:pt idx="74">
                  <c:v>0.27566086674216872</c:v>
                </c:pt>
                <c:pt idx="75">
                  <c:v>0.27316594053406723</c:v>
                </c:pt>
                <c:pt idx="76">
                  <c:v>0.27053371326729919</c:v>
                </c:pt>
                <c:pt idx="77">
                  <c:v>0.26776420291357994</c:v>
                </c:pt>
                <c:pt idx="78">
                  <c:v>0.26485740072139513</c:v>
                </c:pt>
                <c:pt idx="79">
                  <c:v>0.26181329606448317</c:v>
                </c:pt>
                <c:pt idx="80">
                  <c:v>0.25863190972668076</c:v>
                </c:pt>
                <c:pt idx="81">
                  <c:v>0.25531323155041274</c:v>
                </c:pt>
                <c:pt idx="82">
                  <c:v>0.25185724950335681</c:v>
                </c:pt>
                <c:pt idx="83">
                  <c:v>0.24826398718147122</c:v>
                </c:pt>
                <c:pt idx="84">
                  <c:v>0.24453343302111993</c:v>
                </c:pt>
                <c:pt idx="85">
                  <c:v>0.24066558702230309</c:v>
                </c:pt>
                <c:pt idx="86">
                  <c:v>0.23666043527795119</c:v>
                </c:pt>
                <c:pt idx="87">
                  <c:v>0.23251800513351681</c:v>
                </c:pt>
                <c:pt idx="88">
                  <c:v>0.22823828315061687</c:v>
                </c:pt>
                <c:pt idx="89">
                  <c:v>0.22382125401612082</c:v>
                </c:pt>
                <c:pt idx="90">
                  <c:v>0.21926694788760323</c:v>
                </c:pt>
                <c:pt idx="91">
                  <c:v>0.21457534992062008</c:v>
                </c:pt>
                <c:pt idx="92">
                  <c:v>0.20974646011517115</c:v>
                </c:pt>
                <c:pt idx="93">
                  <c:v>0.2047802612833792</c:v>
                </c:pt>
                <c:pt idx="94">
                  <c:v>0.19967678733231284</c:v>
                </c:pt>
                <c:pt idx="95">
                  <c:v>0.1944360215427807</c:v>
                </c:pt>
                <c:pt idx="96">
                  <c:v>0.18905794532084472</c:v>
                </c:pt>
                <c:pt idx="97">
                  <c:v>0.18354259538569515</c:v>
                </c:pt>
                <c:pt idx="98">
                  <c:v>0.17788995361208002</c:v>
                </c:pt>
                <c:pt idx="99">
                  <c:v>0.17209999999999989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940568"/>
        <c:axId val="525940960"/>
      </c:scatterChart>
      <c:valAx>
        <c:axId val="52594056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0960"/>
        <c:crosses val="autoZero"/>
        <c:crossBetween val="midCat"/>
      </c:valAx>
      <c:valAx>
        <c:axId val="52594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0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563433667781494"/>
                  <c:y val="8.69713160854893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'TLmeas PTFE'!$T$7:$T$106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PTFE'!$U$7:$U$106</c:f>
              <c:numCache>
                <c:formatCode>0.00</c:formatCode>
                <c:ptCount val="100"/>
                <c:pt idx="0">
                  <c:v>-0.10385016203801578</c:v>
                </c:pt>
                <c:pt idx="1">
                  <c:v>0.1082953647990867</c:v>
                </c:pt>
                <c:pt idx="2">
                  <c:v>-0.13835799067947357</c:v>
                </c:pt>
                <c:pt idx="3">
                  <c:v>9.4085477676169427E-2</c:v>
                </c:pt>
                <c:pt idx="4">
                  <c:v>5.7474562088784015E-2</c:v>
                </c:pt>
                <c:pt idx="5">
                  <c:v>-9.9037624453074766E-3</c:v>
                </c:pt>
                <c:pt idx="6">
                  <c:v>4.6202846110598883E-2</c:v>
                </c:pt>
                <c:pt idx="7">
                  <c:v>4.1551159910792154E-2</c:v>
                </c:pt>
                <c:pt idx="8">
                  <c:v>0.11508199059796537</c:v>
                </c:pt>
                <c:pt idx="9">
                  <c:v>0.12478227791896976</c:v>
                </c:pt>
                <c:pt idx="10">
                  <c:v>6.0451331372821042E-2</c:v>
                </c:pt>
                <c:pt idx="11">
                  <c:v>4.6400004728757931E-2</c:v>
                </c:pt>
                <c:pt idx="12">
                  <c:v>8.4265623949047297E-2</c:v>
                </c:pt>
                <c:pt idx="13">
                  <c:v>9.3010422371046453E-2</c:v>
                </c:pt>
                <c:pt idx="14">
                  <c:v>3.7563049904964445E-2</c:v>
                </c:pt>
                <c:pt idx="15">
                  <c:v>4.8415708169632657E-2</c:v>
                </c:pt>
                <c:pt idx="16">
                  <c:v>9.6582422668563594E-2</c:v>
                </c:pt>
                <c:pt idx="17">
                  <c:v>0.10597191788782723</c:v>
                </c:pt>
                <c:pt idx="18">
                  <c:v>5.5108156486026558E-2</c:v>
                </c:pt>
                <c:pt idx="19">
                  <c:v>8.4077238527543757E-2</c:v>
                </c:pt>
                <c:pt idx="20">
                  <c:v>7.9711966424277046E-3</c:v>
                </c:pt>
                <c:pt idx="21">
                  <c:v>4.2709875592243457E-2</c:v>
                </c:pt>
                <c:pt idx="22">
                  <c:v>4.7654611192158927E-2</c:v>
                </c:pt>
                <c:pt idx="23">
                  <c:v>6.0142082343224393E-2</c:v>
                </c:pt>
                <c:pt idx="24">
                  <c:v>9.9540417576509735E-2</c:v>
                </c:pt>
                <c:pt idx="25">
                  <c:v>7.540716235177021E-2</c:v>
                </c:pt>
                <c:pt idx="26">
                  <c:v>7.5838767778200034E-2</c:v>
                </c:pt>
                <c:pt idx="27">
                  <c:v>0.12139616169084227</c:v>
                </c:pt>
                <c:pt idx="28">
                  <c:v>0.10633682869267735</c:v>
                </c:pt>
                <c:pt idx="29">
                  <c:v>8.5214361953084461E-2</c:v>
                </c:pt>
                <c:pt idx="30">
                  <c:v>7.2663663599064524E-2</c:v>
                </c:pt>
                <c:pt idx="31">
                  <c:v>7.3906192856509401E-2</c:v>
                </c:pt>
                <c:pt idx="32">
                  <c:v>0.10057894236115197</c:v>
                </c:pt>
                <c:pt idx="33">
                  <c:v>3.249730299319914E-2</c:v>
                </c:pt>
                <c:pt idx="34">
                  <c:v>0.1035055605062872</c:v>
                </c:pt>
                <c:pt idx="35">
                  <c:v>0.10215726374950329</c:v>
                </c:pt>
                <c:pt idx="36">
                  <c:v>0.16524228090301163</c:v>
                </c:pt>
                <c:pt idx="37">
                  <c:v>0.12141367496953706</c:v>
                </c:pt>
                <c:pt idx="38">
                  <c:v>0.11334414691045562</c:v>
                </c:pt>
                <c:pt idx="39">
                  <c:v>0.12931831965799698</c:v>
                </c:pt>
                <c:pt idx="40">
                  <c:v>0.15018808252959132</c:v>
                </c:pt>
                <c:pt idx="41">
                  <c:v>9.1038039618643526E-2</c:v>
                </c:pt>
                <c:pt idx="42">
                  <c:v>7.8593021863154325E-2</c:v>
                </c:pt>
                <c:pt idx="43">
                  <c:v>0.11085422294151012</c:v>
                </c:pt>
                <c:pt idx="44">
                  <c:v>0.15868354061631454</c:v>
                </c:pt>
                <c:pt idx="45">
                  <c:v>0.17872761392432396</c:v>
                </c:pt>
                <c:pt idx="46">
                  <c:v>0.14326179081183488</c:v>
                </c:pt>
                <c:pt idx="47">
                  <c:v>0.16264430513541481</c:v>
                </c:pt>
                <c:pt idx="48">
                  <c:v>0.13309675318423955</c:v>
                </c:pt>
                <c:pt idx="49">
                  <c:v>0.12724664414453415</c:v>
                </c:pt>
                <c:pt idx="50">
                  <c:v>0.13326679352746956</c:v>
                </c:pt>
                <c:pt idx="51">
                  <c:v>0.21165461288981785</c:v>
                </c:pt>
                <c:pt idx="52">
                  <c:v>0.1226738969953023</c:v>
                </c:pt>
                <c:pt idx="53">
                  <c:v>0.119316321169662</c:v>
                </c:pt>
                <c:pt idx="54">
                  <c:v>0.14237114998397715</c:v>
                </c:pt>
                <c:pt idx="55">
                  <c:v>0.13595578368968664</c:v>
                </c:pt>
                <c:pt idx="56">
                  <c:v>0.13530232588225494</c:v>
                </c:pt>
                <c:pt idx="57">
                  <c:v>0.11732716119464699</c:v>
                </c:pt>
                <c:pt idx="58">
                  <c:v>0.17738179241819249</c:v>
                </c:pt>
                <c:pt idx="59">
                  <c:v>0.11152870223686502</c:v>
                </c:pt>
                <c:pt idx="60">
                  <c:v>0.1271468098813871</c:v>
                </c:pt>
                <c:pt idx="61">
                  <c:v>0.14288206996545241</c:v>
                </c:pt>
                <c:pt idx="62">
                  <c:v>0.2008182167386876</c:v>
                </c:pt>
                <c:pt idx="63">
                  <c:v>0.15596635060365663</c:v>
                </c:pt>
                <c:pt idx="64">
                  <c:v>0.13696906944269063</c:v>
                </c:pt>
                <c:pt idx="65">
                  <c:v>0.11704520566572749</c:v>
                </c:pt>
                <c:pt idx="66">
                  <c:v>0.12786353980237428</c:v>
                </c:pt>
                <c:pt idx="67">
                  <c:v>9.1234858747825692E-2</c:v>
                </c:pt>
                <c:pt idx="68">
                  <c:v>9.6572039131730139E-2</c:v>
                </c:pt>
                <c:pt idx="69">
                  <c:v>7.1182067356808779E-2</c:v>
                </c:pt>
                <c:pt idx="70">
                  <c:v>0.10960377168514752</c:v>
                </c:pt>
                <c:pt idx="71">
                  <c:v>5.870519893248452E-2</c:v>
                </c:pt>
                <c:pt idx="72">
                  <c:v>0.10312691090585341</c:v>
                </c:pt>
                <c:pt idx="73">
                  <c:v>7.6177294561793979E-2</c:v>
                </c:pt>
                <c:pt idx="74">
                  <c:v>6.5484648790898034E-2</c:v>
                </c:pt>
                <c:pt idx="75">
                  <c:v>6.3807300843655601E-2</c:v>
                </c:pt>
                <c:pt idx="76">
                  <c:v>4.3171275678058965E-2</c:v>
                </c:pt>
                <c:pt idx="77">
                  <c:v>7.8017050188569886E-2</c:v>
                </c:pt>
                <c:pt idx="78">
                  <c:v>5.0851052415908447E-2</c:v>
                </c:pt>
                <c:pt idx="79">
                  <c:v>4.2680564465367457E-2</c:v>
                </c:pt>
                <c:pt idx="80">
                  <c:v>3.296723117858661E-2</c:v>
                </c:pt>
                <c:pt idx="81">
                  <c:v>1.7774637475544398E-2</c:v>
                </c:pt>
                <c:pt idx="82">
                  <c:v>3.062343420024756E-2</c:v>
                </c:pt>
                <c:pt idx="83">
                  <c:v>-7.4102233281283757E-3</c:v>
                </c:pt>
                <c:pt idx="84">
                  <c:v>1.091971027068944E-2</c:v>
                </c:pt>
                <c:pt idx="85">
                  <c:v>-2.2203496412572851E-2</c:v>
                </c:pt>
                <c:pt idx="86">
                  <c:v>2.8102760946089548E-2</c:v>
                </c:pt>
                <c:pt idx="87">
                  <c:v>-1.3246708181795746E-2</c:v>
                </c:pt>
                <c:pt idx="88">
                  <c:v>-2.4519039227415274E-2</c:v>
                </c:pt>
                <c:pt idx="89">
                  <c:v>-2.2785559586146337E-2</c:v>
                </c:pt>
                <c:pt idx="90">
                  <c:v>-2.1769455122575193E-2</c:v>
                </c:pt>
                <c:pt idx="91">
                  <c:v>-2.9031966075923267E-2</c:v>
                </c:pt>
                <c:pt idx="92">
                  <c:v>-2.0644241611886098E-2</c:v>
                </c:pt>
                <c:pt idx="93">
                  <c:v>-8.1216276024464532E-3</c:v>
                </c:pt>
                <c:pt idx="94">
                  <c:v>6.0405949217791702E-3</c:v>
                </c:pt>
                <c:pt idx="95">
                  <c:v>7.9441707486741509E-3</c:v>
                </c:pt>
                <c:pt idx="96">
                  <c:v>-5.7163872439227369E-3</c:v>
                </c:pt>
                <c:pt idx="97">
                  <c:v>-1.626477208345185E-2</c:v>
                </c:pt>
                <c:pt idx="98">
                  <c:v>-1.2097634473611783E-2</c:v>
                </c:pt>
                <c:pt idx="99">
                  <c:v>9.0693305606921355E-3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021816"/>
        <c:axId val="536022208"/>
      </c:scatterChart>
      <c:valAx>
        <c:axId val="5360218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22208"/>
        <c:crosses val="autoZero"/>
        <c:crossBetween val="midCat"/>
      </c:valAx>
      <c:valAx>
        <c:axId val="53602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21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'TLmeas PTFE'!$T$7:$T$106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PTFE'!$V$7:$V$106</c:f>
              <c:numCache>
                <c:formatCode>0.00</c:formatCode>
                <c:ptCount val="100"/>
                <c:pt idx="0">
                  <c:v>1.0338604779015401</c:v>
                </c:pt>
                <c:pt idx="1">
                  <c:v>1.0480802192501373</c:v>
                </c:pt>
                <c:pt idx="2">
                  <c:v>1.0865589426941045</c:v>
                </c:pt>
                <c:pt idx="3">
                  <c:v>1.1331402949488181</c:v>
                </c:pt>
                <c:pt idx="4">
                  <c:v>1.1673596655896876</c:v>
                </c:pt>
                <c:pt idx="5">
                  <c:v>1.189236756115198</c:v>
                </c:pt>
                <c:pt idx="6">
                  <c:v>1.2106069566474196</c:v>
                </c:pt>
                <c:pt idx="7">
                  <c:v>1.2314412200108911</c:v>
                </c:pt>
                <c:pt idx="8">
                  <c:v>1.2538946482780615</c:v>
                </c:pt>
                <c:pt idx="9">
                  <c:v>1.2720688974394032</c:v>
                </c:pt>
                <c:pt idx="10">
                  <c:v>1.2942178639651749</c:v>
                </c:pt>
                <c:pt idx="11">
                  <c:v>1.3138111158265098</c:v>
                </c:pt>
                <c:pt idx="12">
                  <c:v>1.3359834776342538</c:v>
                </c:pt>
                <c:pt idx="13">
                  <c:v>1.357516590571509</c:v>
                </c:pt>
                <c:pt idx="14">
                  <c:v>1.3791551850856398</c:v>
                </c:pt>
                <c:pt idx="15">
                  <c:v>1.4017886420286108</c:v>
                </c:pt>
                <c:pt idx="16">
                  <c:v>1.4249095062333494</c:v>
                </c:pt>
                <c:pt idx="17">
                  <c:v>1.448745253860956</c:v>
                </c:pt>
                <c:pt idx="18">
                  <c:v>1.4744472990414823</c:v>
                </c:pt>
                <c:pt idx="19">
                  <c:v>1.4959884176810578</c:v>
                </c:pt>
                <c:pt idx="20">
                  <c:v>1.5229663354608463</c:v>
                </c:pt>
                <c:pt idx="21">
                  <c:v>1.5477899692750454</c:v>
                </c:pt>
                <c:pt idx="22">
                  <c:v>1.5742783977743375</c:v>
                </c:pt>
                <c:pt idx="23">
                  <c:v>1.5999047732759135</c:v>
                </c:pt>
                <c:pt idx="24">
                  <c:v>1.6279592410690307</c:v>
                </c:pt>
                <c:pt idx="25">
                  <c:v>1.6533979150841196</c:v>
                </c:pt>
                <c:pt idx="26">
                  <c:v>1.6813929891719601</c:v>
                </c:pt>
                <c:pt idx="27">
                  <c:v>1.7089850549900327</c:v>
                </c:pt>
                <c:pt idx="28">
                  <c:v>1.7376844843569619</c:v>
                </c:pt>
                <c:pt idx="29">
                  <c:v>1.7685941728258523</c:v>
                </c:pt>
                <c:pt idx="30">
                  <c:v>1.7959161149700167</c:v>
                </c:pt>
                <c:pt idx="31">
                  <c:v>1.8236132355227987</c:v>
                </c:pt>
                <c:pt idx="32">
                  <c:v>1.8561183795526366</c:v>
                </c:pt>
                <c:pt idx="33">
                  <c:v>1.876699634433191</c:v>
                </c:pt>
                <c:pt idx="34">
                  <c:v>1.9196123108333181</c:v>
                </c:pt>
                <c:pt idx="35">
                  <c:v>1.9500065164210965</c:v>
                </c:pt>
                <c:pt idx="36">
                  <c:v>1.9828263535400479</c:v>
                </c:pt>
                <c:pt idx="37">
                  <c:v>2.0153141646868562</c:v>
                </c:pt>
                <c:pt idx="38">
                  <c:v>2.0491752678725113</c:v>
                </c:pt>
                <c:pt idx="39">
                  <c:v>2.0813514245511548</c:v>
                </c:pt>
                <c:pt idx="40">
                  <c:v>2.1144062262537919</c:v>
                </c:pt>
                <c:pt idx="41">
                  <c:v>2.1523823469324026</c:v>
                </c:pt>
                <c:pt idx="42">
                  <c:v>2.1916842268003101</c:v>
                </c:pt>
                <c:pt idx="43">
                  <c:v>2.2190007130319689</c:v>
                </c:pt>
                <c:pt idx="44">
                  <c:v>2.2573208078087124</c:v>
                </c:pt>
                <c:pt idx="45">
                  <c:v>2.2882858332523743</c:v>
                </c:pt>
                <c:pt idx="46">
                  <c:v>2.3204385266130592</c:v>
                </c:pt>
                <c:pt idx="47">
                  <c:v>2.3634788718349795</c:v>
                </c:pt>
                <c:pt idx="48">
                  <c:v>2.4032796935539369</c:v>
                </c:pt>
                <c:pt idx="49">
                  <c:v>2.4334458159965835</c:v>
                </c:pt>
                <c:pt idx="50">
                  <c:v>2.4698942238174513</c:v>
                </c:pt>
                <c:pt idx="51">
                  <c:v>2.5074297736499607</c:v>
                </c:pt>
                <c:pt idx="52">
                  <c:v>2.5489345548943318</c:v>
                </c:pt>
                <c:pt idx="53">
                  <c:v>2.5779406177098454</c:v>
                </c:pt>
                <c:pt idx="54">
                  <c:v>2.6160260750326576</c:v>
                </c:pt>
                <c:pt idx="55">
                  <c:v>2.6541880441311156</c:v>
                </c:pt>
                <c:pt idx="56">
                  <c:v>2.690824664659651</c:v>
                </c:pt>
                <c:pt idx="57">
                  <c:v>2.7376560848267464</c:v>
                </c:pt>
                <c:pt idx="58">
                  <c:v>2.7872622533945606</c:v>
                </c:pt>
                <c:pt idx="59">
                  <c:v>2.81346308163016</c:v>
                </c:pt>
                <c:pt idx="60">
                  <c:v>2.8355430067492988</c:v>
                </c:pt>
                <c:pt idx="61">
                  <c:v>2.8839162386193169</c:v>
                </c:pt>
                <c:pt idx="62">
                  <c:v>2.9182869246191294</c:v>
                </c:pt>
                <c:pt idx="63">
                  <c:v>2.9669470794797483</c:v>
                </c:pt>
                <c:pt idx="64">
                  <c:v>3.006661598336215</c:v>
                </c:pt>
                <c:pt idx="65">
                  <c:v>3.0441496528793008</c:v>
                </c:pt>
                <c:pt idx="66">
                  <c:v>3.0866658703344463</c:v>
                </c:pt>
                <c:pt idx="67">
                  <c:v>3.136011894701153</c:v>
                </c:pt>
                <c:pt idx="68">
                  <c:v>3.1750983433965025</c:v>
                </c:pt>
                <c:pt idx="69">
                  <c:v>3.2242284291310179</c:v>
                </c:pt>
                <c:pt idx="70">
                  <c:v>3.2535920351214598</c:v>
                </c:pt>
                <c:pt idx="71">
                  <c:v>3.3022408210822771</c:v>
                </c:pt>
                <c:pt idx="72">
                  <c:v>3.3334013986924051</c:v>
                </c:pt>
                <c:pt idx="73">
                  <c:v>3.385351973530649</c:v>
                </c:pt>
                <c:pt idx="74">
                  <c:v>3.4332999386750349</c:v>
                </c:pt>
                <c:pt idx="75">
                  <c:v>3.4747029209415761</c:v>
                </c:pt>
                <c:pt idx="76">
                  <c:v>3.5377373444091464</c:v>
                </c:pt>
                <c:pt idx="77">
                  <c:v>3.5502146476235237</c:v>
                </c:pt>
                <c:pt idx="78">
                  <c:v>3.6007401249422744</c:v>
                </c:pt>
                <c:pt idx="79">
                  <c:v>3.6507558652087426</c:v>
                </c:pt>
                <c:pt idx="80">
                  <c:v>3.7018852212163198</c:v>
                </c:pt>
                <c:pt idx="81">
                  <c:v>3.7367737199671818</c:v>
                </c:pt>
                <c:pt idx="82">
                  <c:v>3.7780947450415074</c:v>
                </c:pt>
                <c:pt idx="83">
                  <c:v>3.8490387454934902</c:v>
                </c:pt>
                <c:pt idx="84">
                  <c:v>3.882603861722123</c:v>
                </c:pt>
                <c:pt idx="85">
                  <c:v>3.9216111483794807</c:v>
                </c:pt>
                <c:pt idx="86">
                  <c:v>3.957365035492642</c:v>
                </c:pt>
                <c:pt idx="87">
                  <c:v>4.0207492841184287</c:v>
                </c:pt>
                <c:pt idx="88">
                  <c:v>4.0637839512528569</c:v>
                </c:pt>
                <c:pt idx="89">
                  <c:v>4.0867821091135914</c:v>
                </c:pt>
                <c:pt idx="90">
                  <c:v>4.1390768510082587</c:v>
                </c:pt>
                <c:pt idx="91">
                  <c:v>4.1741061293326229</c:v>
                </c:pt>
                <c:pt idx="92">
                  <c:v>4.2140950508121309</c:v>
                </c:pt>
                <c:pt idx="93">
                  <c:v>4.2314822718914504</c:v>
                </c:pt>
                <c:pt idx="94">
                  <c:v>4.274671387515272</c:v>
                </c:pt>
                <c:pt idx="95">
                  <c:v>4.3131179591598485</c:v>
                </c:pt>
                <c:pt idx="96">
                  <c:v>4.3472732241016576</c:v>
                </c:pt>
                <c:pt idx="97">
                  <c:v>4.3907676184302931</c:v>
                </c:pt>
                <c:pt idx="98">
                  <c:v>4.4107998986702581</c:v>
                </c:pt>
                <c:pt idx="99">
                  <c:v>4.4440509003501765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022992"/>
        <c:axId val="536023384"/>
      </c:scatterChart>
      <c:valAx>
        <c:axId val="5360229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23384"/>
        <c:crosses val="autoZero"/>
        <c:crossBetween val="midCat"/>
      </c:valAx>
      <c:valAx>
        <c:axId val="53602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2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none"/>
            </c:marker>
            <c:bubble3D val="0"/>
          </c:dPt>
          <c:xVal>
            <c:numRef>
              <c:f>'TLmeas PTFE'!$X$7:$X$106</c:f>
              <c:numCache>
                <c:formatCode>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PTFE'!$Y$7:$Y$106</c:f>
              <c:numCache>
                <c:formatCode>0.00</c:formatCode>
                <c:ptCount val="100"/>
                <c:pt idx="0">
                  <c:v>-5.6000000000000008E-3</c:v>
                </c:pt>
                <c:pt idx="1">
                  <c:v>1.6922192067130026E-4</c:v>
                </c:pt>
                <c:pt idx="2">
                  <c:v>5.8183134826852029E-3</c:v>
                </c:pt>
                <c:pt idx="3">
                  <c:v>1.1347274686041693E-2</c:v>
                </c:pt>
                <c:pt idx="4">
                  <c:v>1.6756123790337696E-2</c:v>
                </c:pt>
                <c:pt idx="5">
                  <c:v>2.2044823866278797E-2</c:v>
                </c:pt>
                <c:pt idx="6">
                  <c:v>2.7213393583562499E-2</c:v>
                </c:pt>
                <c:pt idx="7">
                  <c:v>3.2261849971482494E-2</c:v>
                </c:pt>
                <c:pt idx="8">
                  <c:v>3.71901585613508E-2</c:v>
                </c:pt>
                <c:pt idx="9">
                  <c:v>4.1998336792561694E-2</c:v>
                </c:pt>
                <c:pt idx="10">
                  <c:v>4.6686384665115196E-2</c:v>
                </c:pt>
                <c:pt idx="11">
                  <c:v>5.1254317567901192E-2</c:v>
                </c:pt>
                <c:pt idx="12">
                  <c:v>5.5702104313039291E-2</c:v>
                </c:pt>
                <c:pt idx="13">
                  <c:v>6.0029760699519999E-2</c:v>
                </c:pt>
                <c:pt idx="14">
                  <c:v>6.4237300885929993E-2</c:v>
                </c:pt>
                <c:pt idx="15">
                  <c:v>6.8324696144995298E-2</c:v>
                </c:pt>
                <c:pt idx="16">
                  <c:v>7.2291961045403197E-2</c:v>
                </c:pt>
                <c:pt idx="17">
                  <c:v>7.6139095587153705E-2</c:v>
                </c:pt>
                <c:pt idx="18">
                  <c:v>7.98661122884297E-2</c:v>
                </c:pt>
                <c:pt idx="19">
                  <c:v>8.347298570276479E-2</c:v>
                </c:pt>
                <c:pt idx="20">
                  <c:v>8.6959728758442503E-2</c:v>
                </c:pt>
                <c:pt idx="21">
                  <c:v>9.0326352743342497E-2</c:v>
                </c:pt>
                <c:pt idx="22">
                  <c:v>9.3572834671604793E-2</c:v>
                </c:pt>
                <c:pt idx="23">
                  <c:v>9.6699186241209711E-2</c:v>
                </c:pt>
                <c:pt idx="24">
                  <c:v>9.9705417509733718E-2</c:v>
                </c:pt>
                <c:pt idx="25">
                  <c:v>0.10259150795192321</c:v>
                </c:pt>
                <c:pt idx="26">
                  <c:v>0.10535746803545532</c:v>
                </c:pt>
                <c:pt idx="27">
                  <c:v>0.10800329776033002</c:v>
                </c:pt>
                <c:pt idx="28">
                  <c:v>0.11052900554371997</c:v>
                </c:pt>
                <c:pt idx="29">
                  <c:v>0.1129345741411793</c:v>
                </c:pt>
                <c:pt idx="30">
                  <c:v>0.1152200123799812</c:v>
                </c:pt>
                <c:pt idx="31">
                  <c:v>0.11738532744699517</c:v>
                </c:pt>
                <c:pt idx="32">
                  <c:v>0.11943050455838167</c:v>
                </c:pt>
                <c:pt idx="33">
                  <c:v>0.12135555131111081</c:v>
                </c:pt>
                <c:pt idx="34">
                  <c:v>0.12316046770518249</c:v>
                </c:pt>
                <c:pt idx="35">
                  <c:v>0.12484525928706247</c:v>
                </c:pt>
                <c:pt idx="36">
                  <c:v>0.12640991455371878</c:v>
                </c:pt>
                <c:pt idx="37">
                  <c:v>0.12785443946171771</c:v>
                </c:pt>
                <c:pt idx="38">
                  <c:v>0.12917883832722171</c:v>
                </c:pt>
                <c:pt idx="39">
                  <c:v>0.13038310210780518</c:v>
                </c:pt>
                <c:pt idx="40">
                  <c:v>0.1314672355297313</c:v>
                </c:pt>
                <c:pt idx="41">
                  <c:v>0.13243124167885933</c:v>
                </c:pt>
                <c:pt idx="42">
                  <c:v>0.13327511397336994</c:v>
                </c:pt>
                <c:pt idx="43">
                  <c:v>0.13399885590922331</c:v>
                </c:pt>
                <c:pt idx="44">
                  <c:v>0.13460246748641921</c:v>
                </c:pt>
                <c:pt idx="45">
                  <c:v>0.13508595015041319</c:v>
                </c:pt>
                <c:pt idx="46">
                  <c:v>0.13544930060019369</c:v>
                </c:pt>
                <c:pt idx="47">
                  <c:v>0.13569252069131679</c:v>
                </c:pt>
                <c:pt idx="48">
                  <c:v>0.13581561063893477</c:v>
                </c:pt>
                <c:pt idx="49">
                  <c:v>0.13581856960264249</c:v>
                </c:pt>
                <c:pt idx="50">
                  <c:v>0.13570139820769281</c:v>
                </c:pt>
                <c:pt idx="51">
                  <c:v>0.13546409645408569</c:v>
                </c:pt>
                <c:pt idx="52">
                  <c:v>0.13510666291656967</c:v>
                </c:pt>
                <c:pt idx="53">
                  <c:v>0.13462910003554718</c:v>
                </c:pt>
                <c:pt idx="54">
                  <c:v>0.13403140679586731</c:v>
                </c:pt>
                <c:pt idx="55">
                  <c:v>0.13331358054197531</c:v>
                </c:pt>
                <c:pt idx="56">
                  <c:v>0.13247562617488001</c:v>
                </c:pt>
                <c:pt idx="57">
                  <c:v>0.13151754144912733</c:v>
                </c:pt>
                <c:pt idx="58">
                  <c:v>0.1304393263647172</c:v>
                </c:pt>
                <c:pt idx="59">
                  <c:v>0.1292409766256912</c:v>
                </c:pt>
                <c:pt idx="60">
                  <c:v>0.12792250041386571</c:v>
                </c:pt>
                <c:pt idx="61">
                  <c:v>0.12648389384338279</c:v>
                </c:pt>
                <c:pt idx="62">
                  <c:v>0.12492515138798083</c:v>
                </c:pt>
                <c:pt idx="63">
                  <c:v>0.1232462836900825</c:v>
                </c:pt>
                <c:pt idx="64">
                  <c:v>0.1214472856335268</c:v>
                </c:pt>
                <c:pt idx="65">
                  <c:v>0.11952815046174881</c:v>
                </c:pt>
                <c:pt idx="66">
                  <c:v>0.11748889127777773</c:v>
                </c:pt>
                <c:pt idx="67">
                  <c:v>0.11532950173514916</c:v>
                </c:pt>
                <c:pt idx="68">
                  <c:v>0.11304998183386333</c:v>
                </c:pt>
                <c:pt idx="69">
                  <c:v>0.11065032317695128</c:v>
                </c:pt>
                <c:pt idx="70">
                  <c:v>0.10813054214824996</c:v>
                </c:pt>
                <c:pt idx="71">
                  <c:v>0.10549063076089127</c:v>
                </c:pt>
                <c:pt idx="72">
                  <c:v>0.10273057938760327</c:v>
                </c:pt>
                <c:pt idx="73">
                  <c:v>9.9850406872829145E-2</c:v>
                </c:pt>
                <c:pt idx="74">
                  <c:v>9.6850103999397696E-2</c:v>
                </c:pt>
                <c:pt idx="75">
                  <c:v>9.372967076730887E-2</c:v>
                </c:pt>
                <c:pt idx="76">
                  <c:v>9.0489095908886819E-2</c:v>
                </c:pt>
                <c:pt idx="77">
                  <c:v>8.7128401549382506E-2</c:v>
                </c:pt>
                <c:pt idx="78">
                  <c:v>8.364757683122076E-2</c:v>
                </c:pt>
                <c:pt idx="79">
                  <c:v>8.0046609256422818E-2</c:v>
                </c:pt>
                <c:pt idx="80">
                  <c:v>7.6325523410845808E-2</c:v>
                </c:pt>
                <c:pt idx="81">
                  <c:v>7.2484307206611198E-2</c:v>
                </c:pt>
                <c:pt idx="82">
                  <c:v>6.8522946915437144E-2</c:v>
                </c:pt>
                <c:pt idx="83">
                  <c:v>6.444146958378727E-2</c:v>
                </c:pt>
                <c:pt idx="84">
                  <c:v>6.0239861893479962E-2</c:v>
                </c:pt>
                <c:pt idx="85">
                  <c:v>5.5918123844515277E-2</c:v>
                </c:pt>
                <c:pt idx="86">
                  <c:v>5.1476240068207335E-2</c:v>
                </c:pt>
                <c:pt idx="87">
                  <c:v>4.6914240891827164E-2</c:v>
                </c:pt>
                <c:pt idx="88">
                  <c:v>4.2232111356789725E-2</c:v>
                </c:pt>
                <c:pt idx="89">
                  <c:v>3.7429834864105671E-2</c:v>
                </c:pt>
                <c:pt idx="90">
                  <c:v>3.2507444201652747E-2</c:v>
                </c:pt>
                <c:pt idx="91">
                  <c:v>2.74649231805425E-2</c:v>
                </c:pt>
                <c:pt idx="92">
                  <c:v>2.230227180077482E-2</c:v>
                </c:pt>
                <c:pt idx="93">
                  <c:v>1.7019471822956822E-2</c:v>
                </c:pt>
                <c:pt idx="94">
                  <c:v>1.1616559315773656E-2</c:v>
                </c:pt>
                <c:pt idx="95">
                  <c:v>6.0935164499330563E-3</c:v>
                </c:pt>
                <c:pt idx="96">
                  <c:v>4.5032375573916816E-4</c:v>
                </c:pt>
                <c:pt idx="97">
                  <c:v>-5.3129802375166957E-3</c:v>
                </c:pt>
                <c:pt idx="98">
                  <c:v>-1.1196414589429993E-2</c:v>
                </c:pt>
                <c:pt idx="99">
                  <c:v>-1.7199999999999993E-2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27440"/>
        <c:axId val="537027832"/>
      </c:scatterChart>
      <c:valAx>
        <c:axId val="53702744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027832"/>
        <c:crosses val="autoZero"/>
        <c:crossBetween val="midCat"/>
      </c:valAx>
      <c:valAx>
        <c:axId val="53702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02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563433667781494"/>
                  <c:y val="8.69713160854893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'TLmeas 43.pvc'!$T$7:$T$106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43.pvc'!$U$7:$U$106</c:f>
              <c:numCache>
                <c:formatCode>0.00</c:formatCode>
                <c:ptCount val="100"/>
                <c:pt idx="0">
                  <c:v>0.14624739997926112</c:v>
                </c:pt>
                <c:pt idx="1">
                  <c:v>7.5743234502134202E-2</c:v>
                </c:pt>
                <c:pt idx="2">
                  <c:v>-4.9732015594846461E-2</c:v>
                </c:pt>
                <c:pt idx="3">
                  <c:v>0.25459679478494474</c:v>
                </c:pt>
                <c:pt idx="4">
                  <c:v>0.10124576412078193</c:v>
                </c:pt>
                <c:pt idx="5">
                  <c:v>-1.6009385949376932E-2</c:v>
                </c:pt>
                <c:pt idx="6">
                  <c:v>-0.10878478978776546</c:v>
                </c:pt>
                <c:pt idx="7">
                  <c:v>-6.2075688662428991E-2</c:v>
                </c:pt>
                <c:pt idx="8">
                  <c:v>8.0606987637967337E-2</c:v>
                </c:pt>
                <c:pt idx="9">
                  <c:v>0.12527300823492094</c:v>
                </c:pt>
                <c:pt idx="10">
                  <c:v>1.4123196023360573E-2</c:v>
                </c:pt>
                <c:pt idx="11">
                  <c:v>0.13519962826723864</c:v>
                </c:pt>
                <c:pt idx="12">
                  <c:v>6.0150570920967983E-2</c:v>
                </c:pt>
                <c:pt idx="13">
                  <c:v>5.0344722208299367E-3</c:v>
                </c:pt>
                <c:pt idx="14">
                  <c:v>3.5522492068880349E-2</c:v>
                </c:pt>
                <c:pt idx="15">
                  <c:v>8.2301990011749579E-2</c:v>
                </c:pt>
                <c:pt idx="16">
                  <c:v>0.1179986268315051</c:v>
                </c:pt>
                <c:pt idx="17">
                  <c:v>9.8034474123026849E-2</c:v>
                </c:pt>
                <c:pt idx="18">
                  <c:v>0.11959542448355705</c:v>
                </c:pt>
                <c:pt idx="19">
                  <c:v>6.6933444794869942E-2</c:v>
                </c:pt>
                <c:pt idx="20">
                  <c:v>0.59149190289594289</c:v>
                </c:pt>
                <c:pt idx="21">
                  <c:v>0.10118616755970478</c:v>
                </c:pt>
                <c:pt idx="22">
                  <c:v>4.4690711226848867E-2</c:v>
                </c:pt>
                <c:pt idx="23">
                  <c:v>6.3207360735346954E-2</c:v>
                </c:pt>
                <c:pt idx="24">
                  <c:v>0.14024262673481142</c:v>
                </c:pt>
                <c:pt idx="25">
                  <c:v>7.2989546371466762E-2</c:v>
                </c:pt>
                <c:pt idx="26">
                  <c:v>7.7340203126416859E-2</c:v>
                </c:pt>
                <c:pt idx="27">
                  <c:v>0.17782326048844038</c:v>
                </c:pt>
                <c:pt idx="28">
                  <c:v>0.13743765430335692</c:v>
                </c:pt>
                <c:pt idx="29">
                  <c:v>2.2773700516290622E-2</c:v>
                </c:pt>
                <c:pt idx="30">
                  <c:v>8.199796544665143E-2</c:v>
                </c:pt>
                <c:pt idx="31">
                  <c:v>0.10684553379658228</c:v>
                </c:pt>
                <c:pt idx="32">
                  <c:v>8.842774456545574E-2</c:v>
                </c:pt>
                <c:pt idx="33">
                  <c:v>-0.1284983606863469</c:v>
                </c:pt>
                <c:pt idx="34">
                  <c:v>0.10333188320553335</c:v>
                </c:pt>
                <c:pt idx="35">
                  <c:v>0.13738143271469902</c:v>
                </c:pt>
                <c:pt idx="36">
                  <c:v>0.22828408046608298</c:v>
                </c:pt>
                <c:pt idx="37">
                  <c:v>0.13884124688579458</c:v>
                </c:pt>
                <c:pt idx="38">
                  <c:v>0.13640870069610306</c:v>
                </c:pt>
                <c:pt idx="39">
                  <c:v>0.15927863101578293</c:v>
                </c:pt>
                <c:pt idx="40">
                  <c:v>0.18551716156479489</c:v>
                </c:pt>
                <c:pt idx="41">
                  <c:v>0.13619980552519254</c:v>
                </c:pt>
                <c:pt idx="42">
                  <c:v>0.16349059028913426</c:v>
                </c:pt>
                <c:pt idx="43">
                  <c:v>0.15008180528203097</c:v>
                </c:pt>
                <c:pt idx="44">
                  <c:v>0.15437728824805444</c:v>
                </c:pt>
                <c:pt idx="45">
                  <c:v>0.16060790950495926</c:v>
                </c:pt>
                <c:pt idx="46">
                  <c:v>0.16711632319951999</c:v>
                </c:pt>
                <c:pt idx="47">
                  <c:v>0.11051418394791604</c:v>
                </c:pt>
                <c:pt idx="48">
                  <c:v>0.1860075714427277</c:v>
                </c:pt>
                <c:pt idx="49">
                  <c:v>0.18687321203892704</c:v>
                </c:pt>
                <c:pt idx="50">
                  <c:v>0.18402410306299138</c:v>
                </c:pt>
                <c:pt idx="51">
                  <c:v>0.22099134993323188</c:v>
                </c:pt>
                <c:pt idx="52">
                  <c:v>0.18450473858385455</c:v>
                </c:pt>
                <c:pt idx="53">
                  <c:v>0.20113053601452235</c:v>
                </c:pt>
                <c:pt idx="54">
                  <c:v>0.19619733387705576</c:v>
                </c:pt>
                <c:pt idx="55">
                  <c:v>0.16754226331989402</c:v>
                </c:pt>
                <c:pt idx="56">
                  <c:v>0.16813945560653162</c:v>
                </c:pt>
                <c:pt idx="57">
                  <c:v>0.1726278217976282</c:v>
                </c:pt>
                <c:pt idx="58">
                  <c:v>0.18634121438440873</c:v>
                </c:pt>
                <c:pt idx="59">
                  <c:v>0.16261438891126492</c:v>
                </c:pt>
                <c:pt idx="60">
                  <c:v>0.19118589454135976</c:v>
                </c:pt>
                <c:pt idx="61">
                  <c:v>0.1637451538187108</c:v>
                </c:pt>
                <c:pt idx="62">
                  <c:v>0.31101150976161579</c:v>
                </c:pt>
                <c:pt idx="63">
                  <c:v>0.18854290918246408</c:v>
                </c:pt>
                <c:pt idx="64">
                  <c:v>0.20192303210191084</c:v>
                </c:pt>
                <c:pt idx="65">
                  <c:v>0.18124362078160983</c:v>
                </c:pt>
                <c:pt idx="66">
                  <c:v>0.19146772835074755</c:v>
                </c:pt>
                <c:pt idx="67">
                  <c:v>0.19701594561385866</c:v>
                </c:pt>
                <c:pt idx="68">
                  <c:v>0.17660315728192796</c:v>
                </c:pt>
                <c:pt idx="69">
                  <c:v>0.17691750112862303</c:v>
                </c:pt>
                <c:pt idx="70">
                  <c:v>0.21153919598593154</c:v>
                </c:pt>
                <c:pt idx="71">
                  <c:v>0.16917803628366462</c:v>
                </c:pt>
                <c:pt idx="72">
                  <c:v>0.16474443333061919</c:v>
                </c:pt>
                <c:pt idx="73">
                  <c:v>0.21840108601005881</c:v>
                </c:pt>
                <c:pt idx="74">
                  <c:v>0.19931650228919467</c:v>
                </c:pt>
                <c:pt idx="75">
                  <c:v>0.1838608985067342</c:v>
                </c:pt>
                <c:pt idx="76">
                  <c:v>0.19053171114806852</c:v>
                </c:pt>
                <c:pt idx="77">
                  <c:v>0.22284170911318879</c:v>
                </c:pt>
                <c:pt idx="78">
                  <c:v>0.20423633120280463</c:v>
                </c:pt>
                <c:pt idx="79">
                  <c:v>0.21594331632046967</c:v>
                </c:pt>
                <c:pt idx="80">
                  <c:v>0.18163686110850699</c:v>
                </c:pt>
                <c:pt idx="81">
                  <c:v>0.18245303463475751</c:v>
                </c:pt>
                <c:pt idx="82">
                  <c:v>0.1921602215134473</c:v>
                </c:pt>
                <c:pt idx="83">
                  <c:v>0.15969072504245369</c:v>
                </c:pt>
                <c:pt idx="84">
                  <c:v>0.16084679757250211</c:v>
                </c:pt>
                <c:pt idx="85">
                  <c:v>0.14440964557573518</c:v>
                </c:pt>
                <c:pt idx="86">
                  <c:v>0.23097645781445406</c:v>
                </c:pt>
                <c:pt idx="87">
                  <c:v>0.16930753037172303</c:v>
                </c:pt>
                <c:pt idx="88">
                  <c:v>0.14176658075147708</c:v>
                </c:pt>
                <c:pt idx="89">
                  <c:v>0.13986310422019702</c:v>
                </c:pt>
                <c:pt idx="90">
                  <c:v>0.14941638215446029</c:v>
                </c:pt>
                <c:pt idx="91">
                  <c:v>0.148783811076206</c:v>
                </c:pt>
                <c:pt idx="92">
                  <c:v>0.1394233529011937</c:v>
                </c:pt>
                <c:pt idx="93">
                  <c:v>0.16330261405788721</c:v>
                </c:pt>
                <c:pt idx="94">
                  <c:v>0.17634215886505269</c:v>
                </c:pt>
                <c:pt idx="95">
                  <c:v>0.20805964665571416</c:v>
                </c:pt>
                <c:pt idx="96">
                  <c:v>0.16664266890077581</c:v>
                </c:pt>
                <c:pt idx="97">
                  <c:v>0.19591834319090159</c:v>
                </c:pt>
                <c:pt idx="98">
                  <c:v>0.15245187826150833</c:v>
                </c:pt>
                <c:pt idx="99">
                  <c:v>0.25281082052159964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28616"/>
        <c:axId val="537268568"/>
      </c:scatterChart>
      <c:valAx>
        <c:axId val="5370286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68568"/>
        <c:crosses val="autoZero"/>
        <c:crossBetween val="midCat"/>
      </c:valAx>
      <c:valAx>
        <c:axId val="53726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028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'TLmeas 43.pvc'!$T$7:$T$106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43.pvc'!$V$7:$V$106</c:f>
              <c:numCache>
                <c:formatCode>0.00</c:formatCode>
                <c:ptCount val="100"/>
                <c:pt idx="0">
                  <c:v>1.0319981681209078</c:v>
                </c:pt>
                <c:pt idx="1">
                  <c:v>1.0394673160966577</c:v>
                </c:pt>
                <c:pt idx="2">
                  <c:v>1.0448871582467691</c:v>
                </c:pt>
                <c:pt idx="3">
                  <c:v>1.0789436179895204</c:v>
                </c:pt>
                <c:pt idx="4">
                  <c:v>1.1268889916192293</c:v>
                </c:pt>
                <c:pt idx="5">
                  <c:v>1.1531858567146243</c:v>
                </c:pt>
                <c:pt idx="6">
                  <c:v>1.1750929045572127</c:v>
                </c:pt>
                <c:pt idx="7">
                  <c:v>1.1943731835341074</c:v>
                </c:pt>
                <c:pt idx="8">
                  <c:v>1.2119754266068254</c:v>
                </c:pt>
                <c:pt idx="9">
                  <c:v>1.2277115396864344</c:v>
                </c:pt>
                <c:pt idx="10">
                  <c:v>1.2446439309506028</c:v>
                </c:pt>
                <c:pt idx="11">
                  <c:v>1.2609891114054688</c:v>
                </c:pt>
                <c:pt idx="12">
                  <c:v>1.2778405209180725</c:v>
                </c:pt>
                <c:pt idx="13">
                  <c:v>1.2961383541192271</c:v>
                </c:pt>
                <c:pt idx="14">
                  <c:v>1.3136987537469249</c:v>
                </c:pt>
                <c:pt idx="15">
                  <c:v>1.3329832705086981</c:v>
                </c:pt>
                <c:pt idx="16">
                  <c:v>1.3500530969698255</c:v>
                </c:pt>
                <c:pt idx="17">
                  <c:v>1.3687950275557399</c:v>
                </c:pt>
                <c:pt idx="18">
                  <c:v>1.3851609205329087</c:v>
                </c:pt>
                <c:pt idx="19">
                  <c:v>1.4067597209918523</c:v>
                </c:pt>
                <c:pt idx="20">
                  <c:v>1.4280001251036447</c:v>
                </c:pt>
                <c:pt idx="21">
                  <c:v>1.4464180558099631</c:v>
                </c:pt>
                <c:pt idx="22">
                  <c:v>1.466971406722585</c:v>
                </c:pt>
                <c:pt idx="23">
                  <c:v>1.4844842287385021</c:v>
                </c:pt>
                <c:pt idx="24">
                  <c:v>1.5073546131110247</c:v>
                </c:pt>
                <c:pt idx="25">
                  <c:v>1.5241431028066013</c:v>
                </c:pt>
                <c:pt idx="26">
                  <c:v>1.5481535221738918</c:v>
                </c:pt>
                <c:pt idx="27">
                  <c:v>1.5693713026546192</c:v>
                </c:pt>
                <c:pt idx="28">
                  <c:v>1.5880084277241842</c:v>
                </c:pt>
                <c:pt idx="29">
                  <c:v>1.6126518206564378</c:v>
                </c:pt>
                <c:pt idx="30">
                  <c:v>1.633145450057657</c:v>
                </c:pt>
                <c:pt idx="31">
                  <c:v>1.6519215445071764</c:v>
                </c:pt>
                <c:pt idx="32">
                  <c:v>1.6799623471455771</c:v>
                </c:pt>
                <c:pt idx="33">
                  <c:v>1.7023229097146615</c:v>
                </c:pt>
                <c:pt idx="34">
                  <c:v>1.7295233271116659</c:v>
                </c:pt>
                <c:pt idx="35">
                  <c:v>1.7581631757118295</c:v>
                </c:pt>
                <c:pt idx="36">
                  <c:v>1.7762236164567278</c:v>
                </c:pt>
                <c:pt idx="37">
                  <c:v>1.8047147425275893</c:v>
                </c:pt>
                <c:pt idx="38">
                  <c:v>1.8320722883813192</c:v>
                </c:pt>
                <c:pt idx="39">
                  <c:v>1.8558350607969962</c:v>
                </c:pt>
                <c:pt idx="40">
                  <c:v>1.8826471117219796</c:v>
                </c:pt>
                <c:pt idx="41">
                  <c:v>1.9082143305930519</c:v>
                </c:pt>
                <c:pt idx="42">
                  <c:v>1.9395226502876461</c:v>
                </c:pt>
                <c:pt idx="43">
                  <c:v>1.962252294811863</c:v>
                </c:pt>
                <c:pt idx="44">
                  <c:v>1.9932794865311352</c:v>
                </c:pt>
                <c:pt idx="45">
                  <c:v>2.0212551226404911</c:v>
                </c:pt>
                <c:pt idx="46">
                  <c:v>2.0418520241379294</c:v>
                </c:pt>
                <c:pt idx="47">
                  <c:v>2.0765764748053193</c:v>
                </c:pt>
                <c:pt idx="48">
                  <c:v>2.1090147840690592</c:v>
                </c:pt>
                <c:pt idx="49">
                  <c:v>2.1304210914988966</c:v>
                </c:pt>
                <c:pt idx="50">
                  <c:v>2.156845081968966</c:v>
                </c:pt>
                <c:pt idx="51">
                  <c:v>2.1835631595783331</c:v>
                </c:pt>
                <c:pt idx="52">
                  <c:v>2.2213664256876373</c:v>
                </c:pt>
                <c:pt idx="53">
                  <c:v>2.2457639202748378</c:v>
                </c:pt>
                <c:pt idx="54">
                  <c:v>2.2769427755709097</c:v>
                </c:pt>
                <c:pt idx="55">
                  <c:v>2.3003794427075093</c:v>
                </c:pt>
                <c:pt idx="56">
                  <c:v>2.3350840971569959</c:v>
                </c:pt>
                <c:pt idx="57">
                  <c:v>2.3735394057435073</c:v>
                </c:pt>
                <c:pt idx="58">
                  <c:v>2.4180922897328339</c:v>
                </c:pt>
                <c:pt idx="59">
                  <c:v>2.4317904287339758</c:v>
                </c:pt>
                <c:pt idx="60">
                  <c:v>2.4583368843680025</c:v>
                </c:pt>
                <c:pt idx="61">
                  <c:v>2.4970952618385134</c:v>
                </c:pt>
                <c:pt idx="62">
                  <c:v>2.5219712789634183</c:v>
                </c:pt>
                <c:pt idx="63">
                  <c:v>2.562547729352405</c:v>
                </c:pt>
                <c:pt idx="64">
                  <c:v>2.6022570612998641</c:v>
                </c:pt>
                <c:pt idx="65">
                  <c:v>2.6174129386635867</c:v>
                </c:pt>
                <c:pt idx="66">
                  <c:v>2.6594893346059023</c:v>
                </c:pt>
                <c:pt idx="67">
                  <c:v>2.6950576757518299</c:v>
                </c:pt>
                <c:pt idx="68">
                  <c:v>2.7228524800439922</c:v>
                </c:pt>
                <c:pt idx="69">
                  <c:v>2.7578165569332427</c:v>
                </c:pt>
                <c:pt idx="70">
                  <c:v>2.7912330018982345</c:v>
                </c:pt>
                <c:pt idx="71">
                  <c:v>2.8263406324181375</c:v>
                </c:pt>
                <c:pt idx="72">
                  <c:v>2.8550750778398823</c:v>
                </c:pt>
                <c:pt idx="73">
                  <c:v>2.8851600708303686</c:v>
                </c:pt>
                <c:pt idx="74">
                  <c:v>2.9197094698350696</c:v>
                </c:pt>
                <c:pt idx="75">
                  <c:v>2.9552914384268503</c:v>
                </c:pt>
                <c:pt idx="76">
                  <c:v>3.0003536239032331</c:v>
                </c:pt>
                <c:pt idx="77">
                  <c:v>3.0157032470847742</c:v>
                </c:pt>
                <c:pt idx="78">
                  <c:v>3.0516887961752555</c:v>
                </c:pt>
                <c:pt idx="79">
                  <c:v>3.0943632996267127</c:v>
                </c:pt>
                <c:pt idx="80">
                  <c:v>3.1306796934874392</c:v>
                </c:pt>
                <c:pt idx="81">
                  <c:v>3.1643101626776091</c:v>
                </c:pt>
                <c:pt idx="82">
                  <c:v>3.1843083497446374</c:v>
                </c:pt>
                <c:pt idx="83">
                  <c:v>3.2429835982650435</c:v>
                </c:pt>
                <c:pt idx="84">
                  <c:v>3.2752611378427856</c:v>
                </c:pt>
                <c:pt idx="85">
                  <c:v>3.3115779763126061</c:v>
                </c:pt>
                <c:pt idx="86">
                  <c:v>3.31692592325372</c:v>
                </c:pt>
                <c:pt idx="87">
                  <c:v>3.381292045092589</c:v>
                </c:pt>
                <c:pt idx="88">
                  <c:v>3.4208999697488194</c:v>
                </c:pt>
                <c:pt idx="89">
                  <c:v>3.4475282974133656</c:v>
                </c:pt>
                <c:pt idx="90">
                  <c:v>3.4837739074708276</c:v>
                </c:pt>
                <c:pt idx="91">
                  <c:v>3.530730648673098</c:v>
                </c:pt>
                <c:pt idx="92">
                  <c:v>3.5695885232877802</c:v>
                </c:pt>
                <c:pt idx="93">
                  <c:v>3.5933500000567458</c:v>
                </c:pt>
                <c:pt idx="94">
                  <c:v>3.6351201070374102</c:v>
                </c:pt>
                <c:pt idx="95">
                  <c:v>3.6512475029012617</c:v>
                </c:pt>
                <c:pt idx="96">
                  <c:v>3.699436268526763</c:v>
                </c:pt>
                <c:pt idx="97">
                  <c:v>3.7298173878238217</c:v>
                </c:pt>
                <c:pt idx="98">
                  <c:v>3.7699793255175753</c:v>
                </c:pt>
                <c:pt idx="99">
                  <c:v>3.7814712594211279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269352"/>
        <c:axId val="537269744"/>
      </c:scatterChart>
      <c:valAx>
        <c:axId val="53726935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69744"/>
        <c:crosses val="autoZero"/>
        <c:crossBetween val="midCat"/>
      </c:valAx>
      <c:valAx>
        <c:axId val="53726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69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none"/>
            </c:marker>
            <c:bubble3D val="0"/>
          </c:dPt>
          <c:xVal>
            <c:numRef>
              <c:f>'TLmeas 43.pvc'!$X$7:$X$106</c:f>
              <c:numCache>
                <c:formatCode>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43.pvc'!$Y$7:$Y$106</c:f>
              <c:numCache>
                <c:formatCode>0.00</c:formatCode>
                <c:ptCount val="100"/>
                <c:pt idx="0">
                  <c:v>-1.06E-2</c:v>
                </c:pt>
                <c:pt idx="1">
                  <c:v>-6.7883723197123026E-3</c:v>
                </c:pt>
                <c:pt idx="2">
                  <c:v>-3.0282290788491983E-3</c:v>
                </c:pt>
                <c:pt idx="3">
                  <c:v>6.8042972258930065E-4</c:v>
                </c:pt>
                <c:pt idx="4">
                  <c:v>4.3376164815733011E-3</c:v>
                </c:pt>
                <c:pt idx="5">
                  <c:v>7.9433062284052017E-3</c:v>
                </c:pt>
                <c:pt idx="6">
                  <c:v>1.14975115358125E-2</c:v>
                </c:pt>
                <c:pt idx="7">
                  <c:v>1.5000244273492495E-2</c:v>
                </c:pt>
                <c:pt idx="8">
                  <c:v>1.8451480526293203E-2</c:v>
                </c:pt>
                <c:pt idx="9">
                  <c:v>2.1851232339669305E-2</c:v>
                </c:pt>
                <c:pt idx="10">
                  <c:v>2.5199499713620795E-2</c:v>
                </c:pt>
                <c:pt idx="11">
                  <c:v>2.8496293814814812E-2</c:v>
                </c:pt>
                <c:pt idx="12">
                  <c:v>3.1741592134159703E-2</c:v>
                </c:pt>
                <c:pt idx="13">
                  <c:v>3.4935406014080003E-2</c:v>
                </c:pt>
                <c:pt idx="14">
                  <c:v>3.8077746093969994E-2</c:v>
                </c:pt>
                <c:pt idx="15">
                  <c:v>4.1168590919283689E-2</c:v>
                </c:pt>
                <c:pt idx="16">
                  <c:v>4.4207951305172792E-2</c:v>
                </c:pt>
                <c:pt idx="17">
                  <c:v>4.7195827251637297E-2</c:v>
                </c:pt>
                <c:pt idx="18">
                  <c:v>5.0132228695041296E-2</c:v>
                </c:pt>
                <c:pt idx="19">
                  <c:v>5.3017135586899196E-2</c:v>
                </c:pt>
                <c:pt idx="20">
                  <c:v>5.5850558039332497E-2</c:v>
                </c:pt>
                <c:pt idx="21">
                  <c:v>5.8632505461432498E-2</c:v>
                </c:pt>
                <c:pt idx="22">
                  <c:v>6.1362958859259208E-2</c:v>
                </c:pt>
                <c:pt idx="23">
                  <c:v>6.4041927817661298E-2</c:v>
                </c:pt>
                <c:pt idx="24">
                  <c:v>6.6669421218457314E-2</c:v>
                </c:pt>
                <c:pt idx="25">
                  <c:v>6.924542112225282E-2</c:v>
                </c:pt>
                <c:pt idx="26">
                  <c:v>7.17699365866237E-2</c:v>
                </c:pt>
                <c:pt idx="27">
                  <c:v>7.424296761157001E-2</c:v>
                </c:pt>
                <c:pt idx="28">
                  <c:v>7.6664522375880007E-2</c:v>
                </c:pt>
                <c:pt idx="29">
                  <c:v>7.9034584346219683E-2</c:v>
                </c:pt>
                <c:pt idx="30">
                  <c:v>8.1353161877134816E-2</c:v>
                </c:pt>
                <c:pt idx="31">
                  <c:v>8.3620262620140801E-2</c:v>
                </c:pt>
                <c:pt idx="32">
                  <c:v>8.5835871096449301E-2</c:v>
                </c:pt>
                <c:pt idx="33">
                  <c:v>8.7999995133333203E-2</c:v>
                </c:pt>
                <c:pt idx="34">
                  <c:v>9.0112634730792507E-2</c:v>
                </c:pt>
                <c:pt idx="35">
                  <c:v>9.2173796837312499E-2</c:v>
                </c:pt>
                <c:pt idx="36">
                  <c:v>9.4183467380165198E-2</c:v>
                </c:pt>
                <c:pt idx="37">
                  <c:v>9.6141653483593298E-2</c:v>
                </c:pt>
                <c:pt idx="38">
                  <c:v>9.8048361568809306E-2</c:v>
                </c:pt>
                <c:pt idx="39">
                  <c:v>9.99035786176308E-2</c:v>
                </c:pt>
                <c:pt idx="40">
                  <c:v>0.10170731122702772</c:v>
                </c:pt>
                <c:pt idx="41">
                  <c:v>0.10345956529093972</c:v>
                </c:pt>
                <c:pt idx="42">
                  <c:v>0.10516032884573001</c:v>
                </c:pt>
                <c:pt idx="43">
                  <c:v>0.1068096079610957</c:v>
                </c:pt>
                <c:pt idx="44">
                  <c:v>0.10840740263703683</c:v>
                </c:pt>
                <c:pt idx="45">
                  <c:v>0.10995371806446283</c:v>
                </c:pt>
                <c:pt idx="46">
                  <c:v>0.11144854368579732</c:v>
                </c:pt>
                <c:pt idx="47">
                  <c:v>0.11289188486770721</c:v>
                </c:pt>
                <c:pt idx="48">
                  <c:v>0.11428374627382923</c:v>
                </c:pt>
                <c:pt idx="49">
                  <c:v>0.11562411840113251</c:v>
                </c:pt>
                <c:pt idx="50">
                  <c:v>0.11691300608901123</c:v>
                </c:pt>
                <c:pt idx="51">
                  <c:v>0.11815040933746532</c:v>
                </c:pt>
                <c:pt idx="52">
                  <c:v>0.11933633210710132</c:v>
                </c:pt>
                <c:pt idx="53">
                  <c:v>0.1204707663009488</c:v>
                </c:pt>
                <c:pt idx="54">
                  <c:v>0.12155371605537171</c:v>
                </c:pt>
                <c:pt idx="55">
                  <c:v>0.12258518480370373</c:v>
                </c:pt>
                <c:pt idx="56">
                  <c:v>0.12356516550352004</c:v>
                </c:pt>
                <c:pt idx="57">
                  <c:v>0.12449366176391172</c:v>
                </c:pt>
                <c:pt idx="58">
                  <c:v>0.12537067358487883</c:v>
                </c:pt>
                <c:pt idx="59">
                  <c:v>0.12619620369672482</c:v>
                </c:pt>
                <c:pt idx="60">
                  <c:v>0.12697024646308533</c:v>
                </c:pt>
                <c:pt idx="61">
                  <c:v>0.12769280479002124</c:v>
                </c:pt>
                <c:pt idx="62">
                  <c:v>0.12836388088056325</c:v>
                </c:pt>
                <c:pt idx="63">
                  <c:v>0.12898347015289255</c:v>
                </c:pt>
                <c:pt idx="64">
                  <c:v>0.1295515749857972</c:v>
                </c:pt>
                <c:pt idx="65">
                  <c:v>0.13006819705503522</c:v>
                </c:pt>
                <c:pt idx="66">
                  <c:v>0.13053333283333335</c:v>
                </c:pt>
                <c:pt idx="67">
                  <c:v>0.13094698417220682</c:v>
                </c:pt>
                <c:pt idx="68">
                  <c:v>0.13130915107165575</c:v>
                </c:pt>
                <c:pt idx="69">
                  <c:v>0.13161983450440776</c:v>
                </c:pt>
                <c:pt idx="70">
                  <c:v>0.13187903234925002</c:v>
                </c:pt>
                <c:pt idx="71">
                  <c:v>0.13208674575466772</c:v>
                </c:pt>
                <c:pt idx="72">
                  <c:v>0.13224297516611574</c:v>
                </c:pt>
                <c:pt idx="73">
                  <c:v>0.13234771951692681</c:v>
                </c:pt>
                <c:pt idx="74">
                  <c:v>0.13240097942831333</c:v>
                </c:pt>
                <c:pt idx="75">
                  <c:v>0.13240275490027525</c:v>
                </c:pt>
                <c:pt idx="76">
                  <c:v>0.13235304567523723</c:v>
                </c:pt>
                <c:pt idx="77">
                  <c:v>0.13225185209259252</c:v>
                </c:pt>
                <c:pt idx="78">
                  <c:v>0.13209917407052324</c:v>
                </c:pt>
                <c:pt idx="79">
                  <c:v>0.13189501082418123</c:v>
                </c:pt>
                <c:pt idx="80">
                  <c:v>0.13163936374750534</c:v>
                </c:pt>
                <c:pt idx="81">
                  <c:v>0.13133223223140486</c:v>
                </c:pt>
                <c:pt idx="82">
                  <c:v>0.13097361496375881</c:v>
                </c:pt>
                <c:pt idx="83">
                  <c:v>0.13056351439305172</c:v>
                </c:pt>
                <c:pt idx="84">
                  <c:v>0.13010192938292003</c:v>
                </c:pt>
                <c:pt idx="85">
                  <c:v>0.12958885993336369</c:v>
                </c:pt>
                <c:pt idx="86">
                  <c:v>0.12902430402923173</c:v>
                </c:pt>
                <c:pt idx="87">
                  <c:v>0.12840826552506884</c:v>
                </c:pt>
                <c:pt idx="88">
                  <c:v>0.12774074258148133</c:v>
                </c:pt>
                <c:pt idx="89">
                  <c:v>0.12702173265604533</c:v>
                </c:pt>
                <c:pt idx="90">
                  <c:v>0.12625124065785126</c:v>
                </c:pt>
                <c:pt idx="91">
                  <c:v>0.12542926422023251</c:v>
                </c:pt>
                <c:pt idx="92">
                  <c:v>0.12455580334318922</c:v>
                </c:pt>
                <c:pt idx="93">
                  <c:v>0.12363085478126726</c:v>
                </c:pt>
                <c:pt idx="94">
                  <c:v>0.12265442484961733</c:v>
                </c:pt>
                <c:pt idx="95">
                  <c:v>0.12162651047854281</c:v>
                </c:pt>
                <c:pt idx="96">
                  <c:v>0.12054710789531684</c:v>
                </c:pt>
                <c:pt idx="97">
                  <c:v>0.11941622446963571</c:v>
                </c:pt>
                <c:pt idx="98">
                  <c:v>0.11823385660453004</c:v>
                </c:pt>
                <c:pt idx="99">
                  <c:v>0.11700000000000008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22360"/>
        <c:axId val="530322752"/>
      </c:scatterChart>
      <c:valAx>
        <c:axId val="53032236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22752"/>
        <c:crosses val="autoZero"/>
        <c:crossBetween val="midCat"/>
      </c:valAx>
      <c:valAx>
        <c:axId val="53032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2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20381270903010035"/>
                  <c:y val="0.1831786651668541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'TLmeas LO1238 spkr'!$T$7:$T$106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LO1238 spkr'!$U$7:$U$106</c:f>
              <c:numCache>
                <c:formatCode>0.00</c:formatCode>
                <c:ptCount val="100"/>
                <c:pt idx="0">
                  <c:v>2.9496728590914068E-2</c:v>
                </c:pt>
                <c:pt idx="1">
                  <c:v>0.10934884812175569</c:v>
                </c:pt>
                <c:pt idx="2">
                  <c:v>-4.8983880859618099E-2</c:v>
                </c:pt>
                <c:pt idx="3">
                  <c:v>0.19297716744584797</c:v>
                </c:pt>
                <c:pt idx="4">
                  <c:v>9.8185168163593795E-2</c:v>
                </c:pt>
                <c:pt idx="5">
                  <c:v>0.15197559946269165</c:v>
                </c:pt>
                <c:pt idx="6">
                  <c:v>7.6562576570017471E-2</c:v>
                </c:pt>
                <c:pt idx="7">
                  <c:v>8.998002860534679E-2</c:v>
                </c:pt>
                <c:pt idx="8">
                  <c:v>0.11680013025308988</c:v>
                </c:pt>
                <c:pt idx="9">
                  <c:v>0.13005385208983619</c:v>
                </c:pt>
                <c:pt idx="10">
                  <c:v>0.10403098802630273</c:v>
                </c:pt>
                <c:pt idx="11">
                  <c:v>0.1114334832573404</c:v>
                </c:pt>
                <c:pt idx="12">
                  <c:v>0.13854720773290682</c:v>
                </c:pt>
                <c:pt idx="13">
                  <c:v>0.15386034004985832</c:v>
                </c:pt>
                <c:pt idx="14">
                  <c:v>7.1412194477028346E-2</c:v>
                </c:pt>
                <c:pt idx="15">
                  <c:v>0.10587160728955095</c:v>
                </c:pt>
                <c:pt idx="16">
                  <c:v>0.11196555782001875</c:v>
                </c:pt>
                <c:pt idx="17">
                  <c:v>0.11309639583110424</c:v>
                </c:pt>
                <c:pt idx="18">
                  <c:v>0.10462231604853137</c:v>
                </c:pt>
                <c:pt idx="19">
                  <c:v>0.10768126316324042</c:v>
                </c:pt>
                <c:pt idx="20">
                  <c:v>7.4796799144179513E-2</c:v>
                </c:pt>
                <c:pt idx="21">
                  <c:v>8.5266947377280883E-2</c:v>
                </c:pt>
                <c:pt idx="22">
                  <c:v>8.3379599577406732E-2</c:v>
                </c:pt>
                <c:pt idx="23">
                  <c:v>8.9285193925244394E-2</c:v>
                </c:pt>
                <c:pt idx="24">
                  <c:v>0.1565364215127697</c:v>
                </c:pt>
                <c:pt idx="25">
                  <c:v>9.272138862609984E-2</c:v>
                </c:pt>
                <c:pt idx="26">
                  <c:v>0.10510267261097053</c:v>
                </c:pt>
                <c:pt idx="27">
                  <c:v>0.14545942327614841</c:v>
                </c:pt>
                <c:pt idx="28">
                  <c:v>9.2375883308614473E-2</c:v>
                </c:pt>
                <c:pt idx="29">
                  <c:v>8.5088144569126417E-2</c:v>
                </c:pt>
                <c:pt idx="30">
                  <c:v>8.3168881566817898E-2</c:v>
                </c:pt>
                <c:pt idx="31">
                  <c:v>9.6601718527794062E-2</c:v>
                </c:pt>
                <c:pt idx="32">
                  <c:v>0.10358071584026318</c:v>
                </c:pt>
                <c:pt idx="33">
                  <c:v>0.19427551342554272</c:v>
                </c:pt>
                <c:pt idx="34">
                  <c:v>0.10038277514312807</c:v>
                </c:pt>
                <c:pt idx="35">
                  <c:v>0.12830924493530979</c:v>
                </c:pt>
                <c:pt idx="36">
                  <c:v>0.15650749205864636</c:v>
                </c:pt>
                <c:pt idx="37">
                  <c:v>0.10971664717407235</c:v>
                </c:pt>
                <c:pt idx="38">
                  <c:v>0.13181761675752077</c:v>
                </c:pt>
                <c:pt idx="39">
                  <c:v>0.11261069297073019</c:v>
                </c:pt>
                <c:pt idx="40">
                  <c:v>0.14862040543204574</c:v>
                </c:pt>
                <c:pt idx="41">
                  <c:v>0.10543464895760066</c:v>
                </c:pt>
                <c:pt idx="42">
                  <c:v>9.2216715695751184E-2</c:v>
                </c:pt>
                <c:pt idx="43">
                  <c:v>0.12057340835253873</c:v>
                </c:pt>
                <c:pt idx="44">
                  <c:v>0.15028684987338145</c:v>
                </c:pt>
                <c:pt idx="45">
                  <c:v>0.18505260092550013</c:v>
                </c:pt>
                <c:pt idx="46">
                  <c:v>0.17703151779932907</c:v>
                </c:pt>
                <c:pt idx="47">
                  <c:v>0.21679398788526333</c:v>
                </c:pt>
                <c:pt idx="48">
                  <c:v>0.13793240905307164</c:v>
                </c:pt>
                <c:pt idx="49">
                  <c:v>0.15999017986707792</c:v>
                </c:pt>
                <c:pt idx="50">
                  <c:v>0.17971177340012784</c:v>
                </c:pt>
                <c:pt idx="51">
                  <c:v>0.22414797559087485</c:v>
                </c:pt>
                <c:pt idx="52">
                  <c:v>0.16856494995147162</c:v>
                </c:pt>
                <c:pt idx="53">
                  <c:v>0.15913259752355027</c:v>
                </c:pt>
                <c:pt idx="54">
                  <c:v>0.16317135528462945</c:v>
                </c:pt>
                <c:pt idx="55">
                  <c:v>0.15541605900935349</c:v>
                </c:pt>
                <c:pt idx="56">
                  <c:v>0.1511496531241604</c:v>
                </c:pt>
                <c:pt idx="57">
                  <c:v>0.1533506818721726</c:v>
                </c:pt>
                <c:pt idx="58">
                  <c:v>0.23197723321446206</c:v>
                </c:pt>
                <c:pt idx="59">
                  <c:v>0.17427254308809342</c:v>
                </c:pt>
                <c:pt idx="60">
                  <c:v>0.17810820185085469</c:v>
                </c:pt>
                <c:pt idx="61">
                  <c:v>0.1623116149540339</c:v>
                </c:pt>
                <c:pt idx="62">
                  <c:v>0.21626254725030125</c:v>
                </c:pt>
                <c:pt idx="63">
                  <c:v>0.18779292836211592</c:v>
                </c:pt>
                <c:pt idx="64">
                  <c:v>0.18331278428043163</c:v>
                </c:pt>
                <c:pt idx="65">
                  <c:v>0.17508603434996739</c:v>
                </c:pt>
                <c:pt idx="66">
                  <c:v>0.16601698879789839</c:v>
                </c:pt>
                <c:pt idx="67">
                  <c:v>0.16402333036061839</c:v>
                </c:pt>
                <c:pt idx="68">
                  <c:v>0.16433804175313238</c:v>
                </c:pt>
                <c:pt idx="69">
                  <c:v>0.15910847079089191</c:v>
                </c:pt>
                <c:pt idx="70">
                  <c:v>0.1721202344159582</c:v>
                </c:pt>
                <c:pt idx="71">
                  <c:v>0.15432974728979312</c:v>
                </c:pt>
                <c:pt idx="72">
                  <c:v>0.1895893019012026</c:v>
                </c:pt>
                <c:pt idx="73">
                  <c:v>0.14749480825836164</c:v>
                </c:pt>
                <c:pt idx="74">
                  <c:v>0.16592201912438945</c:v>
                </c:pt>
                <c:pt idx="75">
                  <c:v>0.145627100514714</c:v>
                </c:pt>
                <c:pt idx="76">
                  <c:v>0.1459596747498989</c:v>
                </c:pt>
                <c:pt idx="77">
                  <c:v>0.1641198134022952</c:v>
                </c:pt>
                <c:pt idx="78">
                  <c:v>0.14982268961664608</c:v>
                </c:pt>
                <c:pt idx="79">
                  <c:v>0.15820252885534231</c:v>
                </c:pt>
                <c:pt idx="80">
                  <c:v>0.13100695720816108</c:v>
                </c:pt>
                <c:pt idx="81">
                  <c:v>0.12165978291815092</c:v>
                </c:pt>
                <c:pt idx="82">
                  <c:v>0.13711608960168362</c:v>
                </c:pt>
                <c:pt idx="83">
                  <c:v>0.12189958865771988</c:v>
                </c:pt>
                <c:pt idx="84">
                  <c:v>0.1332756924890319</c:v>
                </c:pt>
                <c:pt idx="85">
                  <c:v>0.10736381851487237</c:v>
                </c:pt>
                <c:pt idx="86">
                  <c:v>0.16264394288382744</c:v>
                </c:pt>
                <c:pt idx="87">
                  <c:v>0.12806954269477719</c:v>
                </c:pt>
                <c:pt idx="88">
                  <c:v>0.10804465986762671</c:v>
                </c:pt>
                <c:pt idx="89">
                  <c:v>0.10958973483866682</c:v>
                </c:pt>
                <c:pt idx="90">
                  <c:v>0.11737735444855832</c:v>
                </c:pt>
                <c:pt idx="91">
                  <c:v>0.10918242448863845</c:v>
                </c:pt>
                <c:pt idx="92">
                  <c:v>0.11904223164284866</c:v>
                </c:pt>
                <c:pt idx="93">
                  <c:v>0.11640503875341145</c:v>
                </c:pt>
                <c:pt idx="94">
                  <c:v>0.12032762253424864</c:v>
                </c:pt>
                <c:pt idx="95">
                  <c:v>0.15630173130852493</c:v>
                </c:pt>
                <c:pt idx="96">
                  <c:v>0.12378169271308588</c:v>
                </c:pt>
                <c:pt idx="97">
                  <c:v>0.13560884686947974</c:v>
                </c:pt>
                <c:pt idx="98">
                  <c:v>0.11429515964340539</c:v>
                </c:pt>
                <c:pt idx="99">
                  <c:v>0.23985379166690668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23536"/>
        <c:axId val="530323928"/>
      </c:scatterChart>
      <c:valAx>
        <c:axId val="53032353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23928"/>
        <c:crosses val="autoZero"/>
        <c:crossBetween val="midCat"/>
      </c:valAx>
      <c:valAx>
        <c:axId val="53032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2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'TLmeas LO1238 spkr'!$T$7:$T$106</c:f>
              <c:numCache>
                <c:formatCode>0.00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LO1238 spkr'!$V$7:$V$106</c:f>
              <c:numCache>
                <c:formatCode>0.00</c:formatCode>
                <c:ptCount val="100"/>
                <c:pt idx="0">
                  <c:v>1.0335308680696405</c:v>
                </c:pt>
                <c:pt idx="1">
                  <c:v>1.0357573519755792</c:v>
                </c:pt>
                <c:pt idx="2">
                  <c:v>1.0353916191982111</c:v>
                </c:pt>
                <c:pt idx="3">
                  <c:v>1.0351908827061438</c:v>
                </c:pt>
                <c:pt idx="4">
                  <c:v>1.0427093771449478</c:v>
                </c:pt>
                <c:pt idx="5">
                  <c:v>1.060894752413954</c:v>
                </c:pt>
                <c:pt idx="6">
                  <c:v>1.0966399185152491</c:v>
                </c:pt>
                <c:pt idx="7">
                  <c:v>1.1255112189878476</c:v>
                </c:pt>
                <c:pt idx="8">
                  <c:v>1.1473492167338288</c:v>
                </c:pt>
                <c:pt idx="9">
                  <c:v>1.161162039896904</c:v>
                </c:pt>
                <c:pt idx="10">
                  <c:v>1.1757836125527668</c:v>
                </c:pt>
                <c:pt idx="11">
                  <c:v>1.1880779994574058</c:v>
                </c:pt>
                <c:pt idx="12">
                  <c:v>1.2014004421665672</c:v>
                </c:pt>
                <c:pt idx="13">
                  <c:v>1.2123387131758596</c:v>
                </c:pt>
                <c:pt idx="14">
                  <c:v>1.2251446196743354</c:v>
                </c:pt>
                <c:pt idx="15">
                  <c:v>1.2375515091025349</c:v>
                </c:pt>
                <c:pt idx="16">
                  <c:v>1.2494535957334918</c:v>
                </c:pt>
                <c:pt idx="17">
                  <c:v>1.2612476036924041</c:v>
                </c:pt>
                <c:pt idx="18">
                  <c:v>1.2738313305061237</c:v>
                </c:pt>
                <c:pt idx="19">
                  <c:v>1.2860691752317415</c:v>
                </c:pt>
                <c:pt idx="20">
                  <c:v>1.2993213424203074</c:v>
                </c:pt>
                <c:pt idx="21">
                  <c:v>1.3129172683346912</c:v>
                </c:pt>
                <c:pt idx="22">
                  <c:v>1.3271402556888821</c:v>
                </c:pt>
                <c:pt idx="23">
                  <c:v>1.3399900661145332</c:v>
                </c:pt>
                <c:pt idx="24">
                  <c:v>1.3535165570171126</c:v>
                </c:pt>
                <c:pt idx="25">
                  <c:v>1.3667652332085838</c:v>
                </c:pt>
                <c:pt idx="26">
                  <c:v>1.3795127999203904</c:v>
                </c:pt>
                <c:pt idx="27">
                  <c:v>1.3932336467044304</c:v>
                </c:pt>
                <c:pt idx="28">
                  <c:v>1.4081739339636516</c:v>
                </c:pt>
                <c:pt idx="29">
                  <c:v>1.4217968290103382</c:v>
                </c:pt>
                <c:pt idx="30">
                  <c:v>1.4369876343188328</c:v>
                </c:pt>
                <c:pt idx="31">
                  <c:v>1.4498179445583119</c:v>
                </c:pt>
                <c:pt idx="32">
                  <c:v>1.4666479249831446</c:v>
                </c:pt>
                <c:pt idx="33">
                  <c:v>1.4741868348783262</c:v>
                </c:pt>
                <c:pt idx="34">
                  <c:v>1.4981992518978513</c:v>
                </c:pt>
                <c:pt idx="35">
                  <c:v>1.5135490314041804</c:v>
                </c:pt>
                <c:pt idx="36">
                  <c:v>1.5286907013774726</c:v>
                </c:pt>
                <c:pt idx="37">
                  <c:v>1.5452806585557002</c:v>
                </c:pt>
                <c:pt idx="38">
                  <c:v>1.5633349695077166</c:v>
                </c:pt>
                <c:pt idx="39">
                  <c:v>1.5781647500733127</c:v>
                </c:pt>
                <c:pt idx="40">
                  <c:v>1.5927909829379134</c:v>
                </c:pt>
                <c:pt idx="41">
                  <c:v>1.6118641176592419</c:v>
                </c:pt>
                <c:pt idx="42">
                  <c:v>1.632707512103269</c:v>
                </c:pt>
                <c:pt idx="43">
                  <c:v>1.644499149445223</c:v>
                </c:pt>
                <c:pt idx="44">
                  <c:v>1.6652861032949138</c:v>
                </c:pt>
                <c:pt idx="45">
                  <c:v>1.6779123747061941</c:v>
                </c:pt>
                <c:pt idx="46">
                  <c:v>1.6975924305894696</c:v>
                </c:pt>
                <c:pt idx="47">
                  <c:v>1.7150780713017124</c:v>
                </c:pt>
                <c:pt idx="48">
                  <c:v>1.7341836877807055</c:v>
                </c:pt>
                <c:pt idx="49">
                  <c:v>1.7505654037242657</c:v>
                </c:pt>
                <c:pt idx="50">
                  <c:v>1.7702817300284674</c:v>
                </c:pt>
                <c:pt idx="51">
                  <c:v>1.7881665047667501</c:v>
                </c:pt>
                <c:pt idx="52">
                  <c:v>1.808440876069151</c:v>
                </c:pt>
                <c:pt idx="53">
                  <c:v>1.8243847382460443</c:v>
                </c:pt>
                <c:pt idx="54">
                  <c:v>1.8446799615370557</c:v>
                </c:pt>
                <c:pt idx="55">
                  <c:v>1.863267187728018</c:v>
                </c:pt>
                <c:pt idx="56">
                  <c:v>1.8832896654780042</c:v>
                </c:pt>
                <c:pt idx="57">
                  <c:v>1.9035474725008465</c:v>
                </c:pt>
                <c:pt idx="58">
                  <c:v>1.9286874694625125</c:v>
                </c:pt>
                <c:pt idx="59">
                  <c:v>1.9441239494559728</c:v>
                </c:pt>
                <c:pt idx="60">
                  <c:v>1.9599665407707305</c:v>
                </c:pt>
                <c:pt idx="61">
                  <c:v>1.9838249198663196</c:v>
                </c:pt>
                <c:pt idx="62">
                  <c:v>2.0010311456392356</c:v>
                </c:pt>
                <c:pt idx="63">
                  <c:v>2.0271194051252701</c:v>
                </c:pt>
                <c:pt idx="64">
                  <c:v>2.046627021910437</c:v>
                </c:pt>
                <c:pt idx="65">
                  <c:v>2.0676070551802272</c:v>
                </c:pt>
                <c:pt idx="66">
                  <c:v>2.0913147900599443</c:v>
                </c:pt>
                <c:pt idx="67">
                  <c:v>2.1148614139259641</c:v>
                </c:pt>
                <c:pt idx="68">
                  <c:v>2.1370894130868812</c:v>
                </c:pt>
                <c:pt idx="69">
                  <c:v>2.1571154484638599</c:v>
                </c:pt>
                <c:pt idx="70">
                  <c:v>2.174800768867871</c:v>
                </c:pt>
                <c:pt idx="71">
                  <c:v>2.1988200083274219</c:v>
                </c:pt>
                <c:pt idx="72">
                  <c:v>2.2183787051853283</c:v>
                </c:pt>
                <c:pt idx="73">
                  <c:v>2.2431146568794462</c:v>
                </c:pt>
                <c:pt idx="74">
                  <c:v>2.2711455428270928</c:v>
                </c:pt>
                <c:pt idx="75">
                  <c:v>2.290181907875954</c:v>
                </c:pt>
                <c:pt idx="76">
                  <c:v>2.3203456597647913</c:v>
                </c:pt>
                <c:pt idx="77">
                  <c:v>2.3320021755492717</c:v>
                </c:pt>
                <c:pt idx="78">
                  <c:v>2.3610931163619115</c:v>
                </c:pt>
                <c:pt idx="79">
                  <c:v>2.3845125704052963</c:v>
                </c:pt>
                <c:pt idx="80">
                  <c:v>2.4098921883749047</c:v>
                </c:pt>
                <c:pt idx="81">
                  <c:v>2.4335278145484236</c:v>
                </c:pt>
                <c:pt idx="82">
                  <c:v>2.4449320772434313</c:v>
                </c:pt>
                <c:pt idx="83">
                  <c:v>2.4776921680871387</c:v>
                </c:pt>
                <c:pt idx="84">
                  <c:v>2.4945887287085098</c:v>
                </c:pt>
                <c:pt idx="85">
                  <c:v>2.5194058304069209</c:v>
                </c:pt>
                <c:pt idx="86">
                  <c:v>2.5219508044756092</c:v>
                </c:pt>
                <c:pt idx="87">
                  <c:v>2.568423983905916</c:v>
                </c:pt>
                <c:pt idx="88">
                  <c:v>2.5954356742623252</c:v>
                </c:pt>
                <c:pt idx="89">
                  <c:v>2.6156831055069873</c:v>
                </c:pt>
                <c:pt idx="90">
                  <c:v>2.6295237103692681</c:v>
                </c:pt>
                <c:pt idx="91">
                  <c:v>2.6609984262968363</c:v>
                </c:pt>
                <c:pt idx="92">
                  <c:v>2.693413041492982</c:v>
                </c:pt>
                <c:pt idx="93">
                  <c:v>2.7064108437395822</c:v>
                </c:pt>
                <c:pt idx="94">
                  <c:v>2.7348156716610124</c:v>
                </c:pt>
                <c:pt idx="95">
                  <c:v>2.7438855390969383</c:v>
                </c:pt>
                <c:pt idx="96">
                  <c:v>2.7760249321663939</c:v>
                </c:pt>
                <c:pt idx="97">
                  <c:v>2.805013043591869</c:v>
                </c:pt>
                <c:pt idx="98">
                  <c:v>2.8341017507515431</c:v>
                </c:pt>
                <c:pt idx="99">
                  <c:v>2.8327990118083655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009736"/>
        <c:axId val="536010128"/>
      </c:scatterChart>
      <c:valAx>
        <c:axId val="53600973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10128"/>
        <c:crosses val="autoZero"/>
        <c:crossBetween val="midCat"/>
      </c:valAx>
      <c:valAx>
        <c:axId val="53601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09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dPt>
            <c:idx val="27"/>
            <c:marker>
              <c:symbol val="none"/>
            </c:marker>
            <c:bubble3D val="0"/>
          </c:dPt>
          <c:xVal>
            <c:numRef>
              <c:f>'TLmeas LO1238 spkr'!$X$7:$X$106</c:f>
              <c:numCache>
                <c:formatCode>0</c:formatCode>
                <c:ptCount val="100"/>
                <c:pt idx="0">
                  <c:v>1</c:v>
                </c:pt>
                <c:pt idx="1">
                  <c:v>1.292929</c:v>
                </c:pt>
                <c:pt idx="2">
                  <c:v>1.585858</c:v>
                </c:pt>
                <c:pt idx="3">
                  <c:v>1.878787</c:v>
                </c:pt>
                <c:pt idx="4">
                  <c:v>2.1717170000000001</c:v>
                </c:pt>
                <c:pt idx="5">
                  <c:v>2.4646460000000001</c:v>
                </c:pt>
                <c:pt idx="6">
                  <c:v>2.7575750000000001</c:v>
                </c:pt>
                <c:pt idx="7">
                  <c:v>3.0505049999999998</c:v>
                </c:pt>
                <c:pt idx="8">
                  <c:v>3.3434339999999998</c:v>
                </c:pt>
                <c:pt idx="9">
                  <c:v>3.6363629999999998</c:v>
                </c:pt>
                <c:pt idx="10">
                  <c:v>3.9292919999999998</c:v>
                </c:pt>
                <c:pt idx="11">
                  <c:v>4.2222220000000004</c:v>
                </c:pt>
                <c:pt idx="12">
                  <c:v>4.5151510000000004</c:v>
                </c:pt>
                <c:pt idx="13">
                  <c:v>4.8080800000000004</c:v>
                </c:pt>
                <c:pt idx="14">
                  <c:v>5.1010099999999996</c:v>
                </c:pt>
                <c:pt idx="15">
                  <c:v>5.3939389999999996</c:v>
                </c:pt>
                <c:pt idx="16">
                  <c:v>5.6868679999999996</c:v>
                </c:pt>
                <c:pt idx="17">
                  <c:v>5.9797969999999996</c:v>
                </c:pt>
                <c:pt idx="18">
                  <c:v>6.2727269999999997</c:v>
                </c:pt>
                <c:pt idx="19">
                  <c:v>6.5656559999999997</c:v>
                </c:pt>
                <c:pt idx="20">
                  <c:v>6.8585849999999997</c:v>
                </c:pt>
                <c:pt idx="21">
                  <c:v>7.1515149999999998</c:v>
                </c:pt>
                <c:pt idx="22">
                  <c:v>7.4444439999999998</c:v>
                </c:pt>
                <c:pt idx="23">
                  <c:v>7.7373729999999998</c:v>
                </c:pt>
                <c:pt idx="24">
                  <c:v>8.030303</c:v>
                </c:pt>
                <c:pt idx="25">
                  <c:v>8.3232320000000009</c:v>
                </c:pt>
                <c:pt idx="26">
                  <c:v>8.616161</c:v>
                </c:pt>
                <c:pt idx="27">
                  <c:v>8.9090900000000008</c:v>
                </c:pt>
                <c:pt idx="28">
                  <c:v>9.2020199999999992</c:v>
                </c:pt>
                <c:pt idx="29">
                  <c:v>9.4949490000000001</c:v>
                </c:pt>
                <c:pt idx="30">
                  <c:v>9.7878779999999992</c:v>
                </c:pt>
                <c:pt idx="31">
                  <c:v>10.080807999999999</c:v>
                </c:pt>
                <c:pt idx="32">
                  <c:v>10.373737</c:v>
                </c:pt>
                <c:pt idx="33">
                  <c:v>10.666665999999999</c:v>
                </c:pt>
                <c:pt idx="34">
                  <c:v>10.959595</c:v>
                </c:pt>
                <c:pt idx="35">
                  <c:v>11.252525</c:v>
                </c:pt>
                <c:pt idx="36">
                  <c:v>11.545453999999999</c:v>
                </c:pt>
                <c:pt idx="37">
                  <c:v>11.838383</c:v>
                </c:pt>
                <c:pt idx="38">
                  <c:v>12.131313</c:v>
                </c:pt>
                <c:pt idx="39">
                  <c:v>12.424242</c:v>
                </c:pt>
                <c:pt idx="40">
                  <c:v>12.717171</c:v>
                </c:pt>
                <c:pt idx="41">
                  <c:v>13.010101000000001</c:v>
                </c:pt>
                <c:pt idx="42">
                  <c:v>13.30303</c:v>
                </c:pt>
                <c:pt idx="43">
                  <c:v>13.595959000000001</c:v>
                </c:pt>
                <c:pt idx="44">
                  <c:v>13.888888</c:v>
                </c:pt>
                <c:pt idx="45">
                  <c:v>14.181818</c:v>
                </c:pt>
                <c:pt idx="46">
                  <c:v>14.474747000000001</c:v>
                </c:pt>
                <c:pt idx="47">
                  <c:v>14.767676</c:v>
                </c:pt>
                <c:pt idx="48">
                  <c:v>15.060606</c:v>
                </c:pt>
                <c:pt idx="49">
                  <c:v>15.353535000000001</c:v>
                </c:pt>
                <c:pt idx="50">
                  <c:v>15.646464</c:v>
                </c:pt>
                <c:pt idx="51">
                  <c:v>15.939393000000001</c:v>
                </c:pt>
                <c:pt idx="52">
                  <c:v>16.232323000000001</c:v>
                </c:pt>
                <c:pt idx="53">
                  <c:v>16.525251999999998</c:v>
                </c:pt>
                <c:pt idx="54">
                  <c:v>16.818180999999999</c:v>
                </c:pt>
                <c:pt idx="55">
                  <c:v>17.111111000000001</c:v>
                </c:pt>
                <c:pt idx="56">
                  <c:v>17.404039999999998</c:v>
                </c:pt>
                <c:pt idx="57">
                  <c:v>17.696968999999999</c:v>
                </c:pt>
                <c:pt idx="58">
                  <c:v>17.989898</c:v>
                </c:pt>
                <c:pt idx="59">
                  <c:v>18.282827999999999</c:v>
                </c:pt>
                <c:pt idx="60">
                  <c:v>18.575756999999999</c:v>
                </c:pt>
                <c:pt idx="61">
                  <c:v>18.868686</c:v>
                </c:pt>
                <c:pt idx="62">
                  <c:v>19.161615999999999</c:v>
                </c:pt>
                <c:pt idx="63">
                  <c:v>19.454545</c:v>
                </c:pt>
                <c:pt idx="64">
                  <c:v>19.747474</c:v>
                </c:pt>
                <c:pt idx="65">
                  <c:v>20.040403999999999</c:v>
                </c:pt>
                <c:pt idx="66">
                  <c:v>20.333333</c:v>
                </c:pt>
                <c:pt idx="67">
                  <c:v>20.626262000000001</c:v>
                </c:pt>
                <c:pt idx="68">
                  <c:v>20.919191000000001</c:v>
                </c:pt>
                <c:pt idx="69">
                  <c:v>21.212121</c:v>
                </c:pt>
                <c:pt idx="70">
                  <c:v>21.505050000000001</c:v>
                </c:pt>
                <c:pt idx="71">
                  <c:v>21.797979000000002</c:v>
                </c:pt>
                <c:pt idx="72">
                  <c:v>22.090909</c:v>
                </c:pt>
                <c:pt idx="73">
                  <c:v>22.383838000000001</c:v>
                </c:pt>
                <c:pt idx="74">
                  <c:v>22.676767000000002</c:v>
                </c:pt>
                <c:pt idx="75">
                  <c:v>22.969695999999999</c:v>
                </c:pt>
                <c:pt idx="76">
                  <c:v>23.262626000000001</c:v>
                </c:pt>
                <c:pt idx="77">
                  <c:v>23.555554999999998</c:v>
                </c:pt>
                <c:pt idx="78">
                  <c:v>23.848483999999999</c:v>
                </c:pt>
                <c:pt idx="79">
                  <c:v>24.141414000000001</c:v>
                </c:pt>
                <c:pt idx="80">
                  <c:v>24.434342999999998</c:v>
                </c:pt>
                <c:pt idx="81">
                  <c:v>24.727271999999999</c:v>
                </c:pt>
                <c:pt idx="82">
                  <c:v>25.020202000000001</c:v>
                </c:pt>
                <c:pt idx="83">
                  <c:v>25.313130999999998</c:v>
                </c:pt>
                <c:pt idx="84">
                  <c:v>25.606059999999999</c:v>
                </c:pt>
                <c:pt idx="85">
                  <c:v>25.898989</c:v>
                </c:pt>
                <c:pt idx="86">
                  <c:v>26.191918999999999</c:v>
                </c:pt>
                <c:pt idx="87">
                  <c:v>26.484848</c:v>
                </c:pt>
                <c:pt idx="88">
                  <c:v>26.777777</c:v>
                </c:pt>
                <c:pt idx="89">
                  <c:v>27.070706999999999</c:v>
                </c:pt>
                <c:pt idx="90">
                  <c:v>27.363636</c:v>
                </c:pt>
                <c:pt idx="91">
                  <c:v>27.656565000000001</c:v>
                </c:pt>
                <c:pt idx="92">
                  <c:v>27.949494000000001</c:v>
                </c:pt>
                <c:pt idx="93">
                  <c:v>28.242424</c:v>
                </c:pt>
                <c:pt idx="94">
                  <c:v>28.535353000000001</c:v>
                </c:pt>
                <c:pt idx="95">
                  <c:v>28.828282000000002</c:v>
                </c:pt>
                <c:pt idx="96">
                  <c:v>29.121212</c:v>
                </c:pt>
                <c:pt idx="97">
                  <c:v>29.414141000000001</c:v>
                </c:pt>
                <c:pt idx="98">
                  <c:v>29.707070000000002</c:v>
                </c:pt>
                <c:pt idx="99">
                  <c:v>30</c:v>
                </c:pt>
              </c:numCache>
            </c:numRef>
          </c:xVal>
          <c:yVal>
            <c:numRef>
              <c:f>'TLmeas LO1238 spkr'!$Y$7:$Y$106</c:f>
              <c:numCache>
                <c:formatCode>0.00</c:formatCode>
                <c:ptCount val="100"/>
                <c:pt idx="0">
                  <c:v>6.9999999999999993E-2</c:v>
                </c:pt>
                <c:pt idx="1">
                  <c:v>7.2757083280287696E-2</c:v>
                </c:pt>
                <c:pt idx="2">
                  <c:v>7.5462682121150801E-2</c:v>
                </c:pt>
                <c:pt idx="3">
                  <c:v>7.8116796522589294E-2</c:v>
                </c:pt>
                <c:pt idx="4">
                  <c:v>8.0719435281573299E-2</c:v>
                </c:pt>
                <c:pt idx="5">
                  <c:v>8.32705806284052E-2</c:v>
                </c:pt>
                <c:pt idx="6">
                  <c:v>8.5770241535812503E-2</c:v>
                </c:pt>
                <c:pt idx="7">
                  <c:v>8.8218426273492495E-2</c:v>
                </c:pt>
                <c:pt idx="8">
                  <c:v>9.0615118126293193E-2</c:v>
                </c:pt>
                <c:pt idx="9">
                  <c:v>9.2960325539669292E-2</c:v>
                </c:pt>
                <c:pt idx="10">
                  <c:v>9.5254048513620793E-2</c:v>
                </c:pt>
                <c:pt idx="11">
                  <c:v>9.7496294614814794E-2</c:v>
                </c:pt>
                <c:pt idx="12">
                  <c:v>9.9687048534159689E-2</c:v>
                </c:pt>
                <c:pt idx="13">
                  <c:v>0.10182631801407999</c:v>
                </c:pt>
                <c:pt idx="14">
                  <c:v>0.10391411009397</c:v>
                </c:pt>
                <c:pt idx="15">
                  <c:v>0.10595041051928369</c:v>
                </c:pt>
                <c:pt idx="16">
                  <c:v>0.10793522650517279</c:v>
                </c:pt>
                <c:pt idx="17">
                  <c:v>0.10986855805163728</c:v>
                </c:pt>
                <c:pt idx="18">
                  <c:v>0.11175041149504128</c:v>
                </c:pt>
                <c:pt idx="19">
                  <c:v>0.1135807739868992</c:v>
                </c:pt>
                <c:pt idx="20">
                  <c:v>0.11535965203933249</c:v>
                </c:pt>
                <c:pt idx="21">
                  <c:v>0.1170870514614325</c:v>
                </c:pt>
                <c:pt idx="22">
                  <c:v>0.11876296045925919</c:v>
                </c:pt>
                <c:pt idx="23">
                  <c:v>0.1203873850176613</c:v>
                </c:pt>
                <c:pt idx="24">
                  <c:v>0.12196033041845729</c:v>
                </c:pt>
                <c:pt idx="25">
                  <c:v>0.12348178592225281</c:v>
                </c:pt>
                <c:pt idx="26">
                  <c:v>0.1249517569866237</c:v>
                </c:pt>
                <c:pt idx="27">
                  <c:v>0.12637024361157001</c:v>
                </c:pt>
                <c:pt idx="28">
                  <c:v>0.12773725037587999</c:v>
                </c:pt>
                <c:pt idx="29">
                  <c:v>0.1290527679462197</c:v>
                </c:pt>
                <c:pt idx="30">
                  <c:v>0.13031680107713481</c:v>
                </c:pt>
                <c:pt idx="31">
                  <c:v>0.13152935382014078</c:v>
                </c:pt>
                <c:pt idx="32">
                  <c:v>0.13269041789644928</c:v>
                </c:pt>
                <c:pt idx="33">
                  <c:v>0.13379999753333319</c:v>
                </c:pt>
                <c:pt idx="34">
                  <c:v>0.13485809273079249</c:v>
                </c:pt>
                <c:pt idx="35">
                  <c:v>0.1358647068373125</c:v>
                </c:pt>
                <c:pt idx="36">
                  <c:v>0.1368198329801652</c:v>
                </c:pt>
                <c:pt idx="37">
                  <c:v>0.13772347468359331</c:v>
                </c:pt>
                <c:pt idx="38">
                  <c:v>0.1385756347688093</c:v>
                </c:pt>
                <c:pt idx="39">
                  <c:v>0.1393763074176308</c:v>
                </c:pt>
                <c:pt idx="40">
                  <c:v>0.1401254956270277</c:v>
                </c:pt>
                <c:pt idx="41">
                  <c:v>0.1408232016909397</c:v>
                </c:pt>
                <c:pt idx="42">
                  <c:v>0.14146942084573</c:v>
                </c:pt>
                <c:pt idx="43">
                  <c:v>0.1420641555610957</c:v>
                </c:pt>
                <c:pt idx="44">
                  <c:v>0.14260740583703679</c:v>
                </c:pt>
                <c:pt idx="45">
                  <c:v>0.14309917326446281</c:v>
                </c:pt>
                <c:pt idx="46">
                  <c:v>0.1435394544857973</c:v>
                </c:pt>
                <c:pt idx="47">
                  <c:v>0.1439282512677072</c:v>
                </c:pt>
                <c:pt idx="48">
                  <c:v>0.14426556467382917</c:v>
                </c:pt>
                <c:pt idx="49">
                  <c:v>0.14455139240113249</c:v>
                </c:pt>
                <c:pt idx="50">
                  <c:v>0.14478573568901121</c:v>
                </c:pt>
                <c:pt idx="51">
                  <c:v>0.1449685945374653</c:v>
                </c:pt>
                <c:pt idx="52">
                  <c:v>0.14509996930710131</c:v>
                </c:pt>
                <c:pt idx="53">
                  <c:v>0.14517985910094877</c:v>
                </c:pt>
                <c:pt idx="54">
                  <c:v>0.14520826445537172</c:v>
                </c:pt>
                <c:pt idx="55">
                  <c:v>0.14518518520370371</c:v>
                </c:pt>
                <c:pt idx="56">
                  <c:v>0.14511062150352003</c:v>
                </c:pt>
                <c:pt idx="57">
                  <c:v>0.14498457336391171</c:v>
                </c:pt>
                <c:pt idx="58">
                  <c:v>0.1448070407848788</c:v>
                </c:pt>
                <c:pt idx="59">
                  <c:v>0.14457802289672481</c:v>
                </c:pt>
                <c:pt idx="60">
                  <c:v>0.14429752126308529</c:v>
                </c:pt>
                <c:pt idx="61">
                  <c:v>0.1439655351900212</c:v>
                </c:pt>
                <c:pt idx="62">
                  <c:v>0.14358206328056319</c:v>
                </c:pt>
                <c:pt idx="63">
                  <c:v>0.1431471081528925</c:v>
                </c:pt>
                <c:pt idx="64">
                  <c:v>0.14266066858579718</c:v>
                </c:pt>
                <c:pt idx="65">
                  <c:v>0.14212274265503519</c:v>
                </c:pt>
                <c:pt idx="66">
                  <c:v>0.14153333403333332</c:v>
                </c:pt>
                <c:pt idx="67">
                  <c:v>0.14089244097220682</c:v>
                </c:pt>
                <c:pt idx="68">
                  <c:v>0.14020006347165573</c:v>
                </c:pt>
                <c:pt idx="69">
                  <c:v>0.13945619890440772</c:v>
                </c:pt>
                <c:pt idx="70">
                  <c:v>0.13866085234925002</c:v>
                </c:pt>
                <c:pt idx="71">
                  <c:v>0.13781402135466769</c:v>
                </c:pt>
                <c:pt idx="72">
                  <c:v>0.1369157027661157</c:v>
                </c:pt>
                <c:pt idx="73">
                  <c:v>0.1359659027169268</c:v>
                </c:pt>
                <c:pt idx="74">
                  <c:v>0.13496461822831329</c:v>
                </c:pt>
                <c:pt idx="75">
                  <c:v>0.13391184930027522</c:v>
                </c:pt>
                <c:pt idx="76">
                  <c:v>0.13280759207523721</c:v>
                </c:pt>
                <c:pt idx="77">
                  <c:v>0.1316518540925925</c:v>
                </c:pt>
                <c:pt idx="78">
                  <c:v>0.1304446316705232</c:v>
                </c:pt>
                <c:pt idx="79">
                  <c:v>0.12918592042418123</c:v>
                </c:pt>
                <c:pt idx="80">
                  <c:v>0.12787572894750532</c:v>
                </c:pt>
                <c:pt idx="81">
                  <c:v>0.12651405303140481</c:v>
                </c:pt>
                <c:pt idx="82">
                  <c:v>0.12510088776375877</c:v>
                </c:pt>
                <c:pt idx="83">
                  <c:v>0.12363624279305171</c:v>
                </c:pt>
                <c:pt idx="84">
                  <c:v>0.12212011338292</c:v>
                </c:pt>
                <c:pt idx="85">
                  <c:v>0.12055249953336369</c:v>
                </c:pt>
                <c:pt idx="86">
                  <c:v>0.11893339562923169</c:v>
                </c:pt>
                <c:pt idx="87">
                  <c:v>0.11726281272506878</c:v>
                </c:pt>
                <c:pt idx="88">
                  <c:v>0.11554074538148135</c:v>
                </c:pt>
                <c:pt idx="89">
                  <c:v>0.1137671874560453</c:v>
                </c:pt>
                <c:pt idx="90">
                  <c:v>0.11194215105785121</c:v>
                </c:pt>
                <c:pt idx="91">
                  <c:v>0.1100656302202325</c:v>
                </c:pt>
                <c:pt idx="92">
                  <c:v>0.10813762494318918</c:v>
                </c:pt>
                <c:pt idx="93">
                  <c:v>0.10615812838126723</c:v>
                </c:pt>
                <c:pt idx="94">
                  <c:v>0.10412715404961734</c:v>
                </c:pt>
                <c:pt idx="95">
                  <c:v>0.10204469527854279</c:v>
                </c:pt>
                <c:pt idx="96">
                  <c:v>9.9910744695316772E-2</c:v>
                </c:pt>
                <c:pt idx="97">
                  <c:v>9.7725316869635676E-2</c:v>
                </c:pt>
                <c:pt idx="98">
                  <c:v>9.5488404604529981E-2</c:v>
                </c:pt>
                <c:pt idx="99">
                  <c:v>9.3200000000000033E-2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010912"/>
        <c:axId val="533569584"/>
      </c:scatterChart>
      <c:valAx>
        <c:axId val="53601091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569584"/>
        <c:crosses val="autoZero"/>
        <c:crossBetween val="midCat"/>
      </c:valAx>
      <c:valAx>
        <c:axId val="53356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10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180975</xdr:colOff>
      <xdr:row>28</xdr:row>
      <xdr:rowOff>133350</xdr:rowOff>
    </xdr:from>
    <xdr:to>
      <xdr:col>19</xdr:col>
      <xdr:colOff>390525</xdr:colOff>
      <xdr:row>55</xdr:row>
      <xdr:rowOff>28575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10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180975</xdr:colOff>
      <xdr:row>28</xdr:row>
      <xdr:rowOff>133350</xdr:rowOff>
    </xdr:from>
    <xdr:to>
      <xdr:col>19</xdr:col>
      <xdr:colOff>390525</xdr:colOff>
      <xdr:row>55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714375</xdr:colOff>
      <xdr:row>33</xdr:row>
      <xdr:rowOff>9525</xdr:rowOff>
    </xdr:from>
    <xdr:to>
      <xdr:col>8</xdr:col>
      <xdr:colOff>190500</xdr:colOff>
      <xdr:row>59</xdr:row>
      <xdr:rowOff>66675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23</xdr:row>
      <xdr:rowOff>142875</xdr:rowOff>
    </xdr:from>
    <xdr:to>
      <xdr:col>9</xdr:col>
      <xdr:colOff>228600</xdr:colOff>
      <xdr:row>46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723900</xdr:colOff>
      <xdr:row>18</xdr:row>
      <xdr:rowOff>47625</xdr:rowOff>
    </xdr:from>
    <xdr:to>
      <xdr:col>11</xdr:col>
      <xdr:colOff>238125</xdr:colOff>
      <xdr:row>40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981075</xdr:colOff>
      <xdr:row>13</xdr:row>
      <xdr:rowOff>66675</xdr:rowOff>
    </xdr:from>
    <xdr:to>
      <xdr:col>9</xdr:col>
      <xdr:colOff>219075</xdr:colOff>
      <xdr:row>35</xdr:row>
      <xdr:rowOff>142875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23</xdr:row>
      <xdr:rowOff>142875</xdr:rowOff>
    </xdr:from>
    <xdr:to>
      <xdr:col>9</xdr:col>
      <xdr:colOff>228600</xdr:colOff>
      <xdr:row>46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361950</xdr:colOff>
      <xdr:row>15</xdr:row>
      <xdr:rowOff>133350</xdr:rowOff>
    </xdr:from>
    <xdr:to>
      <xdr:col>17</xdr:col>
      <xdr:colOff>485775</xdr:colOff>
      <xdr:row>38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10</xdr:col>
      <xdr:colOff>123825</xdr:colOff>
      <xdr:row>25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23</xdr:row>
      <xdr:rowOff>142875</xdr:rowOff>
    </xdr:from>
    <xdr:to>
      <xdr:col>9</xdr:col>
      <xdr:colOff>228600</xdr:colOff>
      <xdr:row>46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361950</xdr:colOff>
      <xdr:row>15</xdr:row>
      <xdr:rowOff>133350</xdr:rowOff>
    </xdr:from>
    <xdr:to>
      <xdr:col>17</xdr:col>
      <xdr:colOff>485775</xdr:colOff>
      <xdr:row>38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10</xdr:col>
      <xdr:colOff>123825</xdr:colOff>
      <xdr:row>25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19</xdr:row>
      <xdr:rowOff>9525</xdr:rowOff>
    </xdr:from>
    <xdr:to>
      <xdr:col>24</xdr:col>
      <xdr:colOff>571500</xdr:colOff>
      <xdr:row>41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20</xdr:row>
      <xdr:rowOff>161925</xdr:rowOff>
    </xdr:from>
    <xdr:to>
      <xdr:col>14</xdr:col>
      <xdr:colOff>238125</xdr:colOff>
      <xdr:row>43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561975</xdr:colOff>
      <xdr:row>4</xdr:row>
      <xdr:rowOff>180975</xdr:rowOff>
    </xdr:from>
    <xdr:to>
      <xdr:col>7</xdr:col>
      <xdr:colOff>409575</xdr:colOff>
      <xdr:row>27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opLeftCell="A28" workbookViewId="0">
      <selection activeCell="K26" sqref="K26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v>567</v>
      </c>
      <c r="C7" s="15" t="s">
        <v>32</v>
      </c>
    </row>
    <row r="8" spans="1:3" x14ac:dyDescent="0.2">
      <c r="A8" t="s">
        <v>7</v>
      </c>
      <c r="B8" s="3">
        <v>11</v>
      </c>
    </row>
    <row r="9" spans="1:3" x14ac:dyDescent="0.2">
      <c r="A9" t="s">
        <v>10</v>
      </c>
      <c r="B9" s="3">
        <v>5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4.3107049436966991E-4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csinterpolate(CSTableU2,Choke!B18*1000000)</f>
        <v>1.9121445035223179</v>
      </c>
      <c r="C19" s="7">
        <f>csinterpolate(CSTableU2,Choke!C18*1000000)</f>
        <v>1.9574362303797543</v>
      </c>
      <c r="D19" s="7">
        <f>csinterpolate(CSTableU2,Choke!D18*1000000)</f>
        <v>2.0226374329293155</v>
      </c>
      <c r="E19" s="7">
        <f>csinterpolate(CSTableU2,Choke!E18*1000000)</f>
        <v>2.13811662060994</v>
      </c>
      <c r="F19" s="7">
        <f>csinterpolate(CSTableU2,Choke!F18*1000000)</f>
        <v>2.2733346634365299</v>
      </c>
      <c r="G19" s="7">
        <f>csinterpolate(CSTableU2,Choke!G18*1000000)</f>
        <v>2.4696466463547706</v>
      </c>
      <c r="H19" s="7">
        <f>csinterpolate(CSTableU2,Choke!H18*1000000)</f>
        <v>2.7791213259113334</v>
      </c>
      <c r="I19" s="7">
        <f>csinterpolate(CSTableU2,Choke!I18*1000000)</f>
        <v>3.1775320463613363</v>
      </c>
      <c r="J19" s="7">
        <f>csinterpolate(CSTableU2,Choke!J18*1000000)</f>
        <v>3.761712878740791</v>
      </c>
      <c r="K19" s="7">
        <f>csinterpolate(CSTableU2,Choke!K18*1000000)</f>
        <v>4.5431176223534013</v>
      </c>
      <c r="L19" s="7">
        <f>csinterpolate(CSTableU2,Choke!L18*1000000)</f>
        <v>6.0421780525816695</v>
      </c>
      <c r="M19" s="7">
        <f>csinterpolate(CSTableU2,Choke!M18*1000000)</f>
        <v>8.8077479841265731</v>
      </c>
      <c r="N19" s="7">
        <f>csinterpolate(CSTableU2,Choke!N18*1000000)</f>
        <v>13.980324367016085</v>
      </c>
      <c r="O19" s="7">
        <f>csinterpolate(CSTableU2,Choke!O18*1000000)</f>
        <v>23.484815673283332</v>
      </c>
      <c r="P19" s="7">
        <f>csinterpolate(CSTableU2,Choke!P18*1000000)</f>
        <v>38.259354026927227</v>
      </c>
      <c r="Q19" s="7">
        <f>csinterpolate(CSTableU2,Choke!Q18*1000000)</f>
        <v>56.472371106696684</v>
      </c>
      <c r="R19" s="7">
        <f>csinterpolate(CSTableU2,Choke!R18*1000000)</f>
        <v>80.674965517493945</v>
      </c>
      <c r="S19" s="7">
        <f>csinterpolate(CSTableU2,Choke!S18*1000000)</f>
        <v>95.766108505532216</v>
      </c>
      <c r="T19" s="7">
        <f>csinterpolate(CSTableU2,Choke!T18*1000000)</f>
        <v>106.15987426408267</v>
      </c>
      <c r="U19" s="7">
        <f>csinterpolate(CSTableU2,Choke!U18*1000000)</f>
        <v>111.79845317976333</v>
      </c>
      <c r="V19" s="7">
        <f>csinterpolate(CSTableU2,Choke!V18*1000000)</f>
        <v>115.41576165229573</v>
      </c>
      <c r="W19" s="7">
        <f>csinterpolate(CSTableU2,Choke!W18*1000000)</f>
        <v>118.74905396107683</v>
      </c>
      <c r="X19" s="7">
        <f>csinterpolate(CSTableU2,Choke!X18*1000000)</f>
        <v>121.58877771325294</v>
      </c>
      <c r="Y19" s="7">
        <f>csinterpolate(CSTableU2,Choke!Y18*1000000)</f>
        <v>124.23422193122427</v>
      </c>
      <c r="Z19" s="7">
        <f>csinterpolate(CSTableU2,Choke!Z18*1000000)</f>
        <v>125.68862620524732</v>
      </c>
      <c r="AA19" s="7">
        <f>csinterpolate(CSTableU2,Choke!AA18*1000000)</f>
        <v>126.48837881104612</v>
      </c>
      <c r="AB19" s="7">
        <f>csinterpolate(CSTableU2,Choke!AB18*1000000)</f>
        <v>131.67124057216782</v>
      </c>
      <c r="AC19" s="7">
        <f>csinterpolate(CSTableU2,Choke!AC18*1000000)</f>
        <v>151.46200540619219</v>
      </c>
      <c r="AD19" s="7">
        <f>csinterpolate(CSTableU2,Choke!AD18*1000000)</f>
        <v>204.89884681421552</v>
      </c>
      <c r="AE19" s="7">
        <f>csinterpolate(CSTableU2,Choke!AE18*1000000)</f>
        <v>325.6578397936072</v>
      </c>
    </row>
    <row r="20" spans="1:31" x14ac:dyDescent="0.2">
      <c r="A20" t="s">
        <v>5</v>
      </c>
      <c r="B20" s="7">
        <f>csinterpolate(CSTableU1,Choke!B18*1000000)</f>
        <v>216.56677081846061</v>
      </c>
      <c r="C20" s="7">
        <f>csinterpolate(CSTableU1,Choke!C18*1000000)</f>
        <v>217.14871349507604</v>
      </c>
      <c r="D20" s="7">
        <f>csinterpolate(CSTableU1,Choke!D18*1000000)</f>
        <v>217.9262915874186</v>
      </c>
      <c r="E20" s="7">
        <f>csinterpolate(CSTableU1,Choke!E18*1000000)</f>
        <v>218.26130634875207</v>
      </c>
      <c r="F20" s="7">
        <f>csinterpolate(CSTableU1,Choke!F18*1000000)</f>
        <v>218.86564770997416</v>
      </c>
      <c r="G20" s="7">
        <f>csinterpolate(CSTableU1,Choke!G18*1000000)</f>
        <v>220.69798291534474</v>
      </c>
      <c r="H20" s="7">
        <f>csinterpolate(CSTableU1,Choke!H18*1000000)</f>
        <v>222.86931423204547</v>
      </c>
      <c r="I20" s="7">
        <f>csinterpolate(CSTableU1,Choke!I18*1000000)</f>
        <v>225.43540443442456</v>
      </c>
      <c r="J20" s="7">
        <f>csinterpolate(CSTableU1,Choke!J18*1000000)</f>
        <v>229.21687247983448</v>
      </c>
      <c r="K20" s="7">
        <f>csinterpolate(CSTableU1,Choke!K18*1000000)</f>
        <v>235.77294877348464</v>
      </c>
      <c r="L20" s="7">
        <f>csinterpolate(CSTableU1,Choke!L18*1000000)</f>
        <v>244.24136720170733</v>
      </c>
      <c r="M20" s="7">
        <f>csinterpolate(CSTableU1,Choke!M18*1000000)</f>
        <v>253.20428554657747</v>
      </c>
      <c r="N20" s="7">
        <f>csinterpolate(CSTableU1,Choke!N18*1000000)</f>
        <v>258.23510458974437</v>
      </c>
      <c r="O20" s="7">
        <f>csinterpolate(CSTableU1,Choke!O18*1000000)</f>
        <v>263.84961579974163</v>
      </c>
      <c r="P20" s="7">
        <f>csinterpolate(CSTableU1,Choke!P18*1000000)</f>
        <v>265.12039210045725</v>
      </c>
      <c r="Q20" s="7">
        <f>csinterpolate(CSTableU1,Choke!Q18*1000000)</f>
        <v>266.95307501135346</v>
      </c>
      <c r="R20" s="7">
        <f>csinterpolate(CSTableU1,Choke!R18*1000000)</f>
        <v>259.57203478269071</v>
      </c>
      <c r="S20" s="7">
        <f>csinterpolate(CSTableU1,Choke!S18*1000000)</f>
        <v>251.20457283472493</v>
      </c>
      <c r="T20" s="7">
        <f>csinterpolate(CSTableU1,Choke!T18*1000000)</f>
        <v>237.84015515956833</v>
      </c>
      <c r="U20" s="7">
        <f>csinterpolate(CSTableU1,Choke!U18*1000000)</f>
        <v>218.25882830152995</v>
      </c>
      <c r="V20" s="7">
        <f>csinterpolate(CSTableU1,Choke!V18*1000000)</f>
        <v>198.96334379253616</v>
      </c>
      <c r="W20" s="7">
        <f>csinterpolate(CSTableU1,Choke!W18*1000000)</f>
        <v>182.68089201570345</v>
      </c>
      <c r="X20" s="7">
        <f>csinterpolate(CSTableU1,Choke!X18*1000000)</f>
        <v>168.49007711967346</v>
      </c>
      <c r="Y20" s="7">
        <f>csinterpolate(CSTableU1,Choke!Y18*1000000)</f>
        <v>155.67988040016419</v>
      </c>
      <c r="Z20" s="7">
        <f>csinterpolate(CSTableU1,Choke!Z18*1000000)</f>
        <v>144.24901848827639</v>
      </c>
      <c r="AA20" s="7">
        <f>csinterpolate(CSTableU1,Choke!AA18*1000000)</f>
        <v>131.93407537755965</v>
      </c>
      <c r="AB20" s="7">
        <f>csinterpolate(CSTableU1,Choke!AB18*1000000)</f>
        <v>113.8081278926735</v>
      </c>
      <c r="AC20" s="7">
        <f>csinterpolate(CSTableU1,Choke!AC18*1000000)</f>
        <v>80.072509261330453</v>
      </c>
      <c r="AD20" s="7">
        <f>csinterpolate(CSTableU1,Choke!AD18*1000000)</f>
        <v>12.66483834112536</v>
      </c>
      <c r="AE20" s="7">
        <f>csinterpolate(CSTableU1,Choke!AE18*1000000)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3.89654472498726</v>
      </c>
      <c r="C21" s="5">
        <f t="shared" si="1"/>
        <v>4.581973547789711</v>
      </c>
      <c r="D21" s="5">
        <f t="shared" si="1"/>
        <v>5.4386234981603279</v>
      </c>
      <c r="E21" s="5">
        <f t="shared" si="1"/>
        <v>6.6040194391416271</v>
      </c>
      <c r="F21" s="5">
        <f t="shared" si="1"/>
        <v>8.065779154538907</v>
      </c>
      <c r="G21" s="5">
        <f t="shared" si="1"/>
        <v>10.065231570845913</v>
      </c>
      <c r="H21" s="5">
        <f t="shared" si="1"/>
        <v>13.010753764329326</v>
      </c>
      <c r="I21" s="5">
        <f t="shared" si="1"/>
        <v>17.087986380703132</v>
      </c>
      <c r="J21" s="5">
        <f t="shared" si="1"/>
        <v>23.237670701597942</v>
      </c>
      <c r="K21" s="5">
        <f t="shared" si="1"/>
        <v>32.237913761102959</v>
      </c>
      <c r="L21" s="5">
        <f t="shared" si="1"/>
        <v>49.250706680068902</v>
      </c>
      <c r="M21" s="5">
        <f t="shared" si="1"/>
        <v>82.468828669911076</v>
      </c>
      <c r="N21" s="5">
        <f t="shared" si="1"/>
        <v>150.36549680431881</v>
      </c>
      <c r="O21" s="5">
        <f t="shared" si="1"/>
        <v>290.15101933359938</v>
      </c>
      <c r="P21" s="5">
        <f t="shared" si="1"/>
        <v>542.97592895544176</v>
      </c>
      <c r="Q21" s="5">
        <f t="shared" si="1"/>
        <v>920.62966721595922</v>
      </c>
      <c r="R21" s="5">
        <f t="shared" si="1"/>
        <v>1510.7539228423918</v>
      </c>
      <c r="S21" s="5">
        <f t="shared" si="1"/>
        <v>2060.0263777032997</v>
      </c>
      <c r="T21" s="5">
        <f t="shared" si="1"/>
        <v>2623.1754303348944</v>
      </c>
      <c r="U21" s="5">
        <f t="shared" si="1"/>
        <v>3173.2824829368324</v>
      </c>
      <c r="V21" s="5">
        <f t="shared" si="1"/>
        <v>3763.0852807889069</v>
      </c>
      <c r="W21" s="5">
        <f t="shared" si="1"/>
        <v>4447.4911877493796</v>
      </c>
      <c r="X21" s="5">
        <f t="shared" si="1"/>
        <v>5230.9965024324792</v>
      </c>
      <c r="Y21" s="5">
        <f t="shared" si="1"/>
        <v>6139.5731831046178</v>
      </c>
      <c r="Z21" s="5">
        <f t="shared" si="1"/>
        <v>7135.0811124406837</v>
      </c>
      <c r="AA21" s="5">
        <f t="shared" si="1"/>
        <v>8248.2071717148592</v>
      </c>
      <c r="AB21" s="5">
        <f t="shared" si="1"/>
        <v>9862.9279575851342</v>
      </c>
      <c r="AC21" s="5">
        <f t="shared" si="1"/>
        <v>13032.407026900184</v>
      </c>
      <c r="AD21" s="5">
        <f t="shared" si="1"/>
        <v>20251.931321243188</v>
      </c>
      <c r="AE21" s="5">
        <f t="shared" si="1"/>
        <v>36973.832429916329</v>
      </c>
    </row>
    <row r="22" spans="1:31" x14ac:dyDescent="0.2">
      <c r="A22" t="s">
        <v>13</v>
      </c>
      <c r="B22" s="5">
        <f t="shared" ref="B22:AE22" si="2">B20/$B$13*$B$16*B18*1000000</f>
        <v>441.3171216326686</v>
      </c>
      <c r="C22" s="5">
        <f t="shared" si="2"/>
        <v>508.30246509638522</v>
      </c>
      <c r="D22" s="5">
        <f t="shared" si="2"/>
        <v>585.97701743201833</v>
      </c>
      <c r="E22" s="5">
        <f t="shared" si="2"/>
        <v>674.14559900311519</v>
      </c>
      <c r="F22" s="5">
        <f t="shared" si="2"/>
        <v>776.53414050141782</v>
      </c>
      <c r="G22" s="5">
        <f t="shared" si="2"/>
        <v>899.47131041613557</v>
      </c>
      <c r="H22" s="5">
        <f t="shared" si="2"/>
        <v>1043.3865344641652</v>
      </c>
      <c r="I22" s="5">
        <f t="shared" si="2"/>
        <v>1212.3361981872167</v>
      </c>
      <c r="J22" s="5">
        <f t="shared" si="2"/>
        <v>1415.9683031735162</v>
      </c>
      <c r="K22" s="5">
        <f t="shared" si="2"/>
        <v>1673.0423074151454</v>
      </c>
      <c r="L22" s="5">
        <f t="shared" si="2"/>
        <v>1990.848305115831</v>
      </c>
      <c r="M22" s="5">
        <f t="shared" si="2"/>
        <v>2370.8058950892728</v>
      </c>
      <c r="N22" s="5">
        <f t="shared" si="2"/>
        <v>2777.4498484143414</v>
      </c>
      <c r="O22" s="5">
        <f t="shared" si="2"/>
        <v>3259.8184307729134</v>
      </c>
      <c r="P22" s="5">
        <f t="shared" si="2"/>
        <v>3762.5828989287379</v>
      </c>
      <c r="Q22" s="5">
        <f t="shared" si="2"/>
        <v>4351.9497374325001</v>
      </c>
      <c r="R22" s="5">
        <f t="shared" si="2"/>
        <v>4860.8569869558378</v>
      </c>
      <c r="S22" s="5">
        <f t="shared" si="2"/>
        <v>5403.6658094896775</v>
      </c>
      <c r="T22" s="5">
        <f t="shared" si="2"/>
        <v>5876.9516795924001</v>
      </c>
      <c r="U22" s="5">
        <f t="shared" si="2"/>
        <v>6195.0491880412701</v>
      </c>
      <c r="V22" s="5">
        <f t="shared" si="2"/>
        <v>6487.1211671923584</v>
      </c>
      <c r="W22" s="5">
        <f t="shared" si="2"/>
        <v>6841.9210958627627</v>
      </c>
      <c r="X22" s="5">
        <f t="shared" si="2"/>
        <v>7248.7857899695191</v>
      </c>
      <c r="Y22" s="5">
        <f t="shared" si="2"/>
        <v>7693.5968527489558</v>
      </c>
      <c r="Z22" s="5">
        <f t="shared" si="2"/>
        <v>8188.7158637814691</v>
      </c>
      <c r="AA22" s="5">
        <f t="shared" si="2"/>
        <v>8603.3167390688632</v>
      </c>
      <c r="AB22" s="5">
        <f t="shared" si="2"/>
        <v>8524.8787929346836</v>
      </c>
      <c r="AC22" s="5">
        <f t="shared" si="2"/>
        <v>6889.7643970864156</v>
      </c>
      <c r="AD22" s="5">
        <f t="shared" si="2"/>
        <v>1251.7758897475831</v>
      </c>
      <c r="AE22" s="5">
        <f t="shared" si="2"/>
        <v>-13645.010715017488</v>
      </c>
    </row>
    <row r="23" spans="1:31" x14ac:dyDescent="0.2">
      <c r="A23" t="s">
        <v>14</v>
      </c>
      <c r="B23" s="5" t="str">
        <f t="shared" ref="B23:AE23" si="3">IMDIV(1,COMPLEX(B21,B22))</f>
        <v>0.0000200052625935841-0.0022657676296363i</v>
      </c>
      <c r="C23" s="5" t="str">
        <f t="shared" si="3"/>
        <v>0.0000177326179723825-0.00196717273331325i</v>
      </c>
      <c r="D23" s="5" t="str">
        <f t="shared" si="3"/>
        <v>0.0000158376382661183-0.00170640457782864i</v>
      </c>
      <c r="E23" s="5" t="str">
        <f t="shared" si="3"/>
        <v>0.0000145297874376537-0.00148321675092133i</v>
      </c>
      <c r="F23" s="5" t="str">
        <f t="shared" si="3"/>
        <v>0.0000133745249566158-0.00128763446690156i</v>
      </c>
      <c r="G23" s="5" t="str">
        <f t="shared" si="3"/>
        <v>0.000012439266178437-0.00111162500051586i</v>
      </c>
      <c r="H23" s="5" t="str">
        <f t="shared" si="3"/>
        <v>0.0000119493553794103-0.000958268577227696i</v>
      </c>
      <c r="I23" s="5" t="str">
        <f t="shared" si="3"/>
        <v>0.0000116240767983288-0.000824689858662113i</v>
      </c>
      <c r="J23" s="5" t="str">
        <f t="shared" si="3"/>
        <v>0.0000115869352150173-0.00070604034311672i</v>
      </c>
      <c r="K23" s="5" t="str">
        <f t="shared" si="3"/>
        <v>0.0000115130889643806-0.000597491669876101i</v>
      </c>
      <c r="L23" s="5" t="str">
        <f t="shared" si="3"/>
        <v>0.0000124185366036036-0.000501991224408328i</v>
      </c>
      <c r="M23" s="5" t="str">
        <f t="shared" si="3"/>
        <v>0.0000146545554273901-0.000421287739349752i</v>
      </c>
      <c r="N23" s="5" t="str">
        <f t="shared" si="3"/>
        <v>0.0000194350078970176-0.000358990332787253i</v>
      </c>
      <c r="O23" s="5" t="str">
        <f t="shared" si="3"/>
        <v>0.0000270900711414851-0.000304354309699771i</v>
      </c>
      <c r="P23" s="5" t="str">
        <f t="shared" si="3"/>
        <v>0.0000375713710593226-0.000260352974595149i</v>
      </c>
      <c r="Q23" s="5" t="str">
        <f t="shared" si="3"/>
        <v>0.0000465269359033077-0.000219939562778005i</v>
      </c>
      <c r="R23" s="5" t="str">
        <f t="shared" si="3"/>
        <v>0.0000583070613891512-0.000187603210858508i</v>
      </c>
      <c r="S23" s="5" t="str">
        <f t="shared" si="3"/>
        <v>0.0000615975572301139-0.000161576869866853i</v>
      </c>
      <c r="T23" s="5" t="str">
        <f t="shared" si="3"/>
        <v>0.0000633317263514952-0.000141888144898258i</v>
      </c>
      <c r="U23" s="5" t="str">
        <f t="shared" si="3"/>
        <v>0.0000654982487442511-0.000127869130744915i</v>
      </c>
      <c r="V23" s="5" t="str">
        <f t="shared" si="3"/>
        <v>0.0000669069636568982-0.000115339820329621i</v>
      </c>
      <c r="W23" s="5" t="str">
        <f t="shared" si="3"/>
        <v>0.0000667871071168159-0.000102743793708431i</v>
      </c>
      <c r="X23" s="5" t="str">
        <f t="shared" si="3"/>
        <v>0.0000654625583335683-0.0000907138940740566i</v>
      </c>
      <c r="Y23" s="5" t="str">
        <f t="shared" si="3"/>
        <v>0.0000633691802913203-0.0000794089281958927i</v>
      </c>
      <c r="Z23" s="5" t="str">
        <f t="shared" si="3"/>
        <v>0.0000604850114904931-0.0000694168104479727i</v>
      </c>
      <c r="AA23" s="5" t="str">
        <f t="shared" si="3"/>
        <v>0.0000580655283794407-0.0000605654200809628i</v>
      </c>
      <c r="AB23" s="5" t="str">
        <f t="shared" si="3"/>
        <v>0.0000580339826984557-0.0000501608316012413i</v>
      </c>
      <c r="AC23" s="5" t="str">
        <f t="shared" si="3"/>
        <v>0.0000599708155065758-0.0000317044110645554i</v>
      </c>
      <c r="AD23" s="5" t="str">
        <f t="shared" si="3"/>
        <v>0.000049190075961821-3.04044834673475E-06i</v>
      </c>
      <c r="AE23" s="5" t="str">
        <f t="shared" si="3"/>
        <v>0.0000238041642366392+0.0000087848095456875i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0.0000326725635973338i</v>
      </c>
      <c r="C24" s="6" t="str">
        <f t="shared" si="4"/>
        <v>0.0000375309200577934i</v>
      </c>
      <c r="D24" s="6" t="str">
        <f t="shared" si="4"/>
        <v>0.0000431117061319125i</v>
      </c>
      <c r="E24" s="6" t="str">
        <f t="shared" si="4"/>
        <v>0.0000495223459148435i</v>
      </c>
      <c r="F24" s="6" t="str">
        <f t="shared" si="4"/>
        <v>0.0000568862372879748i</v>
      </c>
      <c r="G24" s="6" t="str">
        <f t="shared" si="4"/>
        <v>0.0000653451271946677i</v>
      </c>
      <c r="H24" s="6" t="str">
        <f t="shared" si="4"/>
        <v>0.0000750618401155868i</v>
      </c>
      <c r="I24" s="6" t="str">
        <f t="shared" si="4"/>
        <v>0.0000862234122638251i</v>
      </c>
      <c r="J24" s="6" t="str">
        <f t="shared" si="4"/>
        <v>0.000099044691829687i</v>
      </c>
      <c r="K24" s="6" t="str">
        <f t="shared" si="4"/>
        <v>0.00011377247457595i</v>
      </c>
      <c r="L24" s="6" t="str">
        <f t="shared" si="4"/>
        <v>0.000130690254389336i</v>
      </c>
      <c r="M24" s="6" t="str">
        <f t="shared" si="4"/>
        <v>0.000150123680231174i</v>
      </c>
      <c r="N24" s="6" t="str">
        <f t="shared" si="4"/>
        <v>0.00017244682452765i</v>
      </c>
      <c r="O24" s="6" t="str">
        <f t="shared" si="4"/>
        <v>0.000198089383659374i</v>
      </c>
      <c r="P24" s="6" t="str">
        <f t="shared" si="4"/>
        <v>0.0002275449491519i</v>
      </c>
      <c r="Q24" s="6" t="str">
        <f t="shared" si="4"/>
        <v>0.000261380508778671i</v>
      </c>
      <c r="R24" s="6" t="str">
        <f t="shared" si="4"/>
        <v>0.000300247360462348i</v>
      </c>
      <c r="S24" s="6" t="str">
        <f t="shared" si="4"/>
        <v>0.0003448936490553i</v>
      </c>
      <c r="T24" s="6" t="str">
        <f t="shared" si="4"/>
        <v>0.000396178767318748i</v>
      </c>
      <c r="U24" s="6" t="str">
        <f t="shared" si="4"/>
        <v>0.000455089898303799i</v>
      </c>
      <c r="V24" s="6" t="str">
        <f t="shared" si="4"/>
        <v>0.000522761017557342i</v>
      </c>
      <c r="W24" s="6" t="str">
        <f t="shared" si="4"/>
        <v>0.000600494720924695i</v>
      </c>
      <c r="X24" s="6" t="str">
        <f t="shared" si="4"/>
        <v>0.000689787298110601i</v>
      </c>
      <c r="Y24" s="6" t="str">
        <f t="shared" si="4"/>
        <v>0.000792357534637497i</v>
      </c>
      <c r="Z24" s="6" t="str">
        <f t="shared" si="4"/>
        <v>0.000910179796607599i</v>
      </c>
      <c r="AA24" s="6" t="str">
        <f t="shared" si="4"/>
        <v>0.00104552203511468i</v>
      </c>
      <c r="AB24" s="6" t="str">
        <f t="shared" si="4"/>
        <v>0.00120098944184939i</v>
      </c>
      <c r="AC24" s="6" t="str">
        <f t="shared" si="4"/>
        <v>0.0013795745962212i</v>
      </c>
      <c r="AD24" s="6" t="str">
        <f t="shared" si="4"/>
        <v>0.00158471506927499i</v>
      </c>
      <c r="AE24" s="6" t="str">
        <f t="shared" si="4"/>
        <v>0.0018203595932152i</v>
      </c>
    </row>
    <row r="25" spans="1:31" x14ac:dyDescent="0.2">
      <c r="A25" t="s">
        <v>16</v>
      </c>
      <c r="B25" s="6" t="str">
        <f t="shared" ref="B25:AE25" si="5">IMDIV(1,IMSUM(B23,B24))</f>
        <v>4.01139084810227+447.773033167979i</v>
      </c>
      <c r="C25" s="6" t="str">
        <f t="shared" si="5"/>
        <v>4.76192752518997+518.187132808573i</v>
      </c>
      <c r="D25" s="6" t="str">
        <f t="shared" si="5"/>
        <v>5.72418409948048+601.162524927347i</v>
      </c>
      <c r="E25" s="6" t="str">
        <f t="shared" si="5"/>
        <v>7.06808033025878+697.427079859939i</v>
      </c>
      <c r="F25" s="6" t="str">
        <f t="shared" si="5"/>
        <v>8.82853499013026+812.417924706153i</v>
      </c>
      <c r="G25" s="6" t="str">
        <f t="shared" si="5"/>
        <v>11.3615513561417+955.632136423159i</v>
      </c>
      <c r="H25" s="6" t="str">
        <f t="shared" si="5"/>
        <v>15.315819579761+1132.03052447052i</v>
      </c>
      <c r="I25" s="6" t="str">
        <f t="shared" si="5"/>
        <v>21.3102891696923+1353.82222501533i</v>
      </c>
      <c r="J25" s="6" t="str">
        <f t="shared" si="5"/>
        <v>31.4368625216846+1646.85816280732i</v>
      </c>
      <c r="K25" s="6" t="str">
        <f t="shared" si="5"/>
        <v>49.1766862419482+2066.14464372489i</v>
      </c>
      <c r="L25" s="6" t="str">
        <f t="shared" si="5"/>
        <v>89.9772484964869+2690.22355151661i</v>
      </c>
      <c r="M25" s="6" t="str">
        <f t="shared" si="5"/>
        <v>198.720109250987+3677.06490449173i</v>
      </c>
      <c r="N25" s="6" t="str">
        <f t="shared" si="5"/>
        <v>552.50447444114+5303.11711410184i</v>
      </c>
      <c r="O25" s="6" t="str">
        <f t="shared" si="5"/>
        <v>2252.60529912472+8836.18703913716i</v>
      </c>
      <c r="P25" s="6" t="str">
        <f t="shared" si="5"/>
        <v>15101.1884214509+13186.6407848676i</v>
      </c>
      <c r="Q25" s="6" t="str">
        <f t="shared" si="5"/>
        <v>11984.9676155539-10674.8571796792i</v>
      </c>
      <c r="R25" s="6" t="str">
        <f t="shared" si="5"/>
        <v>3624.16378917497-7001.56787755048i</v>
      </c>
      <c r="S25" s="6" t="str">
        <f t="shared" si="5"/>
        <v>1647.02430955766-4901.60982431913i</v>
      </c>
      <c r="T25" s="6" t="str">
        <f t="shared" si="5"/>
        <v>922.199770116806-3702.83216720649i</v>
      </c>
      <c r="U25" s="6" t="str">
        <f t="shared" si="5"/>
        <v>588.148517072233-2938.31381578561i</v>
      </c>
      <c r="V25" s="6" t="str">
        <f t="shared" si="5"/>
        <v>392.488551939286-2390.00766122484i</v>
      </c>
      <c r="W25" s="6" t="str">
        <f t="shared" si="5"/>
        <v>264.800702030644-1973.50657414662i</v>
      </c>
      <c r="X25" s="6" t="str">
        <f t="shared" si="5"/>
        <v>180.251080932587-1649.54794594667i</v>
      </c>
      <c r="Y25" s="6" t="str">
        <f t="shared" si="5"/>
        <v>123.692707590212-1391.63143815368i</v>
      </c>
      <c r="Z25" s="6" t="str">
        <f t="shared" si="5"/>
        <v>85.1253136591217-1183.27187424057i</v>
      </c>
      <c r="AA25" s="6" t="str">
        <f t="shared" si="5"/>
        <v>59.6454689096177-1011.75690291517i</v>
      </c>
      <c r="AB25" s="6" t="str">
        <f t="shared" si="5"/>
        <v>43.7077121251904-866.735027708129i</v>
      </c>
      <c r="AC25" s="6" t="str">
        <f t="shared" si="5"/>
        <v>32.9446523413251-740.445402920257i</v>
      </c>
      <c r="AD25" s="6" t="str">
        <f t="shared" si="5"/>
        <v>19.6437025857487-631.630369204077i</v>
      </c>
      <c r="AE25" s="6" t="str">
        <f t="shared" si="5"/>
        <v>7.11350117234372-546.611119133439i</v>
      </c>
    </row>
    <row r="26" spans="1:31" x14ac:dyDescent="0.2">
      <c r="A26" t="s">
        <v>8</v>
      </c>
      <c r="B26" s="5">
        <f t="shared" ref="B26:AE26" si="6">IMREAL(B25)</f>
        <v>4.0113908481022698</v>
      </c>
      <c r="C26" s="5">
        <f t="shared" si="6"/>
        <v>4.7619275251899698</v>
      </c>
      <c r="D26" s="5">
        <f t="shared" si="6"/>
        <v>5.72418409948048</v>
      </c>
      <c r="E26" s="5">
        <f t="shared" si="6"/>
        <v>7.0680803302587796</v>
      </c>
      <c r="F26" s="5">
        <f t="shared" si="6"/>
        <v>8.8285349901302599</v>
      </c>
      <c r="G26" s="5">
        <f t="shared" si="6"/>
        <v>11.3615513561417</v>
      </c>
      <c r="H26" s="5">
        <f t="shared" si="6"/>
        <v>15.315819579761</v>
      </c>
      <c r="I26" s="5">
        <f t="shared" si="6"/>
        <v>21.3102891696923</v>
      </c>
      <c r="J26" s="5">
        <f t="shared" si="6"/>
        <v>31.436862521684599</v>
      </c>
      <c r="K26" s="5">
        <f t="shared" si="6"/>
        <v>49.176686241948197</v>
      </c>
      <c r="L26" s="5">
        <f t="shared" si="6"/>
        <v>89.977248496486894</v>
      </c>
      <c r="M26" s="5">
        <f t="shared" si="6"/>
        <v>198.72010925098701</v>
      </c>
      <c r="N26" s="5">
        <f t="shared" si="6"/>
        <v>552.50447444114002</v>
      </c>
      <c r="O26" s="5">
        <f t="shared" si="6"/>
        <v>2252.6052991247202</v>
      </c>
      <c r="P26" s="5">
        <f t="shared" si="6"/>
        <v>15101.188421450899</v>
      </c>
      <c r="Q26" s="5">
        <f t="shared" si="6"/>
        <v>11984.9676155539</v>
      </c>
      <c r="R26" s="5">
        <f t="shared" si="6"/>
        <v>3624.1637891749701</v>
      </c>
      <c r="S26" s="5">
        <f t="shared" si="6"/>
        <v>1647.02430955766</v>
      </c>
      <c r="T26" s="5">
        <f t="shared" si="6"/>
        <v>922.19977011680601</v>
      </c>
      <c r="U26" s="5">
        <f t="shared" si="6"/>
        <v>588.14851707223295</v>
      </c>
      <c r="V26" s="5">
        <f t="shared" si="6"/>
        <v>392.48855193928603</v>
      </c>
      <c r="W26" s="5">
        <f t="shared" si="6"/>
        <v>264.800702030644</v>
      </c>
      <c r="X26" s="5">
        <f t="shared" si="6"/>
        <v>180.251080932587</v>
      </c>
      <c r="Y26" s="5">
        <f t="shared" si="6"/>
        <v>123.692707590212</v>
      </c>
      <c r="Z26" s="5">
        <f t="shared" si="6"/>
        <v>85.125313659121701</v>
      </c>
      <c r="AA26" s="5">
        <f t="shared" si="6"/>
        <v>59.645468909617698</v>
      </c>
      <c r="AB26" s="5">
        <f t="shared" si="6"/>
        <v>43.707712125190398</v>
      </c>
      <c r="AC26" s="5">
        <f t="shared" si="6"/>
        <v>32.944652341325103</v>
      </c>
      <c r="AD26" s="5">
        <f t="shared" si="6"/>
        <v>19.643702585748699</v>
      </c>
      <c r="AE26" s="5">
        <f t="shared" si="6"/>
        <v>7.11350117234372</v>
      </c>
    </row>
    <row r="27" spans="1:31" x14ac:dyDescent="0.2">
      <c r="A27" t="s">
        <v>9</v>
      </c>
      <c r="B27" s="5">
        <f t="shared" ref="B27:AE27" si="7">IMAGINARY(B25)</f>
        <v>447.77303316797901</v>
      </c>
      <c r="C27" s="5">
        <f t="shared" si="7"/>
        <v>518.18713280857298</v>
      </c>
      <c r="D27" s="5">
        <f t="shared" si="7"/>
        <v>601.16252492734702</v>
      </c>
      <c r="E27" s="5">
        <f t="shared" si="7"/>
        <v>697.427079859939</v>
      </c>
      <c r="F27" s="5">
        <f t="shared" si="7"/>
        <v>812.41792470615303</v>
      </c>
      <c r="G27" s="5">
        <f t="shared" si="7"/>
        <v>955.63213642315895</v>
      </c>
      <c r="H27" s="5">
        <f t="shared" si="7"/>
        <v>1132.03052447052</v>
      </c>
      <c r="I27" s="5">
        <f t="shared" si="7"/>
        <v>1353.8222250153301</v>
      </c>
      <c r="J27" s="5">
        <f t="shared" si="7"/>
        <v>1646.85816280732</v>
      </c>
      <c r="K27" s="5">
        <f t="shared" si="7"/>
        <v>2066.1446437248901</v>
      </c>
      <c r="L27" s="5">
        <f t="shared" si="7"/>
        <v>2690.2235515166099</v>
      </c>
      <c r="M27" s="5">
        <f t="shared" si="7"/>
        <v>3677.06490449173</v>
      </c>
      <c r="N27" s="5">
        <f t="shared" si="7"/>
        <v>5303.1171141018403</v>
      </c>
      <c r="O27" s="5">
        <f t="shared" si="7"/>
        <v>8836.1870391371594</v>
      </c>
      <c r="P27" s="5">
        <f t="shared" si="7"/>
        <v>13186.640784867601</v>
      </c>
      <c r="Q27" s="5">
        <f t="shared" si="7"/>
        <v>-10674.8571796792</v>
      </c>
      <c r="R27" s="5">
        <f t="shared" si="7"/>
        <v>-7001.5678775504803</v>
      </c>
      <c r="S27" s="5">
        <f t="shared" si="7"/>
        <v>-4901.60982431913</v>
      </c>
      <c r="T27" s="5">
        <f t="shared" si="7"/>
        <v>-3702.8321672064899</v>
      </c>
      <c r="U27" s="5">
        <f t="shared" si="7"/>
        <v>-2938.3138157856101</v>
      </c>
      <c r="V27" s="5">
        <f t="shared" si="7"/>
        <v>-2390.0076612248399</v>
      </c>
      <c r="W27" s="5">
        <f t="shared" si="7"/>
        <v>-1973.5065741466201</v>
      </c>
      <c r="X27" s="5">
        <f t="shared" si="7"/>
        <v>-1649.5479459466701</v>
      </c>
      <c r="Y27" s="5">
        <f t="shared" si="7"/>
        <v>-1391.6314381536799</v>
      </c>
      <c r="Z27" s="5">
        <f t="shared" si="7"/>
        <v>-1183.27187424057</v>
      </c>
      <c r="AA27" s="5">
        <f t="shared" si="7"/>
        <v>-1011.75690291517</v>
      </c>
      <c r="AB27" s="5">
        <f t="shared" si="7"/>
        <v>-866.735027708129</v>
      </c>
      <c r="AC27" s="5">
        <f t="shared" si="7"/>
        <v>-740.44540292025704</v>
      </c>
      <c r="AD27" s="5">
        <f t="shared" si="7"/>
        <v>-631.63036920407706</v>
      </c>
      <c r="AE27" s="5">
        <f t="shared" si="7"/>
        <v>-546.61111913343905</v>
      </c>
    </row>
    <row r="28" spans="1:31" x14ac:dyDescent="0.2">
      <c r="A28" t="s">
        <v>17</v>
      </c>
      <c r="B28" s="5">
        <f t="shared" ref="B28:AE28" si="8">IMABS(B25)</f>
        <v>447.7910009021935</v>
      </c>
      <c r="C28" s="5">
        <f t="shared" si="8"/>
        <v>518.20901242850346</v>
      </c>
      <c r="D28" s="5">
        <f t="shared" si="8"/>
        <v>601.18977674327414</v>
      </c>
      <c r="E28" s="5">
        <f t="shared" si="8"/>
        <v>697.46289469871931</v>
      </c>
      <c r="F28" s="5">
        <f t="shared" si="8"/>
        <v>812.46589307731824</v>
      </c>
      <c r="G28" s="5">
        <f t="shared" si="8"/>
        <v>955.69967302176542</v>
      </c>
      <c r="H28" s="5">
        <f t="shared" si="8"/>
        <v>1132.1341275053942</v>
      </c>
      <c r="I28" s="5">
        <f t="shared" si="8"/>
        <v>1353.9899354758716</v>
      </c>
      <c r="J28" s="5">
        <f t="shared" si="8"/>
        <v>1647.1581844893674</v>
      </c>
      <c r="K28" s="5">
        <f t="shared" si="8"/>
        <v>2066.7297925134753</v>
      </c>
      <c r="L28" s="5">
        <f t="shared" si="8"/>
        <v>2691.7278210067302</v>
      </c>
      <c r="M28" s="5">
        <f t="shared" si="8"/>
        <v>3682.4307181080135</v>
      </c>
      <c r="N28" s="5">
        <f t="shared" si="8"/>
        <v>5331.820732184955</v>
      </c>
      <c r="O28" s="5">
        <f t="shared" si="8"/>
        <v>9118.7955358292947</v>
      </c>
      <c r="P28" s="5">
        <f t="shared" si="8"/>
        <v>20048.276407943307</v>
      </c>
      <c r="Q28" s="5">
        <f t="shared" si="8"/>
        <v>16049.673658751581</v>
      </c>
      <c r="R28" s="5">
        <f t="shared" si="8"/>
        <v>7883.9403799568272</v>
      </c>
      <c r="S28" s="5">
        <f t="shared" si="8"/>
        <v>5170.9252504881269</v>
      </c>
      <c r="T28" s="5">
        <f t="shared" si="8"/>
        <v>3815.9426718050418</v>
      </c>
      <c r="U28" s="5">
        <f t="shared" si="8"/>
        <v>2996.5991987869947</v>
      </c>
      <c r="V28" s="5">
        <f t="shared" si="8"/>
        <v>2422.0206200849793</v>
      </c>
      <c r="W28" s="5">
        <f t="shared" si="8"/>
        <v>1991.1925095268543</v>
      </c>
      <c r="X28" s="5">
        <f t="shared" si="8"/>
        <v>1659.367011289017</v>
      </c>
      <c r="Y28" s="5">
        <f t="shared" si="8"/>
        <v>1397.1177278843315</v>
      </c>
      <c r="Z28" s="5">
        <f t="shared" si="8"/>
        <v>1186.32990664248</v>
      </c>
      <c r="AA28" s="5">
        <f t="shared" si="8"/>
        <v>1013.5134989520095</v>
      </c>
      <c r="AB28" s="5">
        <f t="shared" si="8"/>
        <v>867.83637418319222</v>
      </c>
      <c r="AC28" s="5">
        <f t="shared" si="8"/>
        <v>741.17794410224633</v>
      </c>
      <c r="AD28" s="5">
        <f t="shared" si="8"/>
        <v>631.93575492462526</v>
      </c>
      <c r="AE28" s="5">
        <f t="shared" si="8"/>
        <v>546.65740410172771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10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3" ht="20.25" x14ac:dyDescent="0.3">
      <c r="A1" s="9" t="s">
        <v>28</v>
      </c>
    </row>
    <row r="3" spans="1:3" x14ac:dyDescent="0.2">
      <c r="A3" s="8" t="s">
        <v>30</v>
      </c>
    </row>
    <row r="4" spans="1:3" x14ac:dyDescent="0.2">
      <c r="A4" s="13" t="s">
        <v>29</v>
      </c>
    </row>
    <row r="6" spans="1:3" x14ac:dyDescent="0.2">
      <c r="A6" s="8" t="s">
        <v>18</v>
      </c>
    </row>
    <row r="7" spans="1:3" x14ac:dyDescent="0.2">
      <c r="A7" t="s">
        <v>3</v>
      </c>
      <c r="B7" s="3">
        <f>2*567</f>
        <v>1134</v>
      </c>
      <c r="C7" t="s">
        <v>32</v>
      </c>
    </row>
    <row r="8" spans="1:3" x14ac:dyDescent="0.2">
      <c r="A8" t="s">
        <v>7</v>
      </c>
      <c r="B8" s="3">
        <v>11</v>
      </c>
    </row>
    <row r="9" spans="1:3" x14ac:dyDescent="0.2">
      <c r="A9" t="s">
        <v>10</v>
      </c>
      <c r="B9" s="3">
        <v>7</v>
      </c>
    </row>
    <row r="11" spans="1:3" x14ac:dyDescent="0.2">
      <c r="A11" s="8" t="s">
        <v>19</v>
      </c>
    </row>
    <row r="12" spans="1:3" x14ac:dyDescent="0.2">
      <c r="A12" t="s">
        <v>21</v>
      </c>
      <c r="B12" t="str">
        <f>Mix!B1</f>
        <v>F14</v>
      </c>
    </row>
    <row r="13" spans="1:3" x14ac:dyDescent="0.2">
      <c r="A13" t="s">
        <v>20</v>
      </c>
      <c r="B13">
        <f>Mix!B2</f>
        <v>220</v>
      </c>
    </row>
    <row r="15" spans="1:3" x14ac:dyDescent="0.2">
      <c r="A15" s="8" t="s">
        <v>22</v>
      </c>
    </row>
    <row r="16" spans="1:3" x14ac:dyDescent="0.2">
      <c r="A16" s="2" t="s">
        <v>11</v>
      </c>
      <c r="B16" s="4">
        <f>2*PI()*$B$8^2*$B$7*0.000000001</f>
        <v>8.6214098873933981E-4</v>
      </c>
    </row>
    <row r="18" spans="1:31" x14ac:dyDescent="0.2">
      <c r="A18" t="s">
        <v>4</v>
      </c>
      <c r="B18" s="10">
        <v>1.04</v>
      </c>
      <c r="C18" s="10">
        <f>B18*2^(1/5)</f>
        <v>1.1946462891969165</v>
      </c>
      <c r="D18" s="10">
        <f t="shared" ref="D18:AE18" si="0">C18*2^(1/5)</f>
        <v>1.3722882272038102</v>
      </c>
      <c r="E18" s="10">
        <f t="shared" si="0"/>
        <v>1.5763452291708142</v>
      </c>
      <c r="F18" s="10">
        <f t="shared" si="0"/>
        <v>1.8107451716559386</v>
      </c>
      <c r="G18" s="10">
        <f t="shared" si="0"/>
        <v>2.0800000000000005</v>
      </c>
      <c r="H18" s="10">
        <f t="shared" si="0"/>
        <v>2.3892925783938335</v>
      </c>
      <c r="I18" s="10">
        <f t="shared" si="0"/>
        <v>2.7445764544076212</v>
      </c>
      <c r="J18" s="10">
        <f t="shared" si="0"/>
        <v>3.1526904583416298</v>
      </c>
      <c r="K18" s="10">
        <f t="shared" si="0"/>
        <v>3.6214903433118786</v>
      </c>
      <c r="L18" s="10">
        <f t="shared" si="0"/>
        <v>4.1600000000000028</v>
      </c>
      <c r="M18" s="10">
        <f t="shared" si="0"/>
        <v>4.7785851567876696</v>
      </c>
      <c r="N18" s="10">
        <f t="shared" si="0"/>
        <v>5.4891529088152451</v>
      </c>
      <c r="O18" s="10">
        <f t="shared" si="0"/>
        <v>6.3053809166832622</v>
      </c>
      <c r="P18" s="10">
        <f t="shared" si="0"/>
        <v>7.2429806866237607</v>
      </c>
      <c r="Q18" s="10">
        <f t="shared" si="0"/>
        <v>8.3200000000000092</v>
      </c>
      <c r="R18" s="10">
        <f t="shared" si="0"/>
        <v>9.5571703135753427</v>
      </c>
      <c r="S18" s="10">
        <f t="shared" si="0"/>
        <v>10.978305817630494</v>
      </c>
      <c r="T18" s="10">
        <f t="shared" si="0"/>
        <v>12.610761833366528</v>
      </c>
      <c r="U18" s="10">
        <f t="shared" si="0"/>
        <v>14.485961373247525</v>
      </c>
      <c r="V18" s="10">
        <f t="shared" si="0"/>
        <v>16.640000000000022</v>
      </c>
      <c r="W18" s="10">
        <f t="shared" si="0"/>
        <v>19.114340627150689</v>
      </c>
      <c r="X18" s="10">
        <f t="shared" si="0"/>
        <v>21.956611635260991</v>
      </c>
      <c r="Y18" s="10">
        <f t="shared" si="0"/>
        <v>25.221523666733063</v>
      </c>
      <c r="Z18" s="10">
        <f t="shared" si="0"/>
        <v>28.971922746495057</v>
      </c>
      <c r="AA18" s="10">
        <f t="shared" si="0"/>
        <v>33.280000000000058</v>
      </c>
      <c r="AB18" s="10">
        <f t="shared" si="0"/>
        <v>38.228681254301392</v>
      </c>
      <c r="AC18" s="10">
        <f t="shared" si="0"/>
        <v>43.913223270522003</v>
      </c>
      <c r="AD18" s="10">
        <f t="shared" si="0"/>
        <v>50.443047333466147</v>
      </c>
      <c r="AE18" s="10">
        <f t="shared" si="0"/>
        <v>57.943845492990143</v>
      </c>
    </row>
    <row r="19" spans="1:31" x14ac:dyDescent="0.2">
      <c r="A19" t="s">
        <v>6</v>
      </c>
      <c r="B19" s="7">
        <f>csinterpolate(CSTableU2,'Choke (2)'!B18*1000000)</f>
        <v>1.9121445035223179</v>
      </c>
      <c r="C19" s="7">
        <f>csinterpolate(CSTableU2,'Choke (2)'!C18*1000000)</f>
        <v>1.9574362303797543</v>
      </c>
      <c r="D19" s="7">
        <f>csinterpolate(CSTableU2,'Choke (2)'!D18*1000000)</f>
        <v>2.0226374329293155</v>
      </c>
      <c r="E19" s="7">
        <f>csinterpolate(CSTableU2,'Choke (2)'!E18*1000000)</f>
        <v>2.13811662060994</v>
      </c>
      <c r="F19" s="7">
        <f>csinterpolate(CSTableU2,'Choke (2)'!F18*1000000)</f>
        <v>2.2733346634365299</v>
      </c>
      <c r="G19" s="7">
        <f>csinterpolate(CSTableU2,'Choke (2)'!G18*1000000)</f>
        <v>2.4696466463547706</v>
      </c>
      <c r="H19" s="7">
        <f>csinterpolate(CSTableU2,'Choke (2)'!H18*1000000)</f>
        <v>2.7791213259113334</v>
      </c>
      <c r="I19" s="7">
        <f>csinterpolate(CSTableU2,'Choke (2)'!I18*1000000)</f>
        <v>3.1775320463613363</v>
      </c>
      <c r="J19" s="7">
        <f>csinterpolate(CSTableU2,'Choke (2)'!J18*1000000)</f>
        <v>3.761712878740791</v>
      </c>
      <c r="K19" s="7">
        <f>csinterpolate(CSTableU2,'Choke (2)'!K18*1000000)</f>
        <v>4.5431176223534013</v>
      </c>
      <c r="L19" s="7">
        <f>csinterpolate(CSTableU2,'Choke (2)'!L18*1000000)</f>
        <v>6.0421780525816695</v>
      </c>
      <c r="M19" s="7">
        <f>csinterpolate(CSTableU2,'Choke (2)'!M18*1000000)</f>
        <v>8.8077479841265731</v>
      </c>
      <c r="N19" s="7">
        <f>csinterpolate(CSTableU2,'Choke (2)'!N18*1000000)</f>
        <v>13.980324367016085</v>
      </c>
      <c r="O19" s="7">
        <f>csinterpolate(CSTableU2,'Choke (2)'!O18*1000000)</f>
        <v>23.484815673283332</v>
      </c>
      <c r="P19" s="7">
        <f>csinterpolate(CSTableU2,'Choke (2)'!P18*1000000)</f>
        <v>38.259354026927227</v>
      </c>
      <c r="Q19" s="7">
        <f>csinterpolate(CSTableU2,'Choke (2)'!Q18*1000000)</f>
        <v>56.472371106696684</v>
      </c>
      <c r="R19" s="7">
        <f>csinterpolate(CSTableU2,'Choke (2)'!R18*1000000)</f>
        <v>80.674965517493945</v>
      </c>
      <c r="S19" s="7">
        <f>csinterpolate(CSTableU2,'Choke (2)'!S18*1000000)</f>
        <v>95.766108505532216</v>
      </c>
      <c r="T19" s="7">
        <f>csinterpolate(CSTableU2,'Choke (2)'!T18*1000000)</f>
        <v>106.15987426408267</v>
      </c>
      <c r="U19" s="7">
        <f>csinterpolate(CSTableU2,'Choke (2)'!U18*1000000)</f>
        <v>111.79845317976333</v>
      </c>
      <c r="V19" s="7">
        <f>csinterpolate(CSTableU2,'Choke (2)'!V18*1000000)</f>
        <v>115.41576165229573</v>
      </c>
      <c r="W19" s="7">
        <f>csinterpolate(CSTableU2,'Choke (2)'!W18*1000000)</f>
        <v>118.74905396107683</v>
      </c>
      <c r="X19" s="7">
        <f>csinterpolate(CSTableU2,'Choke (2)'!X18*1000000)</f>
        <v>121.58877771325294</v>
      </c>
      <c r="Y19" s="7">
        <f>csinterpolate(CSTableU2,'Choke (2)'!Y18*1000000)</f>
        <v>124.23422193122427</v>
      </c>
      <c r="Z19" s="7">
        <f>csinterpolate(CSTableU2,'Choke (2)'!Z18*1000000)</f>
        <v>125.68862620524732</v>
      </c>
      <c r="AA19" s="7">
        <f>csinterpolate(CSTableU2,'Choke (2)'!AA18*1000000)</f>
        <v>126.48837881104612</v>
      </c>
      <c r="AB19" s="7">
        <f>csinterpolate(CSTableU2,'Choke (2)'!AB18*1000000)</f>
        <v>131.67124057216782</v>
      </c>
      <c r="AC19" s="7">
        <f>csinterpolate(CSTableU2,'Choke (2)'!AC18*1000000)</f>
        <v>151.46200540619219</v>
      </c>
      <c r="AD19" s="7">
        <f>csinterpolate(CSTableU2,'Choke (2)'!AD18*1000000)</f>
        <v>204.89884681421552</v>
      </c>
      <c r="AE19" s="7">
        <f>csinterpolate(CSTableU2,'Choke (2)'!AE18*1000000)</f>
        <v>325.6578397936072</v>
      </c>
    </row>
    <row r="20" spans="1:31" x14ac:dyDescent="0.2">
      <c r="A20" t="s">
        <v>5</v>
      </c>
      <c r="B20" s="7">
        <f>csinterpolate(CSTableU1,'Choke (2)'!B18*1000000)</f>
        <v>216.56677081846061</v>
      </c>
      <c r="C20" s="7">
        <f>csinterpolate(CSTableU1,'Choke (2)'!C18*1000000)</f>
        <v>217.14871349507604</v>
      </c>
      <c r="D20" s="7">
        <f>csinterpolate(CSTableU1,'Choke (2)'!D18*1000000)</f>
        <v>217.9262915874186</v>
      </c>
      <c r="E20" s="7">
        <f>csinterpolate(CSTableU1,'Choke (2)'!E18*1000000)</f>
        <v>218.26130634875207</v>
      </c>
      <c r="F20" s="7">
        <f>csinterpolate(CSTableU1,'Choke (2)'!F18*1000000)</f>
        <v>218.86564770997416</v>
      </c>
      <c r="G20" s="7">
        <f>csinterpolate(CSTableU1,'Choke (2)'!G18*1000000)</f>
        <v>220.69798291534474</v>
      </c>
      <c r="H20" s="7">
        <f>csinterpolate(CSTableU1,'Choke (2)'!H18*1000000)</f>
        <v>222.86931423204547</v>
      </c>
      <c r="I20" s="7">
        <f>csinterpolate(CSTableU1,'Choke (2)'!I18*1000000)</f>
        <v>225.43540443442456</v>
      </c>
      <c r="J20" s="7">
        <f>csinterpolate(CSTableU1,'Choke (2)'!J18*1000000)</f>
        <v>229.21687247983448</v>
      </c>
      <c r="K20" s="7">
        <f>csinterpolate(CSTableU1,'Choke (2)'!K18*1000000)</f>
        <v>235.77294877348464</v>
      </c>
      <c r="L20" s="7">
        <f>csinterpolate(CSTableU1,'Choke (2)'!L18*1000000)</f>
        <v>244.24136720170733</v>
      </c>
      <c r="M20" s="7">
        <f>csinterpolate(CSTableU1,'Choke (2)'!M18*1000000)</f>
        <v>253.20428554657747</v>
      </c>
      <c r="N20" s="7">
        <f>csinterpolate(CSTableU1,'Choke (2)'!N18*1000000)</f>
        <v>258.23510458974437</v>
      </c>
      <c r="O20" s="7">
        <f>csinterpolate(CSTableU1,'Choke (2)'!O18*1000000)</f>
        <v>263.84961579974163</v>
      </c>
      <c r="P20" s="7">
        <f>csinterpolate(CSTableU1,'Choke (2)'!P18*1000000)</f>
        <v>265.12039210045725</v>
      </c>
      <c r="Q20" s="7">
        <f>csinterpolate(CSTableU1,'Choke (2)'!Q18*1000000)</f>
        <v>266.95307501135346</v>
      </c>
      <c r="R20" s="7">
        <f>csinterpolate(CSTableU1,'Choke (2)'!R18*1000000)</f>
        <v>259.57203478269071</v>
      </c>
      <c r="S20" s="7">
        <f>csinterpolate(CSTableU1,'Choke (2)'!S18*1000000)</f>
        <v>251.20457283472493</v>
      </c>
      <c r="T20" s="7">
        <f>csinterpolate(CSTableU1,'Choke (2)'!T18*1000000)</f>
        <v>237.84015515956833</v>
      </c>
      <c r="U20" s="7">
        <f>csinterpolate(CSTableU1,'Choke (2)'!U18*1000000)</f>
        <v>218.25882830152995</v>
      </c>
      <c r="V20" s="7">
        <f>csinterpolate(CSTableU1,'Choke (2)'!V18*1000000)</f>
        <v>198.96334379253616</v>
      </c>
      <c r="W20" s="7">
        <f>csinterpolate(CSTableU1,'Choke (2)'!W18*1000000)</f>
        <v>182.68089201570345</v>
      </c>
      <c r="X20" s="7">
        <f>csinterpolate(CSTableU1,'Choke (2)'!X18*1000000)</f>
        <v>168.49007711967346</v>
      </c>
      <c r="Y20" s="7">
        <f>csinterpolate(CSTableU1,'Choke (2)'!Y18*1000000)</f>
        <v>155.67988040016419</v>
      </c>
      <c r="Z20" s="7">
        <f>csinterpolate(CSTableU1,'Choke (2)'!Z18*1000000)</f>
        <v>144.24901848827639</v>
      </c>
      <c r="AA20" s="7">
        <f>csinterpolate(CSTableU1,'Choke (2)'!AA18*1000000)</f>
        <v>131.93407537755965</v>
      </c>
      <c r="AB20" s="7">
        <f>csinterpolate(CSTableU1,'Choke (2)'!AB18*1000000)</f>
        <v>113.8081278926735</v>
      </c>
      <c r="AC20" s="7">
        <f>csinterpolate(CSTableU1,'Choke (2)'!AC18*1000000)</f>
        <v>80.072509261330453</v>
      </c>
      <c r="AD20" s="7">
        <f>csinterpolate(CSTableU1,'Choke (2)'!AD18*1000000)</f>
        <v>12.66483834112536</v>
      </c>
      <c r="AE20" s="7">
        <f>csinterpolate(CSTableU1,'Choke (2)'!AE18*1000000)</f>
        <v>-120.18242149596054</v>
      </c>
    </row>
    <row r="21" spans="1:31" x14ac:dyDescent="0.2">
      <c r="A21" t="s">
        <v>12</v>
      </c>
      <c r="B21" s="5">
        <f t="shared" ref="B21:AE21" si="1">B19/$B$13*$B$16*B18*1000000</f>
        <v>7.79308944997452</v>
      </c>
      <c r="C21" s="5">
        <f t="shared" si="1"/>
        <v>9.163947095579422</v>
      </c>
      <c r="D21" s="5">
        <f t="shared" si="1"/>
        <v>10.877246996320656</v>
      </c>
      <c r="E21" s="5">
        <f t="shared" si="1"/>
        <v>13.208038878283254</v>
      </c>
      <c r="F21" s="5">
        <f t="shared" si="1"/>
        <v>16.131558309077814</v>
      </c>
      <c r="G21" s="5">
        <f t="shared" si="1"/>
        <v>20.130463141691827</v>
      </c>
      <c r="H21" s="5">
        <f t="shared" si="1"/>
        <v>26.021507528658653</v>
      </c>
      <c r="I21" s="5">
        <f t="shared" si="1"/>
        <v>34.175972761406264</v>
      </c>
      <c r="J21" s="5">
        <f t="shared" si="1"/>
        <v>46.475341403195884</v>
      </c>
      <c r="K21" s="5">
        <f t="shared" si="1"/>
        <v>64.475827522205918</v>
      </c>
      <c r="L21" s="5">
        <f t="shared" si="1"/>
        <v>98.501413360137803</v>
      </c>
      <c r="M21" s="5">
        <f t="shared" si="1"/>
        <v>164.93765733982215</v>
      </c>
      <c r="N21" s="5">
        <f t="shared" si="1"/>
        <v>300.73099360863762</v>
      </c>
      <c r="O21" s="5">
        <f t="shared" si="1"/>
        <v>580.30203866719876</v>
      </c>
      <c r="P21" s="5">
        <f t="shared" si="1"/>
        <v>1085.9518579108835</v>
      </c>
      <c r="Q21" s="5">
        <f t="shared" si="1"/>
        <v>1841.2593344319184</v>
      </c>
      <c r="R21" s="5">
        <f t="shared" si="1"/>
        <v>3021.5078456847837</v>
      </c>
      <c r="S21" s="5">
        <f t="shared" si="1"/>
        <v>4120.0527554065993</v>
      </c>
      <c r="T21" s="5">
        <f t="shared" si="1"/>
        <v>5246.3508606697887</v>
      </c>
      <c r="U21" s="5">
        <f t="shared" si="1"/>
        <v>6346.5649658736647</v>
      </c>
      <c r="V21" s="5">
        <f t="shared" si="1"/>
        <v>7526.1705615778137</v>
      </c>
      <c r="W21" s="5">
        <f t="shared" si="1"/>
        <v>8894.9823754987592</v>
      </c>
      <c r="X21" s="5">
        <f t="shared" si="1"/>
        <v>10461.993004864958</v>
      </c>
      <c r="Y21" s="5">
        <f t="shared" si="1"/>
        <v>12279.146366209236</v>
      </c>
      <c r="Z21" s="5">
        <f t="shared" si="1"/>
        <v>14270.162224881367</v>
      </c>
      <c r="AA21" s="5">
        <f t="shared" si="1"/>
        <v>16496.414343429718</v>
      </c>
      <c r="AB21" s="5">
        <f t="shared" si="1"/>
        <v>19725.855915170268</v>
      </c>
      <c r="AC21" s="5">
        <f t="shared" si="1"/>
        <v>26064.814053800368</v>
      </c>
      <c r="AD21" s="5">
        <f t="shared" si="1"/>
        <v>40503.862642486376</v>
      </c>
      <c r="AE21" s="5">
        <f t="shared" si="1"/>
        <v>73947.664859832657</v>
      </c>
    </row>
    <row r="22" spans="1:31" x14ac:dyDescent="0.2">
      <c r="A22" t="s">
        <v>13</v>
      </c>
      <c r="B22" s="5">
        <f t="shared" ref="B22:AE22" si="2">B20/$B$13*$B$16*B18*1000000</f>
        <v>882.6342432653372</v>
      </c>
      <c r="C22" s="5">
        <f t="shared" si="2"/>
        <v>1016.6049301927704</v>
      </c>
      <c r="D22" s="5">
        <f t="shared" si="2"/>
        <v>1171.9540348640367</v>
      </c>
      <c r="E22" s="5">
        <f t="shared" si="2"/>
        <v>1348.2911980062304</v>
      </c>
      <c r="F22" s="5">
        <f t="shared" si="2"/>
        <v>1553.0682810028356</v>
      </c>
      <c r="G22" s="5">
        <f t="shared" si="2"/>
        <v>1798.9426208322711</v>
      </c>
      <c r="H22" s="5">
        <f t="shared" si="2"/>
        <v>2086.7730689283303</v>
      </c>
      <c r="I22" s="5">
        <f t="shared" si="2"/>
        <v>2424.6723963744334</v>
      </c>
      <c r="J22" s="5">
        <f t="shared" si="2"/>
        <v>2831.9366063470325</v>
      </c>
      <c r="K22" s="5">
        <f t="shared" si="2"/>
        <v>3346.0846148302908</v>
      </c>
      <c r="L22" s="5">
        <f t="shared" si="2"/>
        <v>3981.6966102316619</v>
      </c>
      <c r="M22" s="5">
        <f t="shared" si="2"/>
        <v>4741.6117901785456</v>
      </c>
      <c r="N22" s="5">
        <f t="shared" si="2"/>
        <v>5554.8996968286829</v>
      </c>
      <c r="O22" s="5">
        <f t="shared" si="2"/>
        <v>6519.6368615458268</v>
      </c>
      <c r="P22" s="5">
        <f t="shared" si="2"/>
        <v>7525.1657978574758</v>
      </c>
      <c r="Q22" s="5">
        <f t="shared" si="2"/>
        <v>8703.8994748650002</v>
      </c>
      <c r="R22" s="5">
        <f t="shared" si="2"/>
        <v>9721.7139739116756</v>
      </c>
      <c r="S22" s="5">
        <f t="shared" si="2"/>
        <v>10807.331618979355</v>
      </c>
      <c r="T22" s="5">
        <f t="shared" si="2"/>
        <v>11753.9033591848</v>
      </c>
      <c r="U22" s="5">
        <f t="shared" si="2"/>
        <v>12390.09837608254</v>
      </c>
      <c r="V22" s="5">
        <f t="shared" si="2"/>
        <v>12974.242334384717</v>
      </c>
      <c r="W22" s="5">
        <f t="shared" si="2"/>
        <v>13683.842191725525</v>
      </c>
      <c r="X22" s="5">
        <f t="shared" si="2"/>
        <v>14497.571579939038</v>
      </c>
      <c r="Y22" s="5">
        <f t="shared" si="2"/>
        <v>15387.193705497912</v>
      </c>
      <c r="Z22" s="5">
        <f t="shared" si="2"/>
        <v>16377.431727562938</v>
      </c>
      <c r="AA22" s="5">
        <f t="shared" si="2"/>
        <v>17206.633478137726</v>
      </c>
      <c r="AB22" s="5">
        <f t="shared" si="2"/>
        <v>17049.757585869367</v>
      </c>
      <c r="AC22" s="5">
        <f t="shared" si="2"/>
        <v>13779.528794172831</v>
      </c>
      <c r="AD22" s="5">
        <f t="shared" si="2"/>
        <v>2503.5517794951661</v>
      </c>
      <c r="AE22" s="5">
        <f t="shared" si="2"/>
        <v>-27290.021430034976</v>
      </c>
    </row>
    <row r="23" spans="1:31" x14ac:dyDescent="0.2">
      <c r="A23" t="s">
        <v>14</v>
      </c>
      <c r="B23" s="5" t="str">
        <f t="shared" ref="B23:AE23" si="3">IMDIV(1,COMPLEX(B21,B22))</f>
        <v>0.0000100026312967921-0.00113288381481815i</v>
      </c>
      <c r="C23" s="5" t="str">
        <f t="shared" si="3"/>
        <v>8.86630898619125E-06-0.000983586366656624i</v>
      </c>
      <c r="D23" s="5" t="str">
        <f t="shared" si="3"/>
        <v>7.91881913305914E-06-0.000853202288914319i</v>
      </c>
      <c r="E23" s="5" t="str">
        <f t="shared" si="3"/>
        <v>7.26489371882685E-06-0.000741608375460666i</v>
      </c>
      <c r="F23" s="5" t="str">
        <f t="shared" si="3"/>
        <v>6.68726247830785E-06-0.000643817233450777i</v>
      </c>
      <c r="G23" s="5" t="str">
        <f t="shared" si="3"/>
        <v>6.21963308921853E-06-0.000555812500257933i</v>
      </c>
      <c r="H23" s="5" t="str">
        <f t="shared" si="3"/>
        <v>5.97467768970524E-06-0.00047913428861385i</v>
      </c>
      <c r="I23" s="5" t="str">
        <f t="shared" si="3"/>
        <v>5.81203839916444E-06-0.000412344929331058i</v>
      </c>
      <c r="J23" s="5" t="str">
        <f t="shared" si="3"/>
        <v>0.0000057934676075087-0.000353020171558361i</v>
      </c>
      <c r="K23" s="5" t="str">
        <f t="shared" si="3"/>
        <v>5.75654448219031E-06-0.000298745834938051i</v>
      </c>
      <c r="L23" s="5" t="str">
        <f t="shared" si="3"/>
        <v>6.20926830180182E-06-0.000250995612204164i</v>
      </c>
      <c r="M23" s="5" t="str">
        <f t="shared" si="3"/>
        <v>7.32727771369501E-06-0.000210643869674876i</v>
      </c>
      <c r="N23" s="5" t="str">
        <f t="shared" si="3"/>
        <v>9.71750394850881E-06-0.000179495166393626i</v>
      </c>
      <c r="O23" s="5" t="str">
        <f t="shared" si="3"/>
        <v>0.0000135450355707425-0.000152177154849885i</v>
      </c>
      <c r="P23" s="5" t="str">
        <f t="shared" si="3"/>
        <v>0.0000187856855296612-0.000130176487297574i</v>
      </c>
      <c r="Q23" s="5" t="str">
        <f t="shared" si="3"/>
        <v>0.0000232634679516539-0.000109969781389003i</v>
      </c>
      <c r="R23" s="5" t="str">
        <f t="shared" si="3"/>
        <v>0.0000291535306945756-0.0000938016054292539i</v>
      </c>
      <c r="S23" s="5" t="str">
        <f t="shared" si="3"/>
        <v>0.0000307987786150568-0.0000807884349334263i</v>
      </c>
      <c r="T23" s="5" t="str">
        <f t="shared" si="3"/>
        <v>0.0000316658631757477-0.0000709440724491288i</v>
      </c>
      <c r="U23" s="5" t="str">
        <f t="shared" si="3"/>
        <v>0.0000327491243721257-0.0000639345653724576i</v>
      </c>
      <c r="V23" s="5" t="str">
        <f t="shared" si="3"/>
        <v>0.0000334534818284491-0.0000576699101648106i</v>
      </c>
      <c r="W23" s="5" t="str">
        <f t="shared" si="3"/>
        <v>0.000033393553558408-0.0000513718968542157i</v>
      </c>
      <c r="X23" s="5" t="str">
        <f t="shared" si="3"/>
        <v>0.0000327312791667843-0.0000453569470370282i</v>
      </c>
      <c r="Y23" s="5" t="str">
        <f t="shared" si="3"/>
        <v>0.0000316845901456602-0.0000397044640979465i</v>
      </c>
      <c r="Z23" s="5" t="str">
        <f t="shared" si="3"/>
        <v>0.0000302425057452466-0.0000347084052239863i</v>
      </c>
      <c r="AA23" s="5" t="str">
        <f t="shared" si="3"/>
        <v>0.0000290327641897204-0.0000302827100404814i</v>
      </c>
      <c r="AB23" s="5" t="str">
        <f t="shared" si="3"/>
        <v>0.0000290169913492278-0.0000250804158006206i</v>
      </c>
      <c r="AC23" s="5" t="str">
        <f t="shared" si="3"/>
        <v>0.0000299854077532879-0.0000158522055322777i</v>
      </c>
      <c r="AD23" s="5" t="str">
        <f t="shared" si="3"/>
        <v>0.0000245950379809105-1.52022417336738E-06i</v>
      </c>
      <c r="AE23" s="5" t="str">
        <f t="shared" si="3"/>
        <v>0.0000119020821183196+4.39240477284374E-06i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0.0000457415890362674i</v>
      </c>
      <c r="C24" s="6" t="str">
        <f t="shared" si="4"/>
        <v>0.0000525432880809108i</v>
      </c>
      <c r="D24" s="6" t="str">
        <f t="shared" si="4"/>
        <v>0.0000603563885846775i</v>
      </c>
      <c r="E24" s="6" t="str">
        <f t="shared" si="4"/>
        <v>0.0000693312842807809i</v>
      </c>
      <c r="F24" s="6" t="str">
        <f t="shared" si="4"/>
        <v>0.0000796407322031648i</v>
      </c>
      <c r="G24" s="6" t="str">
        <f t="shared" si="4"/>
        <v>0.0000914831780725348i</v>
      </c>
      <c r="H24" s="6" t="str">
        <f t="shared" si="4"/>
        <v>0.000105086576161822i</v>
      </c>
      <c r="I24" s="6" t="str">
        <f t="shared" si="4"/>
        <v>0.000120712777169355i</v>
      </c>
      <c r="J24" s="6" t="str">
        <f t="shared" si="4"/>
        <v>0.000138662568561562i</v>
      </c>
      <c r="K24" s="6" t="str">
        <f t="shared" si="4"/>
        <v>0.00015928146440633i</v>
      </c>
      <c r="L24" s="6" t="str">
        <f t="shared" si="4"/>
        <v>0.00018296635614507i</v>
      </c>
      <c r="M24" s="6" t="str">
        <f t="shared" si="4"/>
        <v>0.000210173152323643i</v>
      </c>
      <c r="N24" s="6" t="str">
        <f t="shared" si="4"/>
        <v>0.00024142555433871i</v>
      </c>
      <c r="O24" s="6" t="str">
        <f t="shared" si="4"/>
        <v>0.000277325137123124i</v>
      </c>
      <c r="P24" s="6" t="str">
        <f t="shared" si="4"/>
        <v>0.000318562928812659i</v>
      </c>
      <c r="Q24" s="6" t="str">
        <f t="shared" si="4"/>
        <v>0.00036593271229014i</v>
      </c>
      <c r="R24" s="6" t="str">
        <f t="shared" si="4"/>
        <v>0.000420346304647287i</v>
      </c>
      <c r="S24" s="6" t="str">
        <f t="shared" si="4"/>
        <v>0.000482851108677421i</v>
      </c>
      <c r="T24" s="6" t="str">
        <f t="shared" si="4"/>
        <v>0.000554650274246248i</v>
      </c>
      <c r="U24" s="6" t="str">
        <f t="shared" si="4"/>
        <v>0.000637125857625319i</v>
      </c>
      <c r="V24" s="6" t="str">
        <f t="shared" si="4"/>
        <v>0.000731865424580279i</v>
      </c>
      <c r="W24" s="6" t="str">
        <f t="shared" si="4"/>
        <v>0.000840692609294573i</v>
      </c>
      <c r="X24" s="6" t="str">
        <f t="shared" si="4"/>
        <v>0.000965702217354841i</v>
      </c>
      <c r="Y24" s="6" t="str">
        <f t="shared" si="4"/>
        <v>0.0011093005484925i</v>
      </c>
      <c r="Z24" s="6" t="str">
        <f t="shared" si="4"/>
        <v>0.00127425171525064i</v>
      </c>
      <c r="AA24" s="6" t="str">
        <f t="shared" si="4"/>
        <v>0.00146373084916056i</v>
      </c>
      <c r="AB24" s="6" t="str">
        <f t="shared" si="4"/>
        <v>0.00168138521858915i</v>
      </c>
      <c r="AC24" s="6" t="str">
        <f t="shared" si="4"/>
        <v>0.00193140443470968i</v>
      </c>
      <c r="AD24" s="6" t="str">
        <f t="shared" si="4"/>
        <v>0.00221860109698499i</v>
      </c>
      <c r="AE24" s="6" t="str">
        <f t="shared" si="4"/>
        <v>0.00254850343050128i</v>
      </c>
    </row>
    <row r="25" spans="1:31" x14ac:dyDescent="0.2">
      <c r="A25" t="s">
        <v>16</v>
      </c>
      <c r="B25" s="6" t="str">
        <f t="shared" ref="B25:AE25" si="5">IMDIV(1,IMSUM(B23,B24))</f>
        <v>8.46261859138401+919.764983672931i</v>
      </c>
      <c r="C25" s="6" t="str">
        <f t="shared" si="5"/>
        <v>10.2273690419611+1073.96676265033i</v>
      </c>
      <c r="D25" s="6" t="str">
        <f t="shared" si="5"/>
        <v>12.5961995528627+1261.15333705863i</v>
      </c>
      <c r="E25" s="6" t="str">
        <f t="shared" si="5"/>
        <v>16.0724442288975+1487.30820746252i</v>
      </c>
      <c r="F25" s="6" t="str">
        <f t="shared" si="5"/>
        <v>21.0066776230472+1772.2459560472i</v>
      </c>
      <c r="G25" s="6" t="str">
        <f t="shared" si="5"/>
        <v>28.8426148101363+2153.25753026499i</v>
      </c>
      <c r="H25" s="6" t="str">
        <f t="shared" si="5"/>
        <v>42.6923129943539+2672.77380373834i</v>
      </c>
      <c r="I25" s="6" t="str">
        <f t="shared" si="5"/>
        <v>68.310145587652+3427.61582151112i</v>
      </c>
      <c r="J25" s="6" t="str">
        <f t="shared" si="5"/>
        <v>125.992205393725+4661.69640950023i</v>
      </c>
      <c r="K25" s="6" t="str">
        <f t="shared" si="5"/>
        <v>295.458193467022+7158.09477331429i</v>
      </c>
      <c r="L25" s="6" t="str">
        <f t="shared" si="5"/>
        <v>1330.59512262609+14578.1099975732i</v>
      </c>
      <c r="M25" s="6" t="str">
        <f t="shared" si="5"/>
        <v>135915.410196835+8731.44766439289i</v>
      </c>
      <c r="N25" s="6" t="str">
        <f t="shared" si="5"/>
        <v>2472.77137274938-15759.1590623811i</v>
      </c>
      <c r="O25" s="6" t="str">
        <f t="shared" si="5"/>
        <v>854.819854439415-7898.02134010434i</v>
      </c>
      <c r="P25" s="6" t="str">
        <f t="shared" si="5"/>
        <v>524.119757371766-5255.97300471778i</v>
      </c>
      <c r="Q25" s="6" t="str">
        <f t="shared" si="5"/>
        <v>352.166182247471-3874.80870692446i</v>
      </c>
      <c r="R25" s="6" t="str">
        <f t="shared" si="5"/>
        <v>271.242644025357-3038.15165772852i</v>
      </c>
      <c r="S25" s="6" t="str">
        <f t="shared" si="5"/>
        <v>189.410936439641-2472.66518237985i</v>
      </c>
      <c r="T25" s="6" t="str">
        <f t="shared" si="5"/>
        <v>134.763025017768-2058.54836838804i</v>
      </c>
      <c r="U25" s="6" t="str">
        <f t="shared" si="5"/>
        <v>99.3539487855094-1738.9417087213i</v>
      </c>
      <c r="V25" s="6" t="str">
        <f t="shared" si="5"/>
        <v>73.4178450636488-1479.60628055966i</v>
      </c>
      <c r="W25" s="6" t="str">
        <f t="shared" si="5"/>
        <v>53.5031076651158-1264.64860908369i</v>
      </c>
      <c r="X25" s="6" t="str">
        <f t="shared" si="5"/>
        <v>38.5933481157183-1085.17620784204i</v>
      </c>
      <c r="Y25" s="6" t="str">
        <f t="shared" si="5"/>
        <v>27.6711717755633-934.112666305243i</v>
      </c>
      <c r="Z25" s="6" t="str">
        <f t="shared" si="5"/>
        <v>19.6714292791151-806.268791580604i</v>
      </c>
      <c r="AA25" s="6" t="str">
        <f t="shared" si="5"/>
        <v>14.1236289105256-697.332484331058i</v>
      </c>
      <c r="AB25" s="6" t="str">
        <f t="shared" si="5"/>
        <v>10.5739824428409-603.568360823358i</v>
      </c>
      <c r="AC25" s="6" t="str">
        <f t="shared" si="5"/>
        <v>8.16987774769233-521.914781365042i</v>
      </c>
      <c r="AD25" s="6" t="str">
        <f t="shared" si="5"/>
        <v>5.00300554529694-450.988037085263i</v>
      </c>
      <c r="AE25" s="6" t="str">
        <f t="shared" si="5"/>
        <v>1.82619568787057-391.703512008583i</v>
      </c>
    </row>
    <row r="26" spans="1:31" x14ac:dyDescent="0.2">
      <c r="A26" t="s">
        <v>8</v>
      </c>
      <c r="B26" s="5">
        <f t="shared" ref="B26:AE26" si="6">IMREAL(B25)</f>
        <v>8.4626185913840093</v>
      </c>
      <c r="C26" s="5">
        <f t="shared" si="6"/>
        <v>10.227369041961101</v>
      </c>
      <c r="D26" s="5">
        <f t="shared" si="6"/>
        <v>12.5961995528627</v>
      </c>
      <c r="E26" s="5">
        <f t="shared" si="6"/>
        <v>16.072444228897499</v>
      </c>
      <c r="F26" s="5">
        <f t="shared" si="6"/>
        <v>21.006677623047199</v>
      </c>
      <c r="G26" s="5">
        <f t="shared" si="6"/>
        <v>28.8426148101363</v>
      </c>
      <c r="H26" s="5">
        <f t="shared" si="6"/>
        <v>42.692312994353898</v>
      </c>
      <c r="I26" s="5">
        <f t="shared" si="6"/>
        <v>68.310145587652002</v>
      </c>
      <c r="J26" s="5">
        <f t="shared" si="6"/>
        <v>125.992205393725</v>
      </c>
      <c r="K26" s="5">
        <f t="shared" si="6"/>
        <v>295.458193467022</v>
      </c>
      <c r="L26" s="5">
        <f t="shared" si="6"/>
        <v>1330.59512262609</v>
      </c>
      <c r="M26" s="5">
        <f t="shared" si="6"/>
        <v>135915.410196835</v>
      </c>
      <c r="N26" s="5">
        <f t="shared" si="6"/>
        <v>2472.7713727493801</v>
      </c>
      <c r="O26" s="5">
        <f t="shared" si="6"/>
        <v>854.81985443941505</v>
      </c>
      <c r="P26" s="5">
        <f t="shared" si="6"/>
        <v>524.11975737176601</v>
      </c>
      <c r="Q26" s="5">
        <f t="shared" si="6"/>
        <v>352.166182247471</v>
      </c>
      <c r="R26" s="5">
        <f t="shared" si="6"/>
        <v>271.24264402535698</v>
      </c>
      <c r="S26" s="5">
        <f t="shared" si="6"/>
        <v>189.41093643964101</v>
      </c>
      <c r="T26" s="5">
        <f t="shared" si="6"/>
        <v>134.763025017768</v>
      </c>
      <c r="U26" s="5">
        <f t="shared" si="6"/>
        <v>99.353948785509402</v>
      </c>
      <c r="V26" s="5">
        <f t="shared" si="6"/>
        <v>73.417845063648798</v>
      </c>
      <c r="W26" s="5">
        <f t="shared" si="6"/>
        <v>53.503107665115799</v>
      </c>
      <c r="X26" s="5">
        <f t="shared" si="6"/>
        <v>38.5933481157183</v>
      </c>
      <c r="Y26" s="5">
        <f t="shared" si="6"/>
        <v>27.671171775563302</v>
      </c>
      <c r="Z26" s="5">
        <f t="shared" si="6"/>
        <v>19.671429279115099</v>
      </c>
      <c r="AA26" s="5">
        <f t="shared" si="6"/>
        <v>14.1236289105256</v>
      </c>
      <c r="AB26" s="5">
        <f t="shared" si="6"/>
        <v>10.573982442840901</v>
      </c>
      <c r="AC26" s="5">
        <f t="shared" si="6"/>
        <v>8.1698777476923308</v>
      </c>
      <c r="AD26" s="5">
        <f t="shared" si="6"/>
        <v>5.00300554529694</v>
      </c>
      <c r="AE26" s="5">
        <f t="shared" si="6"/>
        <v>1.8261956878705701</v>
      </c>
    </row>
    <row r="27" spans="1:31" x14ac:dyDescent="0.2">
      <c r="A27" t="s">
        <v>9</v>
      </c>
      <c r="B27" s="5">
        <f t="shared" ref="B27:AE27" si="7">IMAGINARY(B25)</f>
        <v>919.76498367293095</v>
      </c>
      <c r="C27" s="5">
        <f t="shared" si="7"/>
        <v>1073.9667626503301</v>
      </c>
      <c r="D27" s="5">
        <f t="shared" si="7"/>
        <v>1261.1533370586301</v>
      </c>
      <c r="E27" s="5">
        <f t="shared" si="7"/>
        <v>1487.3082074625199</v>
      </c>
      <c r="F27" s="5">
        <f t="shared" si="7"/>
        <v>1772.2459560472</v>
      </c>
      <c r="G27" s="5">
        <f t="shared" si="7"/>
        <v>2153.2575302649898</v>
      </c>
      <c r="H27" s="5">
        <f t="shared" si="7"/>
        <v>2672.7738037383401</v>
      </c>
      <c r="I27" s="5">
        <f t="shared" si="7"/>
        <v>3427.61582151112</v>
      </c>
      <c r="J27" s="5">
        <f t="shared" si="7"/>
        <v>4661.6964095002304</v>
      </c>
      <c r="K27" s="5">
        <f t="shared" si="7"/>
        <v>7158.0947733142903</v>
      </c>
      <c r="L27" s="5">
        <f t="shared" si="7"/>
        <v>14578.1099975732</v>
      </c>
      <c r="M27" s="5">
        <f t="shared" si="7"/>
        <v>8731.4476643928901</v>
      </c>
      <c r="N27" s="5">
        <f t="shared" si="7"/>
        <v>-15759.159062381101</v>
      </c>
      <c r="O27" s="5">
        <f t="shared" si="7"/>
        <v>-7898.0213401043402</v>
      </c>
      <c r="P27" s="5">
        <f t="shared" si="7"/>
        <v>-5255.97300471778</v>
      </c>
      <c r="Q27" s="5">
        <f t="shared" si="7"/>
        <v>-3874.8087069244598</v>
      </c>
      <c r="R27" s="5">
        <f t="shared" si="7"/>
        <v>-3038.1516577285201</v>
      </c>
      <c r="S27" s="5">
        <f t="shared" si="7"/>
        <v>-2472.6651823798502</v>
      </c>
      <c r="T27" s="5">
        <f t="shared" si="7"/>
        <v>-2058.5483683880402</v>
      </c>
      <c r="U27" s="5">
        <f t="shared" si="7"/>
        <v>-1738.9417087213001</v>
      </c>
      <c r="V27" s="5">
        <f t="shared" si="7"/>
        <v>-1479.60628055966</v>
      </c>
      <c r="W27" s="5">
        <f t="shared" si="7"/>
        <v>-1264.64860908369</v>
      </c>
      <c r="X27" s="5">
        <f t="shared" si="7"/>
        <v>-1085.17620784204</v>
      </c>
      <c r="Y27" s="5">
        <f t="shared" si="7"/>
        <v>-934.11266630524301</v>
      </c>
      <c r="Z27" s="5">
        <f t="shared" si="7"/>
        <v>-806.26879158060399</v>
      </c>
      <c r="AA27" s="5">
        <f t="shared" si="7"/>
        <v>-697.33248433105803</v>
      </c>
      <c r="AB27" s="5">
        <f t="shared" si="7"/>
        <v>-603.56836082335803</v>
      </c>
      <c r="AC27" s="5">
        <f t="shared" si="7"/>
        <v>-521.91478136504202</v>
      </c>
      <c r="AD27" s="5">
        <f t="shared" si="7"/>
        <v>-450.98803708526299</v>
      </c>
      <c r="AE27" s="5">
        <f t="shared" si="7"/>
        <v>-391.703512008583</v>
      </c>
    </row>
    <row r="28" spans="1:31" x14ac:dyDescent="0.2">
      <c r="A28" t="s">
        <v>17</v>
      </c>
      <c r="B28" s="5">
        <f t="shared" ref="B28:AE28" si="8">IMABS(B25)</f>
        <v>919.80391448628347</v>
      </c>
      <c r="C28" s="5">
        <f t="shared" si="8"/>
        <v>1074.0154590857392</v>
      </c>
      <c r="D28" s="5">
        <f t="shared" si="8"/>
        <v>1261.216239911814</v>
      </c>
      <c r="E28" s="5">
        <f t="shared" si="8"/>
        <v>1487.3950475407887</v>
      </c>
      <c r="F28" s="5">
        <f t="shared" si="8"/>
        <v>1772.3704492093104</v>
      </c>
      <c r="G28" s="5">
        <f t="shared" si="8"/>
        <v>2153.450693206596</v>
      </c>
      <c r="H28" s="5">
        <f t="shared" si="8"/>
        <v>2673.1147449256127</v>
      </c>
      <c r="I28" s="5">
        <f t="shared" si="8"/>
        <v>3428.2964422382665</v>
      </c>
      <c r="J28" s="5">
        <f t="shared" si="8"/>
        <v>4663.3987016088722</v>
      </c>
      <c r="K28" s="5">
        <f t="shared" si="8"/>
        <v>7164.1898584442997</v>
      </c>
      <c r="L28" s="5">
        <f t="shared" si="8"/>
        <v>14638.708087864175</v>
      </c>
      <c r="M28" s="5">
        <f t="shared" si="8"/>
        <v>136195.58328848242</v>
      </c>
      <c r="N28" s="5">
        <f t="shared" si="8"/>
        <v>15951.980836727373</v>
      </c>
      <c r="O28" s="5">
        <f t="shared" si="8"/>
        <v>7944.1461512416417</v>
      </c>
      <c r="P28" s="5">
        <f t="shared" si="8"/>
        <v>5282.0406801149766</v>
      </c>
      <c r="Q28" s="5">
        <f t="shared" si="8"/>
        <v>3890.7792966417878</v>
      </c>
      <c r="R28" s="5">
        <f t="shared" si="8"/>
        <v>3050.2357396267621</v>
      </c>
      <c r="S28" s="5">
        <f t="shared" si="8"/>
        <v>2479.9091932965043</v>
      </c>
      <c r="T28" s="5">
        <f t="shared" si="8"/>
        <v>2062.9547881388485</v>
      </c>
      <c r="U28" s="5">
        <f t="shared" si="8"/>
        <v>1741.7776762462622</v>
      </c>
      <c r="V28" s="5">
        <f t="shared" si="8"/>
        <v>1481.4266520639426</v>
      </c>
      <c r="W28" s="5">
        <f t="shared" si="8"/>
        <v>1265.7798730376214</v>
      </c>
      <c r="X28" s="5">
        <f t="shared" si="8"/>
        <v>1085.8622604111497</v>
      </c>
      <c r="Y28" s="5">
        <f t="shared" si="8"/>
        <v>934.522427285361</v>
      </c>
      <c r="Z28" s="5">
        <f t="shared" si="8"/>
        <v>806.50872866121586</v>
      </c>
      <c r="AA28" s="5">
        <f t="shared" si="8"/>
        <v>697.47549820544054</v>
      </c>
      <c r="AB28" s="5">
        <f t="shared" si="8"/>
        <v>603.66097711521559</v>
      </c>
      <c r="AC28" s="5">
        <f t="shared" si="8"/>
        <v>521.97872170207461</v>
      </c>
      <c r="AD28" s="5">
        <f t="shared" si="8"/>
        <v>451.01578648480233</v>
      </c>
      <c r="AE28" s="5">
        <f t="shared" si="8"/>
        <v>391.70776901990149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1.02</v>
      </c>
      <c r="C33" s="12">
        <f ca="1">CubicSpline_version("d")</f>
        <v>39544</v>
      </c>
    </row>
    <row r="34" spans="1:3" x14ac:dyDescent="0.2">
      <c r="A34" s="13"/>
    </row>
    <row r="35" spans="1:3" x14ac:dyDescent="0.2">
      <c r="A35" t="s">
        <v>27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7"/>
  <sheetViews>
    <sheetView workbookViewId="0">
      <selection activeCell="E6" sqref="E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5" width="9.28515625" bestFit="1" customWidth="1"/>
    <col min="16" max="16" width="13.140625" bestFit="1" customWidth="1"/>
  </cols>
  <sheetData>
    <row r="1" spans="1:16" x14ac:dyDescent="0.2">
      <c r="A1" t="s">
        <v>21</v>
      </c>
      <c r="B1" t="s">
        <v>31</v>
      </c>
    </row>
    <row r="2" spans="1:16" x14ac:dyDescent="0.2">
      <c r="A2" t="s">
        <v>20</v>
      </c>
      <c r="B2">
        <v>220</v>
      </c>
    </row>
    <row r="5" spans="1:16" x14ac:dyDescent="0.2">
      <c r="A5" t="s">
        <v>0</v>
      </c>
      <c r="E5" s="22" t="s">
        <v>2</v>
      </c>
      <c r="F5" s="22"/>
      <c r="G5" s="22"/>
      <c r="J5" t="s">
        <v>1</v>
      </c>
      <c r="N5" s="22" t="s">
        <v>2</v>
      </c>
      <c r="O5" s="22"/>
      <c r="P5" s="22"/>
    </row>
    <row r="6" spans="1:16" x14ac:dyDescent="0.2">
      <c r="A6">
        <v>498531</v>
      </c>
      <c r="B6" s="14">
        <v>218.845</v>
      </c>
      <c r="E6">
        <f t="array" ref="E6:G36">cstable(A6:A36,B6:B36)</f>
        <v>498531</v>
      </c>
      <c r="F6">
        <v>218.845</v>
      </c>
      <c r="G6">
        <v>0</v>
      </c>
      <c r="J6">
        <v>498531</v>
      </c>
      <c r="K6">
        <v>1.6836899999999999</v>
      </c>
      <c r="N6">
        <f t="array" ref="N6:P36">cstable(J6:J36,K6:K36)</f>
        <v>498531</v>
      </c>
      <c r="O6">
        <v>1.6836899999999999</v>
      </c>
      <c r="P6">
        <v>0</v>
      </c>
    </row>
    <row r="7" spans="1:16" x14ac:dyDescent="0.2">
      <c r="A7">
        <v>502013</v>
      </c>
      <c r="B7" s="14">
        <v>218.81800000000001</v>
      </c>
      <c r="E7">
        <v>502013</v>
      </c>
      <c r="F7">
        <v>218.81800000000001</v>
      </c>
      <c r="G7">
        <v>1.8453507127185734E-11</v>
      </c>
      <c r="J7">
        <v>502013</v>
      </c>
      <c r="K7">
        <v>1.6856100000000001</v>
      </c>
      <c r="N7">
        <v>502013</v>
      </c>
      <c r="O7">
        <v>1.6856100000000001</v>
      </c>
      <c r="P7">
        <v>-1.2540400656435572E-12</v>
      </c>
    </row>
    <row r="8" spans="1:16" x14ac:dyDescent="0.2">
      <c r="A8">
        <v>783777</v>
      </c>
      <c r="B8" s="14">
        <v>217.10400000000001</v>
      </c>
      <c r="E8">
        <v>783777</v>
      </c>
      <c r="F8">
        <v>217.10400000000001</v>
      </c>
      <c r="G8">
        <v>-1.7788738333750537E-12</v>
      </c>
      <c r="J8">
        <v>783777</v>
      </c>
      <c r="K8">
        <v>1.8134399999999999</v>
      </c>
      <c r="N8">
        <v>783777</v>
      </c>
      <c r="O8">
        <v>1.8134399999999999</v>
      </c>
      <c r="P8">
        <v>4.5797786904633979E-13</v>
      </c>
    </row>
    <row r="9" spans="1:16" x14ac:dyDescent="0.2">
      <c r="A9">
        <v>900853</v>
      </c>
      <c r="B9" s="14">
        <v>216.571</v>
      </c>
      <c r="E9">
        <v>900853</v>
      </c>
      <c r="F9">
        <v>216.571</v>
      </c>
      <c r="G9">
        <v>4.6145053496661823E-11</v>
      </c>
      <c r="J9">
        <v>900853</v>
      </c>
      <c r="K9">
        <v>1.8643400000000001</v>
      </c>
      <c r="N9">
        <v>900853</v>
      </c>
      <c r="O9">
        <v>1.8643400000000001</v>
      </c>
      <c r="P9">
        <v>-1.0717803500057474E-12</v>
      </c>
    </row>
    <row r="10" spans="1:16" x14ac:dyDescent="0.2">
      <c r="A10">
        <v>1396710</v>
      </c>
      <c r="B10" s="14">
        <v>218.001</v>
      </c>
      <c r="E10">
        <v>1396710</v>
      </c>
      <c r="F10">
        <v>218.001</v>
      </c>
      <c r="G10">
        <v>-2.3677034047987985E-11</v>
      </c>
      <c r="J10">
        <v>1396710</v>
      </c>
      <c r="K10">
        <v>2.0341800000000001</v>
      </c>
      <c r="N10">
        <v>1396710</v>
      </c>
      <c r="O10">
        <v>2.0341800000000001</v>
      </c>
      <c r="P10">
        <v>1.4253858348276057E-12</v>
      </c>
    </row>
    <row r="11" spans="1:16" x14ac:dyDescent="0.2">
      <c r="A11">
        <v>1807010</v>
      </c>
      <c r="B11" s="14">
        <v>218.845</v>
      </c>
      <c r="E11">
        <v>1807010</v>
      </c>
      <c r="F11">
        <v>218.845</v>
      </c>
      <c r="G11">
        <v>3.6723581191235158E-11</v>
      </c>
      <c r="J11">
        <v>1807010</v>
      </c>
      <c r="K11">
        <v>2.2716099999999999</v>
      </c>
      <c r="N11">
        <v>1807010</v>
      </c>
      <c r="O11">
        <v>2.2716099999999999</v>
      </c>
      <c r="P11">
        <v>-1.5473085540357071E-12</v>
      </c>
    </row>
    <row r="12" spans="1:16" x14ac:dyDescent="0.2">
      <c r="A12">
        <v>1964440</v>
      </c>
      <c r="B12" s="14">
        <v>219.94399999999999</v>
      </c>
      <c r="E12">
        <v>1964440</v>
      </c>
      <c r="F12">
        <v>219.94399999999999</v>
      </c>
      <c r="G12">
        <v>-1.5501344878722959E-11</v>
      </c>
      <c r="J12">
        <v>1964440</v>
      </c>
      <c r="K12">
        <v>2.3544100000000001</v>
      </c>
      <c r="N12">
        <v>1964440</v>
      </c>
      <c r="O12">
        <v>2.3544100000000001</v>
      </c>
      <c r="P12">
        <v>5.4355241052777708E-12</v>
      </c>
    </row>
    <row r="13" spans="1:16" x14ac:dyDescent="0.2">
      <c r="A13">
        <v>2150500</v>
      </c>
      <c r="B13" s="14">
        <v>221.142</v>
      </c>
      <c r="E13">
        <v>2150500</v>
      </c>
      <c r="F13">
        <v>221.142</v>
      </c>
      <c r="G13">
        <v>8.6807336313695593E-12</v>
      </c>
      <c r="J13">
        <v>2150500</v>
      </c>
      <c r="K13">
        <v>2.54969</v>
      </c>
      <c r="N13">
        <v>2150500</v>
      </c>
      <c r="O13">
        <v>2.54969</v>
      </c>
      <c r="P13">
        <v>-1.8750315087876607E-12</v>
      </c>
    </row>
    <row r="14" spans="1:16" x14ac:dyDescent="0.2">
      <c r="A14">
        <v>2705830</v>
      </c>
      <c r="B14" s="14">
        <v>225.18899999999999</v>
      </c>
      <c r="E14">
        <v>2705830</v>
      </c>
      <c r="F14">
        <v>225.18899999999999</v>
      </c>
      <c r="G14">
        <v>-8.814190881076391E-12</v>
      </c>
      <c r="J14">
        <v>2705830</v>
      </c>
      <c r="K14">
        <v>3.12127</v>
      </c>
      <c r="N14">
        <v>2705830</v>
      </c>
      <c r="O14">
        <v>3.12127</v>
      </c>
      <c r="P14">
        <v>2.9661164415074815E-12</v>
      </c>
    </row>
    <row r="15" spans="1:16" x14ac:dyDescent="0.2">
      <c r="A15">
        <v>2801660</v>
      </c>
      <c r="B15" s="14">
        <v>225.809</v>
      </c>
      <c r="E15">
        <v>2801660</v>
      </c>
      <c r="F15">
        <v>225.809</v>
      </c>
      <c r="G15">
        <v>1.8278350089400829E-11</v>
      </c>
      <c r="J15">
        <v>2801660</v>
      </c>
      <c r="K15">
        <v>3.2635399999999999</v>
      </c>
      <c r="N15">
        <v>2801660</v>
      </c>
      <c r="O15">
        <v>3.2635399999999999</v>
      </c>
      <c r="P15">
        <v>-9.3388121221359755E-13</v>
      </c>
    </row>
    <row r="16" spans="1:16" x14ac:dyDescent="0.2">
      <c r="A16">
        <v>3599540</v>
      </c>
      <c r="B16" s="14">
        <v>235.441</v>
      </c>
      <c r="E16">
        <v>3599540</v>
      </c>
      <c r="F16">
        <v>235.441</v>
      </c>
      <c r="G16">
        <v>2.2394075891406977E-12</v>
      </c>
      <c r="J16">
        <v>3599540</v>
      </c>
      <c r="K16">
        <v>4.4984299999999999</v>
      </c>
      <c r="N16">
        <v>3599540</v>
      </c>
      <c r="O16">
        <v>4.4984299999999999</v>
      </c>
      <c r="P16">
        <v>2.2103946805523397E-12</v>
      </c>
    </row>
    <row r="17" spans="1:16" x14ac:dyDescent="0.2">
      <c r="A17">
        <v>4224520</v>
      </c>
      <c r="B17" s="14">
        <v>245.29599999999999</v>
      </c>
      <c r="E17">
        <v>4224520</v>
      </c>
      <c r="F17">
        <v>245.29599999999999</v>
      </c>
      <c r="G17">
        <v>1.9559441352517181E-12</v>
      </c>
      <c r="J17">
        <v>4224520</v>
      </c>
      <c r="K17">
        <v>6.2832699999999999</v>
      </c>
      <c r="N17">
        <v>4224520</v>
      </c>
      <c r="O17">
        <v>6.2832699999999999</v>
      </c>
      <c r="P17">
        <v>3.6860210886378595E-12</v>
      </c>
    </row>
    <row r="18" spans="1:16" x14ac:dyDescent="0.2">
      <c r="A18">
        <v>4788420</v>
      </c>
      <c r="B18" s="14">
        <v>253.29599999999999</v>
      </c>
      <c r="E18">
        <v>4788420</v>
      </c>
      <c r="F18">
        <v>253.29599999999999</v>
      </c>
      <c r="G18">
        <v>-2.7557905295391472E-11</v>
      </c>
      <c r="J18">
        <v>4788420</v>
      </c>
      <c r="K18">
        <v>8.8563399999999994</v>
      </c>
      <c r="N18">
        <v>4788420</v>
      </c>
      <c r="O18">
        <v>8.8563399999999994</v>
      </c>
      <c r="P18">
        <v>1.7201819362180526E-13</v>
      </c>
    </row>
    <row r="19" spans="1:16" x14ac:dyDescent="0.2">
      <c r="A19">
        <v>4958020</v>
      </c>
      <c r="B19" s="14">
        <v>254.589</v>
      </c>
      <c r="E19">
        <v>4958020</v>
      </c>
      <c r="F19">
        <v>254.589</v>
      </c>
      <c r="G19">
        <v>-3.1875436400151853E-13</v>
      </c>
      <c r="J19">
        <v>4958020</v>
      </c>
      <c r="K19">
        <v>9.7423099999999998</v>
      </c>
      <c r="N19">
        <v>4958020</v>
      </c>
      <c r="O19">
        <v>9.7423099999999998</v>
      </c>
      <c r="P19">
        <v>9.6370340154008433E-12</v>
      </c>
    </row>
    <row r="20" spans="1:16" x14ac:dyDescent="0.2">
      <c r="A20">
        <v>5818870</v>
      </c>
      <c r="B20" s="14">
        <v>260.625</v>
      </c>
      <c r="E20">
        <v>5818870</v>
      </c>
      <c r="F20">
        <v>260.625</v>
      </c>
      <c r="G20">
        <v>1.9258455306857198E-12</v>
      </c>
      <c r="J20">
        <v>5818870</v>
      </c>
      <c r="K20">
        <v>17.483599999999999</v>
      </c>
      <c r="N20">
        <v>5818870</v>
      </c>
      <c r="O20">
        <v>17.483599999999999</v>
      </c>
      <c r="P20">
        <v>3.1622881221433996E-12</v>
      </c>
    </row>
    <row r="21" spans="1:16" x14ac:dyDescent="0.2">
      <c r="A21">
        <v>6369990</v>
      </c>
      <c r="B21" s="14">
        <v>264.10000000000002</v>
      </c>
      <c r="E21">
        <v>6369990</v>
      </c>
      <c r="F21">
        <v>264.10000000000002</v>
      </c>
      <c r="G21">
        <v>-1.7059929750775514E-11</v>
      </c>
      <c r="J21">
        <v>6369990</v>
      </c>
      <c r="K21">
        <v>24.382300000000001</v>
      </c>
      <c r="N21">
        <v>6369990</v>
      </c>
      <c r="O21">
        <v>24.382300000000001</v>
      </c>
      <c r="P21">
        <v>7.1196450207179346E-12</v>
      </c>
    </row>
    <row r="22" spans="1:16" x14ac:dyDescent="0.2">
      <c r="A22">
        <v>6688060</v>
      </c>
      <c r="B22" s="14">
        <v>264.596</v>
      </c>
      <c r="E22">
        <v>6688060</v>
      </c>
      <c r="F22">
        <v>264.596</v>
      </c>
      <c r="G22">
        <v>3.7617055882285292E-13</v>
      </c>
      <c r="J22">
        <v>6688060</v>
      </c>
      <c r="K22">
        <v>29.164400000000001</v>
      </c>
      <c r="N22">
        <v>6688060</v>
      </c>
      <c r="O22">
        <v>29.164400000000001</v>
      </c>
      <c r="P22">
        <v>3.0917496323563961E-12</v>
      </c>
    </row>
    <row r="23" spans="1:16" x14ac:dyDescent="0.2">
      <c r="A23">
        <v>7740790</v>
      </c>
      <c r="B23" s="14">
        <v>266.08800000000002</v>
      </c>
      <c r="E23">
        <v>7740790</v>
      </c>
      <c r="F23">
        <v>266.08800000000002</v>
      </c>
      <c r="G23">
        <v>3.364696161777199E-12</v>
      </c>
      <c r="J23">
        <v>7740790</v>
      </c>
      <c r="K23">
        <v>46.658900000000003</v>
      </c>
      <c r="N23">
        <v>7740790</v>
      </c>
      <c r="O23">
        <v>46.658900000000003</v>
      </c>
      <c r="P23">
        <v>-1.1778934654540057E-12</v>
      </c>
    </row>
    <row r="24" spans="1:16" x14ac:dyDescent="0.2">
      <c r="A24">
        <v>8356780</v>
      </c>
      <c r="B24" s="14">
        <v>266.87299999999999</v>
      </c>
      <c r="E24">
        <v>8356780</v>
      </c>
      <c r="F24">
        <v>266.87299999999999</v>
      </c>
      <c r="G24">
        <v>-2.0264703128801021E-11</v>
      </c>
      <c r="J24">
        <v>8356780</v>
      </c>
      <c r="K24">
        <v>57.125500000000002</v>
      </c>
      <c r="N24">
        <v>8356780</v>
      </c>
      <c r="O24">
        <v>57.125500000000002</v>
      </c>
      <c r="P24">
        <v>4.7340080415867997E-12</v>
      </c>
    </row>
    <row r="25" spans="1:16" x14ac:dyDescent="0.2">
      <c r="A25">
        <v>8959210</v>
      </c>
      <c r="B25" s="14">
        <v>263.18200000000002</v>
      </c>
      <c r="E25">
        <v>8959210</v>
      </c>
      <c r="F25">
        <v>263.18200000000002</v>
      </c>
      <c r="G25">
        <v>4.8169488343597446E-12</v>
      </c>
      <c r="J25">
        <v>8959210</v>
      </c>
      <c r="K25">
        <v>68.664900000000003</v>
      </c>
      <c r="N25">
        <v>8959210</v>
      </c>
      <c r="O25">
        <v>68.664900000000003</v>
      </c>
      <c r="P25">
        <v>3.6004718233167878E-12</v>
      </c>
    </row>
    <row r="26" spans="1:16" x14ac:dyDescent="0.2">
      <c r="A26">
        <v>10155100</v>
      </c>
      <c r="B26" s="14">
        <v>256.66899999999998</v>
      </c>
      <c r="E26">
        <v>10155100</v>
      </c>
      <c r="F26">
        <v>256.66899999999998</v>
      </c>
      <c r="G26">
        <v>-8.6342951373080124E-13</v>
      </c>
      <c r="J26">
        <v>10155100</v>
      </c>
      <c r="K26">
        <v>89.148399999999995</v>
      </c>
      <c r="N26">
        <v>10155100</v>
      </c>
      <c r="O26">
        <v>89.148399999999995</v>
      </c>
      <c r="P26">
        <v>-2.3380547851959083E-11</v>
      </c>
    </row>
    <row r="27" spans="1:16" x14ac:dyDescent="0.2">
      <c r="A27">
        <v>10297500</v>
      </c>
      <c r="B27" s="14">
        <v>255.95500000000001</v>
      </c>
      <c r="E27">
        <v>10297500</v>
      </c>
      <c r="F27">
        <v>255.95500000000001</v>
      </c>
      <c r="G27">
        <v>-6.0172330821936315E-12</v>
      </c>
      <c r="J27">
        <v>10297500</v>
      </c>
      <c r="K27">
        <v>90.218699999999998</v>
      </c>
      <c r="N27">
        <v>10297500</v>
      </c>
      <c r="O27">
        <v>90.218699999999998</v>
      </c>
      <c r="P27">
        <v>4.2244602905503054E-12</v>
      </c>
    </row>
    <row r="28" spans="1:16" x14ac:dyDescent="0.2">
      <c r="A28">
        <v>12340500</v>
      </c>
      <c r="B28" s="14">
        <v>239.71799999999999</v>
      </c>
      <c r="E28">
        <v>12340500</v>
      </c>
      <c r="F28">
        <v>239.71799999999999</v>
      </c>
      <c r="G28">
        <v>4.3179579738154192E-12</v>
      </c>
      <c r="J28">
        <v>12340500</v>
      </c>
      <c r="K28">
        <v>105.36</v>
      </c>
      <c r="N28">
        <v>12340500</v>
      </c>
      <c r="O28">
        <v>105.36</v>
      </c>
      <c r="P28">
        <v>-7.7160791612757451E-12</v>
      </c>
    </row>
    <row r="29" spans="1:16" x14ac:dyDescent="0.2">
      <c r="A29">
        <v>12600900</v>
      </c>
      <c r="B29" s="14">
        <v>237.91200000000001</v>
      </c>
      <c r="E29">
        <v>12600900</v>
      </c>
      <c r="F29">
        <v>237.91200000000001</v>
      </c>
      <c r="G29">
        <v>-5.8598640239437981E-12</v>
      </c>
      <c r="J29">
        <v>12600900</v>
      </c>
      <c r="K29">
        <v>106.133</v>
      </c>
      <c r="N29">
        <v>12600900</v>
      </c>
      <c r="O29">
        <v>106.133</v>
      </c>
      <c r="P29">
        <v>9.9492935757758501E-13</v>
      </c>
    </row>
    <row r="30" spans="1:16" x14ac:dyDescent="0.2">
      <c r="A30">
        <v>15206300</v>
      </c>
      <c r="B30" s="14">
        <v>210.833</v>
      </c>
      <c r="E30">
        <v>15206300</v>
      </c>
      <c r="F30">
        <v>210.833</v>
      </c>
      <c r="G30">
        <v>4.4962084644860015E-12</v>
      </c>
      <c r="J30">
        <v>15206300</v>
      </c>
      <c r="K30">
        <v>113.35</v>
      </c>
      <c r="N30">
        <v>15206300</v>
      </c>
      <c r="O30">
        <v>113.35</v>
      </c>
      <c r="P30">
        <v>-1.8746577408218034E-12</v>
      </c>
    </row>
    <row r="31" spans="1:16" x14ac:dyDescent="0.2">
      <c r="A31">
        <v>15312500</v>
      </c>
      <c r="B31" s="14">
        <v>209.892</v>
      </c>
      <c r="E31">
        <v>15312500</v>
      </c>
      <c r="F31">
        <v>209.892</v>
      </c>
      <c r="G31">
        <v>7.5416432355855383E-13</v>
      </c>
      <c r="J31">
        <v>15312500</v>
      </c>
      <c r="K31">
        <v>113.51</v>
      </c>
      <c r="N31">
        <v>15312500</v>
      </c>
      <c r="O31">
        <v>113.51</v>
      </c>
      <c r="P31">
        <v>-5.7380299441830385E-14</v>
      </c>
    </row>
    <row r="32" spans="1:16" x14ac:dyDescent="0.2">
      <c r="A32">
        <v>18350500</v>
      </c>
      <c r="B32" s="14">
        <v>187.11500000000001</v>
      </c>
      <c r="E32">
        <v>18350500</v>
      </c>
      <c r="F32">
        <v>187.11500000000001</v>
      </c>
      <c r="G32">
        <v>9.7421244405864837E-13</v>
      </c>
      <c r="J32">
        <v>18350500</v>
      </c>
      <c r="K32">
        <v>117.752</v>
      </c>
      <c r="N32">
        <v>18350500</v>
      </c>
      <c r="O32">
        <v>117.752</v>
      </c>
      <c r="P32">
        <v>-3.3492070830289959E-14</v>
      </c>
    </row>
    <row r="33" spans="1:16" x14ac:dyDescent="0.2">
      <c r="A33">
        <v>19673300</v>
      </c>
      <c r="B33" s="14">
        <v>179.66900000000001</v>
      </c>
      <c r="E33">
        <v>19673300</v>
      </c>
      <c r="F33">
        <v>179.66900000000001</v>
      </c>
      <c r="G33">
        <v>3.1943191783769989E-13</v>
      </c>
      <c r="J33">
        <v>19673300</v>
      </c>
      <c r="K33">
        <v>119.426</v>
      </c>
      <c r="N33">
        <v>19673300</v>
      </c>
      <c r="O33">
        <v>119.426</v>
      </c>
      <c r="P33">
        <v>-2.4075431774001083E-13</v>
      </c>
    </row>
    <row r="34" spans="1:16" x14ac:dyDescent="0.2">
      <c r="A34">
        <v>23576400</v>
      </c>
      <c r="B34" s="14">
        <v>161.66499999999999</v>
      </c>
      <c r="E34">
        <v>23576400</v>
      </c>
      <c r="F34">
        <v>161.66499999999999</v>
      </c>
      <c r="G34">
        <v>3.7662987999848443E-13</v>
      </c>
      <c r="J34">
        <v>23576400</v>
      </c>
      <c r="K34">
        <v>122.88800000000001</v>
      </c>
      <c r="N34">
        <v>23576400</v>
      </c>
      <c r="O34">
        <v>122.88800000000001</v>
      </c>
      <c r="P34">
        <v>7.4186751677433629E-14</v>
      </c>
    </row>
    <row r="35" spans="1:16" x14ac:dyDescent="0.2">
      <c r="A35">
        <v>25630300</v>
      </c>
      <c r="B35" s="14">
        <v>154.31299999999999</v>
      </c>
      <c r="E35">
        <v>25630300</v>
      </c>
      <c r="F35">
        <v>154.31299999999999</v>
      </c>
      <c r="G35">
        <v>2.2655896284393412E-13</v>
      </c>
      <c r="J35">
        <v>25630300</v>
      </c>
      <c r="K35">
        <v>124.52</v>
      </c>
      <c r="N35">
        <v>25630300</v>
      </c>
      <c r="O35">
        <v>124.52</v>
      </c>
      <c r="P35">
        <v>-2.4274839218467548E-13</v>
      </c>
    </row>
    <row r="36" spans="1:16" x14ac:dyDescent="0.2">
      <c r="A36">
        <v>30080500</v>
      </c>
      <c r="B36" s="14">
        <v>141.143</v>
      </c>
      <c r="E36">
        <v>30080500</v>
      </c>
      <c r="F36">
        <v>141.143</v>
      </c>
      <c r="G36">
        <v>0</v>
      </c>
      <c r="J36">
        <v>30080500</v>
      </c>
      <c r="K36">
        <v>125.827</v>
      </c>
      <c r="N36">
        <v>30080500</v>
      </c>
      <c r="O36">
        <v>125.827</v>
      </c>
      <c r="P36">
        <v>0</v>
      </c>
    </row>
    <row r="37" spans="1:16" x14ac:dyDescent="0.2">
      <c r="J37" s="1"/>
    </row>
    <row r="38" spans="1:16" x14ac:dyDescent="0.2">
      <c r="J38" s="1"/>
    </row>
    <row r="39" spans="1:16" x14ac:dyDescent="0.2">
      <c r="J39" s="1"/>
    </row>
    <row r="40" spans="1:16" x14ac:dyDescent="0.2">
      <c r="J40" s="1"/>
    </row>
    <row r="41" spans="1:16" x14ac:dyDescent="0.2">
      <c r="A41">
        <v>2</v>
      </c>
      <c r="J41" s="1"/>
    </row>
    <row r="42" spans="1:16" x14ac:dyDescent="0.2">
      <c r="A42">
        <v>2</v>
      </c>
      <c r="J42" s="1"/>
    </row>
    <row r="43" spans="1:16" x14ac:dyDescent="0.2">
      <c r="A43">
        <v>3</v>
      </c>
      <c r="J43" s="1"/>
    </row>
    <row r="44" spans="1:16" x14ac:dyDescent="0.2">
      <c r="A44">
        <v>4</v>
      </c>
      <c r="J44" s="1"/>
    </row>
    <row r="45" spans="1:16" x14ac:dyDescent="0.2">
      <c r="A45">
        <v>5</v>
      </c>
      <c r="J45" s="1"/>
    </row>
    <row r="46" spans="1:16" x14ac:dyDescent="0.2">
      <c r="J46" s="1"/>
    </row>
    <row r="47" spans="1:16" x14ac:dyDescent="0.2">
      <c r="A47" t="e">
        <f ca="1">sumthem(A41:C45)</f>
        <v>#NAME?</v>
      </c>
      <c r="J47" s="1"/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0" x14ac:dyDescent="0.2">
      <c r="J65" s="1"/>
    </row>
    <row r="66" spans="10:10" x14ac:dyDescent="0.2">
      <c r="J66" s="1"/>
    </row>
    <row r="67" spans="10:10" x14ac:dyDescent="0.2">
      <c r="J67" s="1"/>
    </row>
  </sheetData>
  <dataConsolidate/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6"/>
  <sheetViews>
    <sheetView topLeftCell="B43" workbookViewId="0">
      <selection activeCell="T7" sqref="T7"/>
    </sheetView>
  </sheetViews>
  <sheetFormatPr defaultRowHeight="15" x14ac:dyDescent="0.25"/>
  <cols>
    <col min="1" max="1" width="9.140625" style="16"/>
    <col min="2" max="2" width="22.42578125" style="16" customWidth="1"/>
    <col min="3" max="3" width="19.5703125" style="16" customWidth="1"/>
    <col min="4" max="17" width="9.140625" style="16"/>
    <col min="18" max="18" width="10.28515625" style="16" bestFit="1" customWidth="1"/>
    <col min="19" max="19" width="9.28515625" style="16" bestFit="1" customWidth="1"/>
    <col min="20" max="20" width="10.28515625" style="16" bestFit="1" customWidth="1"/>
    <col min="21" max="21" width="9.140625" style="16"/>
    <col min="22" max="22" width="11.5703125" style="16" bestFit="1" customWidth="1"/>
    <col min="23" max="16384" width="9.140625" style="16"/>
  </cols>
  <sheetData>
    <row r="1" spans="1:27" x14ac:dyDescent="0.25">
      <c r="A1" s="16" t="s">
        <v>48</v>
      </c>
    </row>
    <row r="2" spans="1:27" x14ac:dyDescent="0.25">
      <c r="A2" s="16" t="s">
        <v>47</v>
      </c>
      <c r="U2" s="16">
        <f>10^(-0.03)</f>
        <v>0.93325430079699101</v>
      </c>
    </row>
    <row r="3" spans="1:27" x14ac:dyDescent="0.25">
      <c r="A3" s="16" t="s">
        <v>46</v>
      </c>
      <c r="B3" s="16" t="s">
        <v>45</v>
      </c>
    </row>
    <row r="4" spans="1:27" x14ac:dyDescent="0.25">
      <c r="A4" s="16" t="s">
        <v>44</v>
      </c>
      <c r="B4" s="16" t="str">
        <f>COMPLEX(50,0)</f>
        <v>50</v>
      </c>
      <c r="D4" s="16" t="s">
        <v>43</v>
      </c>
      <c r="E4" s="16" t="str">
        <f>COMPLEX(1,0)</f>
        <v>1</v>
      </c>
    </row>
    <row r="6" spans="1:27" x14ac:dyDescent="0.25">
      <c r="A6" s="16" t="s">
        <v>42</v>
      </c>
      <c r="B6" s="16" t="s">
        <v>41</v>
      </c>
      <c r="C6" s="16" t="s">
        <v>40</v>
      </c>
      <c r="D6" s="16" t="s">
        <v>39</v>
      </c>
      <c r="E6" s="16" t="s">
        <v>38</v>
      </c>
      <c r="G6" s="16" t="s">
        <v>37</v>
      </c>
      <c r="H6" s="16" t="s">
        <v>36</v>
      </c>
      <c r="R6" s="16" t="s">
        <v>35</v>
      </c>
      <c r="S6" s="16" t="s">
        <v>34</v>
      </c>
      <c r="T6" s="16" t="s">
        <v>33</v>
      </c>
    </row>
    <row r="7" spans="1:27" x14ac:dyDescent="0.25">
      <c r="A7" s="16">
        <v>1000000</v>
      </c>
      <c r="B7" s="16" t="str">
        <f>COMPLEX(-0.0149342,0.0166762)</f>
        <v>-0.0149342+0.0166762i</v>
      </c>
      <c r="C7" s="16" t="str">
        <f>COMPLEX(0.982404,-0.0947336)</f>
        <v>0.982404-0.0947336i</v>
      </c>
      <c r="D7" s="16" t="str">
        <f>COMPLEX(0.982404,-0.0947336)</f>
        <v>0.982404-0.0947336i</v>
      </c>
      <c r="E7" s="16" t="str">
        <f>COMPLEX(-0.0149342,0.0166762)</f>
        <v>-0.0149342+0.0166762i</v>
      </c>
      <c r="G7" s="16" t="str">
        <f t="shared" ref="G7:G38" si="0">IMPRODUCT($B$4,(IMDIV(IMSUM($E$4,$B7),IMSUB($E$4,$B7))))</f>
        <v>48.5019621032116+1.61846789715588i</v>
      </c>
      <c r="H7" s="16" t="str">
        <f t="shared" ref="H7:H38" si="1">IMPRODUCT($B$4,(IMDIV(IMSUM($E$4,$E7),IMSUB($E$4,$E7))))</f>
        <v>48.5019621032116+1.61846789715588i</v>
      </c>
      <c r="N7" s="19">
        <f t="shared" ref="N7:N38" si="2">IMABS(B7)</f>
        <v>2.2385843206812649E-2</v>
      </c>
      <c r="O7" s="19">
        <f t="shared" ref="O7:O38" si="3">IMABS(C7)</f>
        <v>0.98696102971949218</v>
      </c>
      <c r="P7" s="19">
        <f>20*LOG(N7)</f>
        <v>-33.000530848332254</v>
      </c>
      <c r="Q7" s="19">
        <f>20*LOG(O7)</f>
        <v>-0.11399990328229906</v>
      </c>
      <c r="R7" s="18">
        <f t="shared" ref="R7:R38" si="4">20*LOG(N7)</f>
        <v>-33.000530848332254</v>
      </c>
      <c r="S7" s="18">
        <f t="shared" ref="S7:S38" si="5">20*LOG(O7)</f>
        <v>-0.11399990328229906</v>
      </c>
      <c r="T7" s="17">
        <f>-10*LOG(O7^2/(1-N7^2))</f>
        <v>0.11182299532266869</v>
      </c>
      <c r="V7" s="17">
        <f t="shared" ref="V7:V38" si="6">A7/1000000</f>
        <v>1</v>
      </c>
      <c r="W7" s="17">
        <f>T7</f>
        <v>0.11182299532266869</v>
      </c>
      <c r="X7" s="17">
        <f>(1+N7)/(1-N7)</f>
        <v>1.0457968883761743</v>
      </c>
      <c r="Z7" s="21">
        <f>V7</f>
        <v>1</v>
      </c>
      <c r="AA7" s="20">
        <f>-0.0008*Z7^2+0.028*Z7+0.0521</f>
        <v>7.9300000000000009E-2</v>
      </c>
    </row>
    <row r="8" spans="1:27" x14ac:dyDescent="0.25">
      <c r="A8" s="16">
        <v>1292929</v>
      </c>
      <c r="B8" s="16" t="str">
        <f>COMPLEX(-0.021593,0.0561381)</f>
        <v>-0.021593+0.0561381i</v>
      </c>
      <c r="C8" s="16" t="str">
        <f>COMPLEX(0.990055,-0.116204)</f>
        <v>0.990055-0.116204i</v>
      </c>
      <c r="D8" s="16" t="str">
        <f>COMPLEX(0.990055,-0.116204)</f>
        <v>0.990055-0.116204i</v>
      </c>
      <c r="E8" s="16" t="str">
        <f>COMPLEX(-0.021593,0.0561381)</f>
        <v>-0.021593+0.0561381i</v>
      </c>
      <c r="G8" s="16" t="str">
        <f t="shared" si="0"/>
        <v>47.5916456100751+5.3628103955518i</v>
      </c>
      <c r="H8" s="16" t="str">
        <f t="shared" si="1"/>
        <v>47.5916456100751+5.3628103955518i</v>
      </c>
      <c r="N8" s="19">
        <f t="shared" si="2"/>
        <v>6.0147684249769753E-2</v>
      </c>
      <c r="O8" s="19">
        <f t="shared" si="3"/>
        <v>0.99685117878297147</v>
      </c>
      <c r="P8" s="19">
        <f t="shared" ref="P8:P71" si="7">20*LOG(N8)</f>
        <v>-24.415621776094305</v>
      </c>
      <c r="Q8" s="19">
        <f t="shared" ref="Q8:Q71" si="8">20*LOG(O8)</f>
        <v>-2.7393464812440226E-2</v>
      </c>
      <c r="R8" s="18">
        <f t="shared" si="4"/>
        <v>-24.415621776094305</v>
      </c>
      <c r="S8" s="18">
        <f t="shared" si="5"/>
        <v>-2.7393464812440226E-2</v>
      </c>
      <c r="T8" s="17">
        <f t="shared" ref="T8:T71" si="9">-10*LOG(O8^2/(1-N8^2))</f>
        <v>1.1653313478966358E-2</v>
      </c>
      <c r="V8" s="17">
        <f t="shared" si="6"/>
        <v>1.292929</v>
      </c>
      <c r="W8" s="17">
        <f t="shared" ref="W8:W71" si="10">T8</f>
        <v>1.1653313478966358E-2</v>
      </c>
      <c r="X8" s="17">
        <f t="shared" ref="X8:X71" si="11">(1+N8)/(1-N8)</f>
        <v>1.1279939055143091</v>
      </c>
      <c r="Z8" s="21">
        <f t="shared" ref="Z8:Z71" si="12">V8</f>
        <v>1.292929</v>
      </c>
      <c r="AA8" s="20">
        <f t="shared" ref="AA8:AA71" si="13">-0.0008*Z8^2+0.028*Z8+0.0521</f>
        <v>8.696467968076721E-2</v>
      </c>
    </row>
    <row r="9" spans="1:27" x14ac:dyDescent="0.25">
      <c r="A9" s="16">
        <v>1585858</v>
      </c>
      <c r="B9" s="16" t="str">
        <f>COMPLEX(-0.0173884,0.0815303)</f>
        <v>-0.0173884+0.0815303i</v>
      </c>
      <c r="C9" s="16" t="str">
        <f>COMPLEX(0.990704,-0.134064)</f>
        <v>0.990704-0.134064i</v>
      </c>
      <c r="D9" s="16" t="str">
        <f>COMPLEX(0.990704,-0.134064)</f>
        <v>0.990704-0.134064i</v>
      </c>
      <c r="E9" s="16" t="str">
        <f>COMPLEX(-0.0173884,0.0815303)</f>
        <v>-0.0173884+0.0815303i</v>
      </c>
      <c r="G9" s="16" t="str">
        <f t="shared" si="0"/>
        <v>47.6636910106255+7.8264604031298i</v>
      </c>
      <c r="H9" s="16" t="str">
        <f t="shared" si="1"/>
        <v>47.6636910106255+7.8264604031298i</v>
      </c>
      <c r="N9" s="19">
        <f t="shared" si="2"/>
        <v>8.3363938682442296E-2</v>
      </c>
      <c r="O9" s="19">
        <f t="shared" si="3"/>
        <v>0.9997337504115783</v>
      </c>
      <c r="P9" s="19">
        <f t="shared" si="7"/>
        <v>-21.580435490382133</v>
      </c>
      <c r="Q9" s="19">
        <f t="shared" si="8"/>
        <v>-2.3129224622030859E-3</v>
      </c>
      <c r="R9" s="18">
        <f t="shared" si="4"/>
        <v>-21.580435490382133</v>
      </c>
      <c r="S9" s="18">
        <f t="shared" si="5"/>
        <v>-2.3129224622030859E-3</v>
      </c>
      <c r="T9" s="17">
        <f t="shared" si="9"/>
        <v>-2.7973935799126725E-2</v>
      </c>
      <c r="V9" s="17">
        <f t="shared" si="6"/>
        <v>1.585858</v>
      </c>
      <c r="W9" s="17">
        <f t="shared" si="10"/>
        <v>-2.7973935799126725E-2</v>
      </c>
      <c r="X9" s="17">
        <f t="shared" si="11"/>
        <v>1.1818910300400278</v>
      </c>
      <c r="Z9" s="21">
        <f t="shared" si="12"/>
        <v>1.585858</v>
      </c>
      <c r="AA9" s="20">
        <f t="shared" si="13"/>
        <v>9.4492067523068796E-2</v>
      </c>
    </row>
    <row r="10" spans="1:27" x14ac:dyDescent="0.25">
      <c r="A10" s="16">
        <v>1878787</v>
      </c>
      <c r="B10" s="16" t="str">
        <f>COMPLEX(-0.0119329,0.0942523)</f>
        <v>-0.0119329+0.0942523i</v>
      </c>
      <c r="C10" s="16" t="str">
        <f>COMPLEX(0.958701,-0.137807)</f>
        <v>0.958701-0.137807i</v>
      </c>
      <c r="D10" s="16" t="str">
        <f>COMPLEX(0.958701,-0.137807)</f>
        <v>0.958701-0.137807i</v>
      </c>
      <c r="E10" s="16" t="str">
        <f>COMPLEX(-0.0119329,0.0942523)</f>
        <v>-0.0119329+0.0942523i</v>
      </c>
      <c r="G10" s="16" t="str">
        <f t="shared" si="0"/>
        <v>47.9708627383283+9.12509035537015i</v>
      </c>
      <c r="H10" s="16" t="str">
        <f t="shared" si="1"/>
        <v>47.9708627383283+9.12509035537015i</v>
      </c>
      <c r="N10" s="19">
        <f t="shared" si="2"/>
        <v>9.5004684925007771E-2</v>
      </c>
      <c r="O10" s="19">
        <f t="shared" si="3"/>
        <v>0.96855478763464897</v>
      </c>
      <c r="P10" s="19">
        <f t="shared" si="7"/>
        <v>-20.445099560136395</v>
      </c>
      <c r="Q10" s="19">
        <f t="shared" si="8"/>
        <v>-0.27751615569817939</v>
      </c>
      <c r="R10" s="18">
        <f t="shared" si="4"/>
        <v>-20.445099560136395</v>
      </c>
      <c r="S10" s="18">
        <f t="shared" si="5"/>
        <v>-0.27751615569817939</v>
      </c>
      <c r="T10" s="17">
        <f t="shared" si="9"/>
        <v>0.2381392383965131</v>
      </c>
      <c r="V10" s="17">
        <f t="shared" si="6"/>
        <v>1.878787</v>
      </c>
      <c r="W10" s="17">
        <f t="shared" si="10"/>
        <v>0.2381392383965131</v>
      </c>
      <c r="X10" s="17">
        <f t="shared" si="11"/>
        <v>1.2099561916895343</v>
      </c>
      <c r="Z10" s="21">
        <f t="shared" si="12"/>
        <v>1.878787</v>
      </c>
      <c r="AA10" s="20">
        <f t="shared" si="13"/>
        <v>0.1018821635269048</v>
      </c>
    </row>
    <row r="11" spans="1:27" x14ac:dyDescent="0.25">
      <c r="A11" s="16">
        <v>2171717</v>
      </c>
      <c r="B11" s="16" t="str">
        <f>COMPLEX(-0.007468,0.107606)</f>
        <v>-0.007468+0.107606i</v>
      </c>
      <c r="C11" s="16" t="str">
        <f>COMPLEX(0.960745,-0.157104)</f>
        <v>0.960745-0.157104i</v>
      </c>
      <c r="D11" s="16" t="str">
        <f>COMPLEX(0.960745,-0.157104)</f>
        <v>0.960745-0.157104i</v>
      </c>
      <c r="E11" s="16" t="str">
        <f>COMPLEX(-0.007468,0.107606)</f>
        <v>-0.007468+0.107606i</v>
      </c>
      <c r="G11" s="16" t="str">
        <f t="shared" si="0"/>
        <v>48.1391617757122+10.4820824502984i</v>
      </c>
      <c r="H11" s="16" t="str">
        <f t="shared" si="1"/>
        <v>48.1391617757122+10.4820824502984i</v>
      </c>
      <c r="N11" s="19">
        <f t="shared" si="2"/>
        <v>0.10786483328685025</v>
      </c>
      <c r="O11" s="19">
        <f t="shared" si="3"/>
        <v>0.97350532707376591</v>
      </c>
      <c r="P11" s="19">
        <f t="shared" si="7"/>
        <v>-19.342402468500335</v>
      </c>
      <c r="Q11" s="19">
        <f t="shared" si="8"/>
        <v>-0.23323335309139184</v>
      </c>
      <c r="R11" s="18">
        <f t="shared" si="4"/>
        <v>-19.342402468500335</v>
      </c>
      <c r="S11" s="18">
        <f t="shared" si="5"/>
        <v>-0.23323335309139184</v>
      </c>
      <c r="T11" s="17">
        <f t="shared" si="9"/>
        <v>0.18240771167294692</v>
      </c>
      <c r="V11" s="17">
        <f t="shared" si="6"/>
        <v>2.1717170000000001</v>
      </c>
      <c r="W11" s="17">
        <f t="shared" si="10"/>
        <v>0.18240771167294692</v>
      </c>
      <c r="X11" s="17">
        <f t="shared" si="11"/>
        <v>1.2418127595715152</v>
      </c>
      <c r="Z11" s="21">
        <f t="shared" si="12"/>
        <v>2.1717170000000001</v>
      </c>
      <c r="AA11" s="20">
        <f t="shared" si="13"/>
        <v>0.1091349922175288</v>
      </c>
    </row>
    <row r="12" spans="1:27" x14ac:dyDescent="0.25">
      <c r="A12" s="16">
        <v>2464646</v>
      </c>
      <c r="B12" s="16" t="str">
        <f>COMPLEX(-0.00340086,0.118771)</f>
        <v>-0.00340086+0.118771i</v>
      </c>
      <c r="C12" s="16" t="str">
        <f>COMPLEX(0.954454,-0.178504)</f>
        <v>0.954454-0.178504i</v>
      </c>
      <c r="D12" s="16" t="str">
        <f>COMPLEX(0.954454,-0.178504)</f>
        <v>0.954454-0.178504i</v>
      </c>
      <c r="E12" s="16" t="str">
        <f>COMPLEX(-0.00340086,0.118771)</f>
        <v>-0.00340086+0.118771i</v>
      </c>
      <c r="G12" s="16" t="str">
        <f t="shared" si="0"/>
        <v>48.2840007934993+11.6337243903146i</v>
      </c>
      <c r="H12" s="16" t="str">
        <f t="shared" si="1"/>
        <v>48.2840007934993+11.6337243903146i</v>
      </c>
      <c r="N12" s="19">
        <f t="shared" si="2"/>
        <v>0.11881967972410799</v>
      </c>
      <c r="O12" s="19">
        <f t="shared" si="3"/>
        <v>0.97100263446192558</v>
      </c>
      <c r="P12" s="19">
        <f t="shared" si="7"/>
        <v>-18.502232451783851</v>
      </c>
      <c r="Q12" s="19">
        <f t="shared" si="8"/>
        <v>-0.25559183581055217</v>
      </c>
      <c r="R12" s="18">
        <f t="shared" si="4"/>
        <v>-18.502232451783851</v>
      </c>
      <c r="S12" s="18">
        <f t="shared" si="5"/>
        <v>-0.25559183581055217</v>
      </c>
      <c r="T12" s="17">
        <f t="shared" si="9"/>
        <v>0.19384069794438571</v>
      </c>
      <c r="V12" s="17">
        <f t="shared" si="6"/>
        <v>2.4646460000000001</v>
      </c>
      <c r="W12" s="17">
        <f t="shared" si="10"/>
        <v>0.19384069794438571</v>
      </c>
      <c r="X12" s="17">
        <f t="shared" si="11"/>
        <v>1.2696830080973807</v>
      </c>
      <c r="Z12" s="21">
        <f t="shared" si="12"/>
        <v>2.4646460000000001</v>
      </c>
      <c r="AA12" s="20">
        <f t="shared" si="13"/>
        <v>0.11625050407574722</v>
      </c>
    </row>
    <row r="13" spans="1:27" x14ac:dyDescent="0.25">
      <c r="A13" s="16">
        <v>2757575</v>
      </c>
      <c r="B13" s="16" t="str">
        <f>COMPLEX(0.0014684,0.130424)</f>
        <v>0.0014684+0.130424i</v>
      </c>
      <c r="C13" s="16" t="str">
        <f>COMPLEX(0.957981,-0.218647)</f>
        <v>0.957981-0.218647i</v>
      </c>
      <c r="D13" s="16" t="str">
        <f>COMPLEX(0.957981,-0.218647)</f>
        <v>0.957981-0.218647i</v>
      </c>
      <c r="E13" s="16" t="str">
        <f>COMPLEX(0.0014684,0.130424)</f>
        <v>0.0014684+0.130424i</v>
      </c>
      <c r="G13" s="16" t="str">
        <f t="shared" si="0"/>
        <v>48.4671583383774+12.8613662893838i</v>
      </c>
      <c r="H13" s="16" t="str">
        <f t="shared" si="1"/>
        <v>48.4671583383774+12.8613662893838i</v>
      </c>
      <c r="N13" s="19">
        <f t="shared" si="2"/>
        <v>0.13043226584921386</v>
      </c>
      <c r="O13" s="19">
        <f t="shared" si="3"/>
        <v>0.98261595090350529</v>
      </c>
      <c r="P13" s="19">
        <f t="shared" si="7"/>
        <v>-17.692299223171322</v>
      </c>
      <c r="Q13" s="19">
        <f t="shared" si="8"/>
        <v>-0.1523238039598877</v>
      </c>
      <c r="R13" s="18">
        <f t="shared" si="4"/>
        <v>-17.692299223171322</v>
      </c>
      <c r="S13" s="18">
        <f t="shared" si="5"/>
        <v>-0.1523238039598877</v>
      </c>
      <c r="T13" s="17">
        <f t="shared" si="9"/>
        <v>7.7803420620073005E-2</v>
      </c>
      <c r="V13" s="17">
        <f t="shared" si="6"/>
        <v>2.7575750000000001</v>
      </c>
      <c r="W13" s="17">
        <f t="shared" si="10"/>
        <v>7.7803420620073005E-2</v>
      </c>
      <c r="X13" s="17">
        <f t="shared" si="11"/>
        <v>1.2999933431904374</v>
      </c>
      <c r="Z13" s="21">
        <f t="shared" si="12"/>
        <v>2.7575750000000001</v>
      </c>
      <c r="AA13" s="20">
        <f t="shared" si="13"/>
        <v>0.12322872409550001</v>
      </c>
    </row>
    <row r="14" spans="1:27" x14ac:dyDescent="0.25">
      <c r="A14" s="16">
        <v>3050505</v>
      </c>
      <c r="B14" s="16" t="str">
        <f>COMPLEX(0.00717272,0.142063)</f>
        <v>0.00717272+0.142063i</v>
      </c>
      <c r="C14" s="16" t="str">
        <f>COMPLEX(0.945458,-0.229666)</f>
        <v>0.945458-0.229666i</v>
      </c>
      <c r="D14" s="16" t="str">
        <f>COMPLEX(0.945458,-0.229666)</f>
        <v>0.945458-0.229666i</v>
      </c>
      <c r="E14" s="16" t="str">
        <f>COMPLEX(0.00717272,0.142063)</f>
        <v>0.00717272+0.142063i</v>
      </c>
      <c r="G14" s="16" t="str">
        <f t="shared" si="0"/>
        <v>48.7015825689121+14.1231442839557i</v>
      </c>
      <c r="H14" s="16" t="str">
        <f t="shared" si="1"/>
        <v>48.7015825689121+14.1231442839557i</v>
      </c>
      <c r="N14" s="19">
        <f t="shared" si="2"/>
        <v>0.1422439590323554</v>
      </c>
      <c r="O14" s="19">
        <f t="shared" si="3"/>
        <v>0.9729528772350694</v>
      </c>
      <c r="P14" s="19">
        <f t="shared" si="7"/>
        <v>-16.939323372418478</v>
      </c>
      <c r="Q14" s="19">
        <f t="shared" si="8"/>
        <v>-0.238163865801823</v>
      </c>
      <c r="R14" s="18">
        <f t="shared" si="4"/>
        <v>-16.939323372418478</v>
      </c>
      <c r="S14" s="18">
        <f t="shared" si="5"/>
        <v>-0.238163865801823</v>
      </c>
      <c r="T14" s="17">
        <f t="shared" si="9"/>
        <v>0.14939041837236192</v>
      </c>
      <c r="V14" s="17">
        <f t="shared" si="6"/>
        <v>3.0505049999999998</v>
      </c>
      <c r="W14" s="17">
        <f t="shared" si="10"/>
        <v>0.14939041837236192</v>
      </c>
      <c r="X14" s="17">
        <f t="shared" si="11"/>
        <v>1.3316653039759145</v>
      </c>
      <c r="Z14" s="21">
        <f t="shared" si="12"/>
        <v>3.0505049999999998</v>
      </c>
      <c r="AA14" s="20">
        <f t="shared" si="13"/>
        <v>0.13006967539597999</v>
      </c>
    </row>
    <row r="15" spans="1:27" x14ac:dyDescent="0.25">
      <c r="A15" s="16">
        <v>3343434</v>
      </c>
      <c r="B15" s="16" t="str">
        <f>COMPLEX(0.0140066,0.154054)</f>
        <v>0.0140066+0.154054i</v>
      </c>
      <c r="C15" s="16" t="str">
        <f>COMPLEX(0.942297,-0.250184)</f>
        <v>0.942297-0.250184i</v>
      </c>
      <c r="D15" s="16" t="str">
        <f>COMPLEX(0.942297,-0.250184)</f>
        <v>0.942297-0.250184i</v>
      </c>
      <c r="E15" s="16" t="str">
        <f>COMPLEX(0.0140066,0.154054)</f>
        <v>0.0140066+0.154054i</v>
      </c>
      <c r="G15" s="16" t="str">
        <f t="shared" si="0"/>
        <v>49.00370879192+15.4685795607054i</v>
      </c>
      <c r="H15" s="16" t="str">
        <f t="shared" si="1"/>
        <v>49.00370879192+15.4685795607054i</v>
      </c>
      <c r="N15" s="19">
        <f t="shared" si="2"/>
        <v>0.15468943001886071</v>
      </c>
      <c r="O15" s="19">
        <f t="shared" si="3"/>
        <v>0.97494393175453942</v>
      </c>
      <c r="P15" s="19">
        <f t="shared" si="7"/>
        <v>-16.210787215516685</v>
      </c>
      <c r="Q15" s="19">
        <f t="shared" si="8"/>
        <v>-0.22040719022984506</v>
      </c>
      <c r="R15" s="18">
        <f t="shared" si="4"/>
        <v>-16.210787215516685</v>
      </c>
      <c r="S15" s="18">
        <f t="shared" si="5"/>
        <v>-0.22040719022984506</v>
      </c>
      <c r="T15" s="17">
        <f t="shared" si="9"/>
        <v>0.11522208880701172</v>
      </c>
      <c r="V15" s="17">
        <f t="shared" si="6"/>
        <v>3.3434339999999998</v>
      </c>
      <c r="W15" s="17">
        <f t="shared" si="10"/>
        <v>0.11522208880701172</v>
      </c>
      <c r="X15" s="17">
        <f t="shared" si="11"/>
        <v>1.3659943114690076</v>
      </c>
      <c r="Z15" s="21">
        <f t="shared" si="12"/>
        <v>3.3434339999999998</v>
      </c>
      <c r="AA15" s="20">
        <f t="shared" si="13"/>
        <v>0.13677331127011519</v>
      </c>
    </row>
    <row r="16" spans="1:27" x14ac:dyDescent="0.25">
      <c r="A16" s="16">
        <v>3636363</v>
      </c>
      <c r="B16" s="16" t="str">
        <f>COMPLEX(0.0197602,0.163892)</f>
        <v>0.0197602+0.163892i</v>
      </c>
      <c r="C16" s="16" t="str">
        <f>COMPLEX(0.922697,-0.271947)</f>
        <v>0.922697-0.271947i</v>
      </c>
      <c r="D16" s="16" t="str">
        <f>COMPLEX(0.922697,-0.271947)</f>
        <v>0.922697-0.271947i</v>
      </c>
      <c r="E16" s="16" t="str">
        <f>COMPLEX(0.0197602,0.163892)</f>
        <v>0.0197602+0.163892i</v>
      </c>
      <c r="G16" s="16" t="str">
        <f t="shared" si="0"/>
        <v>49.2416097299386+16.5927826046842i</v>
      </c>
      <c r="H16" s="16" t="str">
        <f t="shared" si="1"/>
        <v>49.2416097299386+16.5927826046842i</v>
      </c>
      <c r="N16" s="19">
        <f t="shared" si="2"/>
        <v>0.16507893011538452</v>
      </c>
      <c r="O16" s="19">
        <f t="shared" si="3"/>
        <v>0.96193810851738282</v>
      </c>
      <c r="P16" s="19">
        <f t="shared" si="7"/>
        <v>-15.64616708938534</v>
      </c>
      <c r="Q16" s="19">
        <f t="shared" si="8"/>
        <v>-0.337057394879206</v>
      </c>
      <c r="R16" s="18">
        <f t="shared" si="4"/>
        <v>-15.64616708938534</v>
      </c>
      <c r="S16" s="18">
        <f t="shared" si="5"/>
        <v>-0.337057394879206</v>
      </c>
      <c r="T16" s="17">
        <f t="shared" si="9"/>
        <v>0.21706508765483418</v>
      </c>
      <c r="V16" s="17">
        <f t="shared" si="6"/>
        <v>3.6363629999999998</v>
      </c>
      <c r="W16" s="17">
        <f t="shared" si="10"/>
        <v>0.21706508765483418</v>
      </c>
      <c r="X16" s="17">
        <f t="shared" si="11"/>
        <v>1.3954360144203766</v>
      </c>
      <c r="Z16" s="21">
        <f t="shared" si="12"/>
        <v>3.6363629999999998</v>
      </c>
      <c r="AA16" s="20">
        <f t="shared" si="13"/>
        <v>0.1433396553057848</v>
      </c>
    </row>
    <row r="17" spans="1:27" x14ac:dyDescent="0.25">
      <c r="A17" s="16">
        <v>3929292</v>
      </c>
      <c r="B17" s="16" t="str">
        <f>COMPLEX(0.0248922,0.174924)</f>
        <v>0.0248922+0.174924i</v>
      </c>
      <c r="C17" s="16" t="str">
        <f>COMPLEX(0.924305,-0.287745)</f>
        <v>0.924305-0.287745i</v>
      </c>
      <c r="D17" s="16" t="str">
        <f>COMPLEX(0.924305,-0.287745)</f>
        <v>0.924305-0.287745i</v>
      </c>
      <c r="E17" s="16" t="str">
        <f>COMPLEX(0.0248922,0.174924)</f>
        <v>0.0248922+0.174924i</v>
      </c>
      <c r="G17" s="16" t="str">
        <f t="shared" si="0"/>
        <v>49.3554503106217+17.8233142942095i</v>
      </c>
      <c r="H17" s="16" t="str">
        <f t="shared" si="1"/>
        <v>49.3554503106217+17.8233142942095i</v>
      </c>
      <c r="N17" s="19">
        <f t="shared" si="2"/>
        <v>0.17668623997595287</v>
      </c>
      <c r="O17" s="19">
        <f t="shared" si="3"/>
        <v>0.96805832368199796</v>
      </c>
      <c r="P17" s="19">
        <f t="shared" si="7"/>
        <v>-15.055945425847179</v>
      </c>
      <c r="Q17" s="19">
        <f t="shared" si="8"/>
        <v>-0.28196952965425826</v>
      </c>
      <c r="R17" s="18">
        <f t="shared" si="4"/>
        <v>-15.055945425847179</v>
      </c>
      <c r="S17" s="18">
        <f t="shared" si="5"/>
        <v>-0.28196952965425826</v>
      </c>
      <c r="T17" s="17">
        <f t="shared" si="9"/>
        <v>0.14423001688557205</v>
      </c>
      <c r="V17" s="17">
        <f t="shared" si="6"/>
        <v>3.9292919999999998</v>
      </c>
      <c r="W17" s="17">
        <f t="shared" si="10"/>
        <v>0.14423001688557205</v>
      </c>
      <c r="X17" s="17">
        <f t="shared" si="11"/>
        <v>1.429207547729537</v>
      </c>
      <c r="Z17" s="21">
        <f t="shared" si="12"/>
        <v>3.9292919999999998</v>
      </c>
      <c r="AA17" s="20">
        <f t="shared" si="13"/>
        <v>0.14976870750298879</v>
      </c>
    </row>
    <row r="18" spans="1:27" x14ac:dyDescent="0.25">
      <c r="A18" s="16">
        <v>4222222</v>
      </c>
      <c r="B18" s="16" t="str">
        <f>COMPLEX(0.0316538,0.184758)</f>
        <v>0.0316538+0.184758i</v>
      </c>
      <c r="C18" s="16" t="str">
        <f>COMPLEX(0.915914,-0.309584)</f>
        <v>0.915914-0.309584i</v>
      </c>
      <c r="D18" s="16" t="str">
        <f>COMPLEX(0.915914,-0.309584)</f>
        <v>0.915914-0.309584i</v>
      </c>
      <c r="E18" s="16" t="str">
        <f>COMPLEX(0.0316538,0.184758)</f>
        <v>0.0316538+0.184758i</v>
      </c>
      <c r="G18" s="16" t="str">
        <f t="shared" si="0"/>
        <v>49.6415338029493+19.0113520374896i</v>
      </c>
      <c r="H18" s="16" t="str">
        <f t="shared" si="1"/>
        <v>49.6415338029493+19.0113520374896i</v>
      </c>
      <c r="N18" s="19">
        <f t="shared" si="2"/>
        <v>0.18744994430097864</v>
      </c>
      <c r="O18" s="19">
        <f t="shared" si="3"/>
        <v>0.96681989452637973</v>
      </c>
      <c r="P18" s="19">
        <f t="shared" si="7"/>
        <v>-14.542293685780187</v>
      </c>
      <c r="Q18" s="19">
        <f t="shared" si="8"/>
        <v>-0.29308843144141739</v>
      </c>
      <c r="R18" s="18">
        <f t="shared" si="4"/>
        <v>-14.542293685780187</v>
      </c>
      <c r="S18" s="18">
        <f t="shared" si="5"/>
        <v>-0.29308843144141739</v>
      </c>
      <c r="T18" s="17">
        <f t="shared" si="9"/>
        <v>0.13774279014504004</v>
      </c>
      <c r="V18" s="17">
        <f t="shared" si="6"/>
        <v>4.2222220000000004</v>
      </c>
      <c r="W18" s="17">
        <f t="shared" si="10"/>
        <v>0.13774279014504004</v>
      </c>
      <c r="X18" s="17">
        <f t="shared" si="11"/>
        <v>1.4613868228455638</v>
      </c>
      <c r="Z18" s="21">
        <f t="shared" si="12"/>
        <v>4.2222220000000004</v>
      </c>
      <c r="AA18" s="20">
        <f t="shared" si="13"/>
        <v>0.15606048910617282</v>
      </c>
    </row>
    <row r="19" spans="1:27" x14ac:dyDescent="0.25">
      <c r="A19" s="16">
        <v>4515151</v>
      </c>
      <c r="B19" s="16" t="str">
        <f>COMPLEX(0.0395556,0.194653)</f>
        <v>0.0395556+0.194653i</v>
      </c>
      <c r="C19" s="16" t="str">
        <f>COMPLEX(0.896628,-0.331646)</f>
        <v>0.896628-0.331646i</v>
      </c>
      <c r="D19" s="16" t="str">
        <f>COMPLEX(0.896628,-0.331646)</f>
        <v>0.896628-0.331646i</v>
      </c>
      <c r="E19" s="16" t="str">
        <f>COMPLEX(0.0395556,0.194653)</f>
        <v>0.0395556+0.194653i</v>
      </c>
      <c r="G19" s="16" t="str">
        <f t="shared" si="0"/>
        <v>50.0105341606895+20.2691072028539i</v>
      </c>
      <c r="H19" s="16" t="str">
        <f t="shared" si="1"/>
        <v>50.0105341606895+20.2691072028539i</v>
      </c>
      <c r="N19" s="19">
        <f t="shared" si="2"/>
        <v>0.19863140713482344</v>
      </c>
      <c r="O19" s="19">
        <f t="shared" si="3"/>
        <v>0.95599730109451664</v>
      </c>
      <c r="P19" s="19">
        <f t="shared" si="7"/>
        <v>-14.039041615611223</v>
      </c>
      <c r="Q19" s="19">
        <f t="shared" si="8"/>
        <v>-0.39086667584647394</v>
      </c>
      <c r="R19" s="18">
        <f t="shared" si="4"/>
        <v>-14.039041615611223</v>
      </c>
      <c r="S19" s="18">
        <f t="shared" si="5"/>
        <v>-0.39086667584647394</v>
      </c>
      <c r="T19" s="17">
        <f t="shared" si="9"/>
        <v>0.2160463831042356</v>
      </c>
      <c r="V19" s="17">
        <f t="shared" si="6"/>
        <v>4.5151510000000004</v>
      </c>
      <c r="W19" s="17">
        <f t="shared" si="10"/>
        <v>0.2160463831042356</v>
      </c>
      <c r="X19" s="17">
        <f t="shared" si="11"/>
        <v>1.4957304513885321</v>
      </c>
      <c r="Z19" s="21">
        <f t="shared" si="12"/>
        <v>4.5151510000000004</v>
      </c>
      <c r="AA19" s="20">
        <f t="shared" si="13"/>
        <v>0.16221495715775919</v>
      </c>
    </row>
    <row r="20" spans="1:27" x14ac:dyDescent="0.25">
      <c r="A20" s="16">
        <v>4808080</v>
      </c>
      <c r="B20" s="16" t="str">
        <f>COMPLEX(0.0475304,0.204709)</f>
        <v>0.0475304+0.204709i</v>
      </c>
      <c r="C20" s="16" t="str">
        <f>COMPLEX(0.904387,-0.341627)</f>
        <v>0.904387-0.341627i</v>
      </c>
      <c r="D20" s="16" t="str">
        <f>COMPLEX(0.904387,-0.341627)</f>
        <v>0.904387-0.341627i</v>
      </c>
      <c r="E20" s="16" t="str">
        <f>COMPLEX(0.0475304,0.204709)</f>
        <v>0.0475304+0.204709i</v>
      </c>
      <c r="G20" s="16" t="str">
        <f t="shared" si="0"/>
        <v>50.354596123502+21.568655858251i</v>
      </c>
      <c r="H20" s="16" t="str">
        <f t="shared" si="1"/>
        <v>50.354596123502+21.568655858251i</v>
      </c>
      <c r="N20" s="19">
        <f t="shared" si="2"/>
        <v>0.21015449936929734</v>
      </c>
      <c r="O20" s="19">
        <f t="shared" si="3"/>
        <v>0.96675997688050797</v>
      </c>
      <c r="P20" s="19">
        <f t="shared" si="7"/>
        <v>-13.549226147875636</v>
      </c>
      <c r="Q20" s="19">
        <f t="shared" si="8"/>
        <v>-0.29362674699515007</v>
      </c>
      <c r="R20" s="18">
        <f t="shared" si="4"/>
        <v>-13.549226147875636</v>
      </c>
      <c r="S20" s="18">
        <f t="shared" si="5"/>
        <v>-0.29362674699515007</v>
      </c>
      <c r="T20" s="17">
        <f t="shared" si="9"/>
        <v>9.745643077210793E-2</v>
      </c>
      <c r="V20" s="17">
        <f t="shared" si="6"/>
        <v>4.8080800000000004</v>
      </c>
      <c r="W20" s="17">
        <f t="shared" si="10"/>
        <v>9.745643077210793E-2</v>
      </c>
      <c r="X20" s="17">
        <f t="shared" si="11"/>
        <v>1.5321407774089644</v>
      </c>
      <c r="Z20" s="21">
        <f t="shared" si="12"/>
        <v>4.8080800000000004</v>
      </c>
      <c r="AA20" s="20">
        <f t="shared" si="13"/>
        <v>0.16823213337088</v>
      </c>
    </row>
    <row r="21" spans="1:27" x14ac:dyDescent="0.25">
      <c r="A21" s="16">
        <v>5101010</v>
      </c>
      <c r="B21" s="16" t="str">
        <f>COMPLEX(0.0549538,0.214614)</f>
        <v>0.0549538+0.214614i</v>
      </c>
      <c r="C21" s="16" t="str">
        <f>COMPLEX(0.89053,-0.355464)</f>
        <v>0.89053-0.355464i</v>
      </c>
      <c r="D21" s="16" t="str">
        <f>COMPLEX(0.89053,-0.355464)</f>
        <v>0.89053-0.355464i</v>
      </c>
      <c r="E21" s="16" t="str">
        <f>COMPLEX(0.0549538,0.214614)</f>
        <v>0.0549538+0.214614i</v>
      </c>
      <c r="G21" s="16" t="str">
        <f t="shared" si="0"/>
        <v>50.6255205718605+22.8514177105937i</v>
      </c>
      <c r="H21" s="16" t="str">
        <f t="shared" si="1"/>
        <v>50.6255205718605+22.8514177105937i</v>
      </c>
      <c r="N21" s="19">
        <f t="shared" si="2"/>
        <v>0.22153800832010742</v>
      </c>
      <c r="O21" s="19">
        <f t="shared" si="3"/>
        <v>0.95885261442830727</v>
      </c>
      <c r="P21" s="19">
        <f t="shared" si="7"/>
        <v>-13.091035060366085</v>
      </c>
      <c r="Q21" s="19">
        <f t="shared" si="8"/>
        <v>-0.3649628651299866</v>
      </c>
      <c r="R21" s="18">
        <f t="shared" si="4"/>
        <v>-13.091035060366085</v>
      </c>
      <c r="S21" s="18">
        <f t="shared" si="5"/>
        <v>-0.3649628651299866</v>
      </c>
      <c r="T21" s="17">
        <f t="shared" si="9"/>
        <v>0.14640684206176807</v>
      </c>
      <c r="V21" s="17">
        <f t="shared" si="6"/>
        <v>5.1010099999999996</v>
      </c>
      <c r="W21" s="17">
        <f t="shared" si="10"/>
        <v>0.14640684206176807</v>
      </c>
      <c r="X21" s="17">
        <f t="shared" si="11"/>
        <v>1.5691684647108757</v>
      </c>
      <c r="Z21" s="21">
        <f t="shared" si="12"/>
        <v>5.1010099999999996</v>
      </c>
      <c r="AA21" s="20">
        <f t="shared" si="13"/>
        <v>0.17411203758392002</v>
      </c>
    </row>
    <row r="22" spans="1:27" x14ac:dyDescent="0.25">
      <c r="A22" s="16">
        <v>5393939</v>
      </c>
      <c r="B22" s="16" t="str">
        <f>COMPLEX(0.0624581,0.223993)</f>
        <v>0.0624581+0.223993i</v>
      </c>
      <c r="C22" s="16" t="str">
        <f>COMPLEX(0.883917,-0.365204)</f>
        <v>0.883917-0.365204i</v>
      </c>
      <c r="D22" s="16" t="str">
        <f>COMPLEX(0.883917,-0.365204)</f>
        <v>0.883917-0.365204i</v>
      </c>
      <c r="E22" s="16" t="str">
        <f>COMPLEX(0.0624581,0.223993)</f>
        <v>0.0624581+0.223993i</v>
      </c>
      <c r="G22" s="16" t="str">
        <f t="shared" si="0"/>
        <v>50.902346489854+24.1071031569915i</v>
      </c>
      <c r="H22" s="16" t="str">
        <f t="shared" si="1"/>
        <v>50.902346489854+24.1071031569915i</v>
      </c>
      <c r="N22" s="19">
        <f t="shared" si="2"/>
        <v>0.2325379072422602</v>
      </c>
      <c r="O22" s="19">
        <f t="shared" si="3"/>
        <v>0.95639072794804947</v>
      </c>
      <c r="P22" s="19">
        <f t="shared" si="7"/>
        <v>-12.670124806946191</v>
      </c>
      <c r="Q22" s="19">
        <f t="shared" si="8"/>
        <v>-0.38729285899889854</v>
      </c>
      <c r="R22" s="18">
        <f t="shared" si="4"/>
        <v>-12.670124806946191</v>
      </c>
      <c r="S22" s="18">
        <f t="shared" si="5"/>
        <v>-0.38729285899889854</v>
      </c>
      <c r="T22" s="17">
        <f t="shared" si="9"/>
        <v>0.14586504550166993</v>
      </c>
      <c r="V22" s="17">
        <f t="shared" si="6"/>
        <v>5.3939389999999996</v>
      </c>
      <c r="W22" s="17">
        <f t="shared" si="10"/>
        <v>0.14586504550166993</v>
      </c>
      <c r="X22" s="17">
        <f t="shared" si="11"/>
        <v>1.6059919035393038</v>
      </c>
      <c r="Z22" s="21">
        <f t="shared" si="12"/>
        <v>5.3939389999999996</v>
      </c>
      <c r="AA22" s="20">
        <f t="shared" si="13"/>
        <v>0.17985462965142318</v>
      </c>
    </row>
    <row r="23" spans="1:27" x14ac:dyDescent="0.25">
      <c r="A23" s="16">
        <v>5686868</v>
      </c>
      <c r="B23" s="16" t="str">
        <f>COMPLEX(0.0688516,0.233347)</f>
        <v>0.0688516+0.233347i</v>
      </c>
      <c r="C23" s="16" t="str">
        <f>COMPLEX(0.86991,-0.376692)</f>
        <v>0.86991-0.376692i</v>
      </c>
      <c r="D23" s="16" t="str">
        <f>COMPLEX(0.86991,-0.376692)</f>
        <v>0.86991-0.376692i</v>
      </c>
      <c r="E23" s="16" t="str">
        <f>COMPLEX(0.0688516,0.233347)</f>
        <v>0.0688516+0.233347i</v>
      </c>
      <c r="G23" s="16" t="str">
        <f t="shared" si="0"/>
        <v>51.048329770574+25.3228428540221i</v>
      </c>
      <c r="H23" s="16" t="str">
        <f t="shared" si="1"/>
        <v>51.048329770574+25.3228428540221i</v>
      </c>
      <c r="N23" s="19">
        <f t="shared" si="2"/>
        <v>0.2432927562250056</v>
      </c>
      <c r="O23" s="19">
        <f t="shared" si="3"/>
        <v>0.94796638704333802</v>
      </c>
      <c r="P23" s="19">
        <f t="shared" si="7"/>
        <v>-12.277416430371799</v>
      </c>
      <c r="Q23" s="19">
        <f t="shared" si="8"/>
        <v>-0.4641412317281679</v>
      </c>
      <c r="R23" s="18">
        <f t="shared" si="4"/>
        <v>-12.277416430371799</v>
      </c>
      <c r="S23" s="18">
        <f t="shared" si="5"/>
        <v>-0.4641412317281679</v>
      </c>
      <c r="T23" s="17">
        <f t="shared" si="9"/>
        <v>0.19915417890293508</v>
      </c>
      <c r="V23" s="17">
        <f t="shared" si="6"/>
        <v>5.6868679999999996</v>
      </c>
      <c r="W23" s="17">
        <f t="shared" si="10"/>
        <v>0.19915417890293508</v>
      </c>
      <c r="X23" s="17">
        <f t="shared" si="11"/>
        <v>1.6430300706817291</v>
      </c>
      <c r="Z23" s="21">
        <f t="shared" si="12"/>
        <v>5.6868679999999996</v>
      </c>
      <c r="AA23" s="20">
        <f t="shared" si="13"/>
        <v>0.18545992988046081</v>
      </c>
    </row>
    <row r="24" spans="1:27" x14ac:dyDescent="0.25">
      <c r="A24" s="16">
        <v>5979797</v>
      </c>
      <c r="B24" s="16" t="str">
        <f>COMPLEX(0.0783822,0.243782)</f>
        <v>0.0783822+0.243782i</v>
      </c>
      <c r="C24" s="16" t="str">
        <f>COMPLEX(0.862772,-0.391273)</f>
        <v>0.862772-0.391273i</v>
      </c>
      <c r="D24" s="16" t="str">
        <f>COMPLEX(0.862772,-0.391273)</f>
        <v>0.862772-0.391273i</v>
      </c>
      <c r="E24" s="16" t="str">
        <f>COMPLEX(0.0783822,0.243782)</f>
        <v>0.0783822+0.243782i</v>
      </c>
      <c r="G24" s="16" t="str">
        <f t="shared" si="0"/>
        <v>51.409401396428+26.8243372591372i</v>
      </c>
      <c r="H24" s="16" t="str">
        <f t="shared" si="1"/>
        <v>51.409401396428+26.8243372591372i</v>
      </c>
      <c r="N24" s="19">
        <f t="shared" si="2"/>
        <v>0.2560731005022589</v>
      </c>
      <c r="O24" s="19">
        <f t="shared" si="3"/>
        <v>0.94734897715308697</v>
      </c>
      <c r="P24" s="19">
        <f t="shared" si="7"/>
        <v>-11.832720802127232</v>
      </c>
      <c r="Q24" s="19">
        <f t="shared" si="8"/>
        <v>-0.46980018902801235</v>
      </c>
      <c r="R24" s="18">
        <f t="shared" si="4"/>
        <v>-11.832720802127232</v>
      </c>
      <c r="S24" s="18">
        <f t="shared" si="5"/>
        <v>-0.46980018902801235</v>
      </c>
      <c r="T24" s="17">
        <f t="shared" si="9"/>
        <v>0.1752519651356105</v>
      </c>
      <c r="V24" s="17">
        <f t="shared" si="6"/>
        <v>5.9797969999999996</v>
      </c>
      <c r="W24" s="17">
        <f t="shared" si="10"/>
        <v>0.1752519651356105</v>
      </c>
      <c r="X24" s="17">
        <f t="shared" si="11"/>
        <v>1.6884361909083958</v>
      </c>
      <c r="Z24" s="21">
        <f t="shared" si="12"/>
        <v>5.9797969999999996</v>
      </c>
      <c r="AA24" s="20">
        <f t="shared" si="13"/>
        <v>0.1909279382710328</v>
      </c>
    </row>
    <row r="25" spans="1:27" x14ac:dyDescent="0.25">
      <c r="A25" s="16">
        <v>6272727</v>
      </c>
      <c r="B25" s="16" t="str">
        <f>COMPLEX(0.0859272,0.251737)</f>
        <v>0.0859272+0.251737i</v>
      </c>
      <c r="C25" s="16" t="str">
        <f>COMPLEX(0.853902,-0.402757)</f>
        <v>0.853902-0.402757i</v>
      </c>
      <c r="D25" s="16" t="str">
        <f>COMPLEX(0.853902,-0.402757)</f>
        <v>0.853902-0.402757i</v>
      </c>
      <c r="E25" s="16" t="str">
        <f>COMPLEX(0.0859272,0.251737)</f>
        <v>0.0859272+0.251737i</v>
      </c>
      <c r="G25" s="16" t="str">
        <f t="shared" si="0"/>
        <v>51.6878617186925+28.0049873986825i</v>
      </c>
      <c r="H25" s="16" t="str">
        <f t="shared" si="1"/>
        <v>51.6878617186925+28.0049873986825i</v>
      </c>
      <c r="N25" s="19">
        <f t="shared" si="2"/>
        <v>0.26599812192727978</v>
      </c>
      <c r="O25" s="19">
        <f t="shared" si="3"/>
        <v>0.94411960399781991</v>
      </c>
      <c r="P25" s="19">
        <f t="shared" si="7"/>
        <v>-11.502428593656735</v>
      </c>
      <c r="Q25" s="19">
        <f t="shared" si="8"/>
        <v>-0.49945968891245274</v>
      </c>
      <c r="R25" s="18">
        <f t="shared" si="4"/>
        <v>-11.502428593656735</v>
      </c>
      <c r="S25" s="18">
        <f t="shared" si="5"/>
        <v>-0.49945968891245274</v>
      </c>
      <c r="T25" s="17">
        <f t="shared" si="9"/>
        <v>0.18076201445572171</v>
      </c>
      <c r="V25" s="17">
        <f t="shared" si="6"/>
        <v>6.2727269999999997</v>
      </c>
      <c r="W25" s="17">
        <f t="shared" si="10"/>
        <v>0.18076201445572171</v>
      </c>
      <c r="X25" s="17">
        <f t="shared" si="11"/>
        <v>1.7247886684587648</v>
      </c>
      <c r="Z25" s="21">
        <f t="shared" si="12"/>
        <v>6.2727269999999997</v>
      </c>
      <c r="AA25" s="20">
        <f t="shared" si="13"/>
        <v>0.19625867278677681</v>
      </c>
    </row>
    <row r="26" spans="1:27" x14ac:dyDescent="0.25">
      <c r="A26" s="16">
        <v>6565656</v>
      </c>
      <c r="B26" s="16" t="str">
        <f>COMPLEX(0.0945491,0.260292)</f>
        <v>0.0945491+0.260292i</v>
      </c>
      <c r="C26" s="16" t="str">
        <f>COMPLEX(0.844227,-0.41259)</f>
        <v>0.844227-0.41259i</v>
      </c>
      <c r="D26" s="16" t="str">
        <f>COMPLEX(0.844227,-0.41259)</f>
        <v>0.844227-0.41259i</v>
      </c>
      <c r="E26" s="16" t="str">
        <f>COMPLEX(0.0945491,0.260292)</f>
        <v>0.0945491+0.260292i</v>
      </c>
      <c r="G26" s="16" t="str">
        <f t="shared" si="0"/>
        <v>52.011917313791+29.3255945534333i</v>
      </c>
      <c r="H26" s="16" t="str">
        <f t="shared" si="1"/>
        <v>52.011917313791+29.3255945534333i</v>
      </c>
      <c r="N26" s="19">
        <f t="shared" si="2"/>
        <v>0.27693222559826802</v>
      </c>
      <c r="O26" s="19">
        <f t="shared" si="3"/>
        <v>0.93965405103633748</v>
      </c>
      <c r="P26" s="19">
        <f t="shared" si="7"/>
        <v>-11.15253008081438</v>
      </c>
      <c r="Q26" s="19">
        <f t="shared" si="8"/>
        <v>-0.54064019140781938</v>
      </c>
      <c r="R26" s="18">
        <f t="shared" si="4"/>
        <v>-11.15253008081438</v>
      </c>
      <c r="S26" s="18">
        <f t="shared" si="5"/>
        <v>-0.54064019140781938</v>
      </c>
      <c r="T26" s="17">
        <f t="shared" si="9"/>
        <v>0.19410872800570034</v>
      </c>
      <c r="V26" s="17">
        <f t="shared" si="6"/>
        <v>6.5656559999999997</v>
      </c>
      <c r="W26" s="17">
        <f t="shared" si="10"/>
        <v>0.19410872800570034</v>
      </c>
      <c r="X26" s="17">
        <f t="shared" si="11"/>
        <v>1.7659924433152963</v>
      </c>
      <c r="Z26" s="21">
        <f t="shared" si="12"/>
        <v>6.5656559999999997</v>
      </c>
      <c r="AA26" s="20">
        <f t="shared" si="13"/>
        <v>0.2014520970317312</v>
      </c>
    </row>
    <row r="27" spans="1:27" x14ac:dyDescent="0.25">
      <c r="A27" s="16">
        <v>6858585</v>
      </c>
      <c r="B27" s="16" t="str">
        <f>COMPLEX(0.103397,0.269133)</f>
        <v>0.103397+0.269133i</v>
      </c>
      <c r="C27" s="16" t="str">
        <f>COMPLEX(0.838634,-0.418461)</f>
        <v>0.838634-0.418461i</v>
      </c>
      <c r="D27" s="16" t="str">
        <f>COMPLEX(0.838634,-0.418461)</f>
        <v>0.838634-0.418461i</v>
      </c>
      <c r="E27" s="16" t="str">
        <f>COMPLEX(0.103397,0.269133)</f>
        <v>0.103397+0.269133i</v>
      </c>
      <c r="G27" s="16" t="str">
        <f t="shared" si="0"/>
        <v>52.313454977908+30.7113929783519i</v>
      </c>
      <c r="H27" s="16" t="str">
        <f t="shared" si="1"/>
        <v>52.313454977908+30.7113929783519i</v>
      </c>
      <c r="N27" s="19">
        <f t="shared" si="2"/>
        <v>0.28831148311851884</v>
      </c>
      <c r="O27" s="19">
        <f t="shared" si="3"/>
        <v>0.93723881400473386</v>
      </c>
      <c r="P27" s="19">
        <f t="shared" si="7"/>
        <v>-10.802761196239167</v>
      </c>
      <c r="Q27" s="19">
        <f t="shared" si="8"/>
        <v>-0.5629946840660075</v>
      </c>
      <c r="R27" s="18">
        <f t="shared" si="4"/>
        <v>-10.802761196239167</v>
      </c>
      <c r="S27" s="18">
        <f t="shared" si="5"/>
        <v>-0.5629946840660075</v>
      </c>
      <c r="T27" s="17">
        <f t="shared" si="9"/>
        <v>0.18610304744103345</v>
      </c>
      <c r="V27" s="17">
        <f t="shared" si="6"/>
        <v>6.8585849999999997</v>
      </c>
      <c r="W27" s="17">
        <f t="shared" si="10"/>
        <v>0.18610304744103345</v>
      </c>
      <c r="X27" s="17">
        <f t="shared" si="11"/>
        <v>1.8102181678632643</v>
      </c>
      <c r="Z27" s="21">
        <f t="shared" si="12"/>
        <v>6.8585849999999997</v>
      </c>
      <c r="AA27" s="20">
        <f t="shared" si="13"/>
        <v>0.20650822943821998</v>
      </c>
    </row>
    <row r="28" spans="1:27" x14ac:dyDescent="0.25">
      <c r="A28" s="16">
        <v>7151515</v>
      </c>
      <c r="B28" s="16" t="str">
        <f>COMPLEX(0.111167,0.277699)</f>
        <v>0.111167+0.277699i</v>
      </c>
      <c r="C28" s="16" t="str">
        <f>COMPLEX(0.825597,-0.436094)</f>
        <v>0.825597-0.436094i</v>
      </c>
      <c r="D28" s="16" t="str">
        <f>COMPLEX(0.825597,-0.436094)</f>
        <v>0.825597-0.436094i</v>
      </c>
      <c r="E28" s="16" t="str">
        <f>COMPLEX(0.111167,0.277699)</f>
        <v>0.111167+0.277699i</v>
      </c>
      <c r="G28" s="16" t="str">
        <f t="shared" si="0"/>
        <v>52.50157328512+32.0246710008568i</v>
      </c>
      <c r="H28" s="16" t="str">
        <f t="shared" si="1"/>
        <v>52.50157328512+32.0246710008568i</v>
      </c>
      <c r="N28" s="19">
        <f t="shared" si="2"/>
        <v>0.29912344690779419</v>
      </c>
      <c r="O28" s="19">
        <f t="shared" si="3"/>
        <v>0.93369608719593555</v>
      </c>
      <c r="P28" s="19">
        <f t="shared" si="7"/>
        <v>-10.482990865848498</v>
      </c>
      <c r="Q28" s="19">
        <f t="shared" si="8"/>
        <v>-0.59588922340825512</v>
      </c>
      <c r="R28" s="18">
        <f t="shared" si="4"/>
        <v>-10.482990865848498</v>
      </c>
      <c r="S28" s="18">
        <f t="shared" si="5"/>
        <v>-0.59588922340825512</v>
      </c>
      <c r="T28" s="17">
        <f t="shared" si="9"/>
        <v>0.18880874912760764</v>
      </c>
      <c r="V28" s="17">
        <f t="shared" si="6"/>
        <v>7.1515149999999998</v>
      </c>
      <c r="W28" s="17">
        <f t="shared" si="10"/>
        <v>0.18880874912760764</v>
      </c>
      <c r="X28" s="17">
        <f t="shared" si="11"/>
        <v>1.8535695639641181</v>
      </c>
      <c r="Z28" s="21">
        <f t="shared" si="12"/>
        <v>7.1515149999999998</v>
      </c>
      <c r="AA28" s="20">
        <f t="shared" si="13"/>
        <v>0.21142708656382</v>
      </c>
    </row>
    <row r="29" spans="1:27" x14ac:dyDescent="0.25">
      <c r="A29" s="16">
        <v>7444444</v>
      </c>
      <c r="B29" s="16" t="str">
        <f>COMPLEX(0.120464,0.285219)</f>
        <v>0.120464+0.285219i</v>
      </c>
      <c r="C29" s="16" t="str">
        <f>COMPLEX(0.8188,-0.444019)</f>
        <v>0.8188-0.444019i</v>
      </c>
      <c r="D29" s="16" t="str">
        <f>COMPLEX(0.8188,-0.444019)</f>
        <v>0.8188-0.444019i</v>
      </c>
      <c r="E29" s="16" t="str">
        <f>COMPLEX(0.120464,0.285219)</f>
        <v>0.120464+0.285219i</v>
      </c>
      <c r="G29" s="16" t="str">
        <f t="shared" si="0"/>
        <v>52.877714826724+33.3615439790564i</v>
      </c>
      <c r="H29" s="16" t="str">
        <f t="shared" si="1"/>
        <v>52.877714826724+33.3615439790564i</v>
      </c>
      <c r="N29" s="19">
        <f t="shared" si="2"/>
        <v>0.30961500812622117</v>
      </c>
      <c r="O29" s="19">
        <f t="shared" si="3"/>
        <v>0.93144313426048719</v>
      </c>
      <c r="P29" s="19">
        <f t="shared" si="7"/>
        <v>-10.183559914019003</v>
      </c>
      <c r="Q29" s="19">
        <f t="shared" si="8"/>
        <v>-0.61687308332555901</v>
      </c>
      <c r="R29" s="18">
        <f t="shared" si="4"/>
        <v>-10.183559914019003</v>
      </c>
      <c r="S29" s="18">
        <f t="shared" si="5"/>
        <v>-0.61687308332555901</v>
      </c>
      <c r="T29" s="17">
        <f t="shared" si="9"/>
        <v>0.17922293537584949</v>
      </c>
      <c r="V29" s="17">
        <f t="shared" si="6"/>
        <v>7.4444439999999998</v>
      </c>
      <c r="W29" s="17">
        <f t="shared" si="10"/>
        <v>0.17922293537584949</v>
      </c>
      <c r="X29" s="17">
        <f t="shared" si="11"/>
        <v>1.8969343533551994</v>
      </c>
      <c r="Z29" s="21">
        <f t="shared" si="12"/>
        <v>7.4444439999999998</v>
      </c>
      <c r="AA29" s="20">
        <f t="shared" si="13"/>
        <v>0.21620863482469121</v>
      </c>
    </row>
    <row r="30" spans="1:27" x14ac:dyDescent="0.25">
      <c r="A30" s="16">
        <v>7737373</v>
      </c>
      <c r="B30" s="16" t="str">
        <f>COMPLEX(0.129533,0.292996)</f>
        <v>0.129533+0.292996i</v>
      </c>
      <c r="C30" s="16" t="str">
        <f>COMPLEX(0.811396,-0.447563)</f>
        <v>0.811396-0.447563i</v>
      </c>
      <c r="D30" s="16" t="str">
        <f>COMPLEX(0.811396,-0.447563)</f>
        <v>0.811396-0.447563i</v>
      </c>
      <c r="E30" s="16" t="str">
        <f>COMPLEX(0.129533,0.292996)</f>
        <v>0.129533+0.292996i</v>
      </c>
      <c r="G30" s="16" t="str">
        <f t="shared" si="0"/>
        <v>53.1897628275115+34.7332957474661i</v>
      </c>
      <c r="H30" s="16" t="str">
        <f t="shared" si="1"/>
        <v>53.1897628275115+34.7332957474661i</v>
      </c>
      <c r="N30" s="19">
        <f t="shared" si="2"/>
        <v>0.32035207835286472</v>
      </c>
      <c r="O30" s="19">
        <f t="shared" si="3"/>
        <v>0.92664777978744439</v>
      </c>
      <c r="P30" s="19">
        <f t="shared" si="7"/>
        <v>-9.8874490816863574</v>
      </c>
      <c r="Q30" s="19">
        <f t="shared" si="8"/>
        <v>-0.66170620950691328</v>
      </c>
      <c r="R30" s="18">
        <f t="shared" si="4"/>
        <v>-9.8874490816863574</v>
      </c>
      <c r="S30" s="18">
        <f t="shared" si="5"/>
        <v>-0.66170620950691328</v>
      </c>
      <c r="T30" s="17">
        <f t="shared" si="9"/>
        <v>0.19144367522692396</v>
      </c>
      <c r="V30" s="17">
        <f t="shared" si="6"/>
        <v>7.7373729999999998</v>
      </c>
      <c r="W30" s="17">
        <f t="shared" si="10"/>
        <v>0.19144367522692396</v>
      </c>
      <c r="X30" s="17">
        <f t="shared" si="11"/>
        <v>1.9427000897067044</v>
      </c>
      <c r="Z30" s="21">
        <f t="shared" si="12"/>
        <v>7.7373729999999998</v>
      </c>
      <c r="AA30" s="20">
        <f t="shared" si="13"/>
        <v>0.22085289124709681</v>
      </c>
    </row>
    <row r="31" spans="1:27" x14ac:dyDescent="0.25">
      <c r="A31" s="16">
        <v>8030303</v>
      </c>
      <c r="B31" s="16" t="str">
        <f>COMPLEX(0.139002,0.300401)</f>
        <v>0.139002+0.300401i</v>
      </c>
      <c r="C31" s="16" t="str">
        <f>COMPLEX(0.797246,-0.449722)</f>
        <v>0.797246-0.449722i</v>
      </c>
      <c r="D31" s="16" t="str">
        <f>COMPLEX(0.797246,-0.449722)</f>
        <v>0.797246-0.449722i</v>
      </c>
      <c r="E31" s="16" t="str">
        <f>COMPLEX(0.139002,0.300401)</f>
        <v>0.139002+0.300401i</v>
      </c>
      <c r="G31" s="16" t="str">
        <f t="shared" si="0"/>
        <v>53.540302898793+36.1250671094477i</v>
      </c>
      <c r="H31" s="16" t="str">
        <f t="shared" si="1"/>
        <v>53.540302898793+36.1250671094477i</v>
      </c>
      <c r="N31" s="19">
        <f t="shared" si="2"/>
        <v>0.33100198912544315</v>
      </c>
      <c r="O31" s="19">
        <f t="shared" si="3"/>
        <v>0.9153420463411478</v>
      </c>
      <c r="P31" s="19">
        <f t="shared" si="7"/>
        <v>-9.603387927288761</v>
      </c>
      <c r="Q31" s="19">
        <f t="shared" si="8"/>
        <v>-0.76833175626479744</v>
      </c>
      <c r="R31" s="18">
        <f t="shared" si="4"/>
        <v>-9.603387927288761</v>
      </c>
      <c r="S31" s="18">
        <f t="shared" si="5"/>
        <v>-0.76833175626479744</v>
      </c>
      <c r="T31" s="17">
        <f t="shared" si="9"/>
        <v>0.26436706622211986</v>
      </c>
      <c r="V31" s="17">
        <f t="shared" si="6"/>
        <v>8.030303</v>
      </c>
      <c r="W31" s="17">
        <f t="shared" si="10"/>
        <v>0.26436706622211986</v>
      </c>
      <c r="X31" s="17">
        <f t="shared" si="11"/>
        <v>1.9895455105845123</v>
      </c>
      <c r="Z31" s="21">
        <f t="shared" si="12"/>
        <v>8.030303</v>
      </c>
      <c r="AA31" s="20">
        <f t="shared" si="13"/>
        <v>0.22535987098255281</v>
      </c>
    </row>
    <row r="32" spans="1:27" x14ac:dyDescent="0.25">
      <c r="A32" s="16">
        <v>8323232</v>
      </c>
      <c r="B32" s="16" t="str">
        <f>COMPLEX(0.146081,0.308369)</f>
        <v>0.146081+0.308369i</v>
      </c>
      <c r="C32" s="16" t="str">
        <f>COMPLEX(0.789975,-0.464027)</f>
        <v>0.789975-0.464027i</v>
      </c>
      <c r="D32" s="16" t="str">
        <f>COMPLEX(0.789975,-0.464027)</f>
        <v>0.789975-0.464027i</v>
      </c>
      <c r="E32" s="16" t="str">
        <f>COMPLEX(0.146081,0.308369)</f>
        <v>0.146081+0.308369i</v>
      </c>
      <c r="G32" s="16" t="str">
        <f t="shared" si="0"/>
        <v>53.5971142584345+37.4112047240537i</v>
      </c>
      <c r="H32" s="16" t="str">
        <f t="shared" si="1"/>
        <v>53.5971142584345+37.4112047240537i</v>
      </c>
      <c r="N32" s="19">
        <f t="shared" si="2"/>
        <v>0.34122001512513889</v>
      </c>
      <c r="O32" s="19">
        <f t="shared" si="3"/>
        <v>0.91617768874492911</v>
      </c>
      <c r="P32" s="19">
        <f t="shared" si="7"/>
        <v>-9.339310042267412</v>
      </c>
      <c r="Q32" s="19">
        <f t="shared" si="8"/>
        <v>-0.7604057721099573</v>
      </c>
      <c r="R32" s="18">
        <f t="shared" si="4"/>
        <v>-9.339310042267412</v>
      </c>
      <c r="S32" s="18">
        <f t="shared" si="5"/>
        <v>-0.7604057721099573</v>
      </c>
      <c r="T32" s="17">
        <f t="shared" si="9"/>
        <v>0.22280998940678798</v>
      </c>
      <c r="V32" s="17">
        <f t="shared" si="6"/>
        <v>8.3232320000000009</v>
      </c>
      <c r="W32" s="17">
        <f t="shared" si="10"/>
        <v>0.22280998940678798</v>
      </c>
      <c r="X32" s="17">
        <f t="shared" si="11"/>
        <v>2.0359149426494962</v>
      </c>
      <c r="Z32" s="21">
        <f t="shared" si="12"/>
        <v>8.3232320000000009</v>
      </c>
      <c r="AA32" s="20">
        <f t="shared" si="13"/>
        <v>0.22972954325934083</v>
      </c>
    </row>
    <row r="33" spans="1:27" x14ac:dyDescent="0.25">
      <c r="A33" s="16">
        <v>8616161</v>
      </c>
      <c r="B33" s="16" t="str">
        <f>COMPLEX(0.155184,0.314637)</f>
        <v>0.155184+0.314637i</v>
      </c>
      <c r="C33" s="16" t="str">
        <f>COMPLEX(0.781972,-0.466891)</f>
        <v>0.781972-0.466891i</v>
      </c>
      <c r="D33" s="16" t="str">
        <f>COMPLEX(0.781972,-0.466891)</f>
        <v>0.781972-0.466891i</v>
      </c>
      <c r="E33" s="16" t="str">
        <f>COMPLEX(0.155184,0.314637)</f>
        <v>0.155184+0.314637i</v>
      </c>
      <c r="G33" s="16" t="str">
        <f t="shared" si="0"/>
        <v>53.950420691962+38.7145230621305i</v>
      </c>
      <c r="H33" s="16" t="str">
        <f t="shared" si="1"/>
        <v>53.950420691962+38.7145230621305i</v>
      </c>
      <c r="N33" s="19">
        <f t="shared" si="2"/>
        <v>0.3508254774456952</v>
      </c>
      <c r="O33" s="19">
        <f t="shared" si="3"/>
        <v>0.91075101683445836</v>
      </c>
      <c r="P33" s="19">
        <f t="shared" si="7"/>
        <v>-9.098177501541775</v>
      </c>
      <c r="Q33" s="19">
        <f t="shared" si="8"/>
        <v>-0.81200670410143472</v>
      </c>
      <c r="R33" s="18">
        <f t="shared" si="4"/>
        <v>-9.098177501541775</v>
      </c>
      <c r="S33" s="18">
        <f t="shared" si="5"/>
        <v>-0.81200670410143472</v>
      </c>
      <c r="T33" s="17">
        <f t="shared" si="9"/>
        <v>0.24161380732664381</v>
      </c>
      <c r="V33" s="17">
        <f t="shared" si="6"/>
        <v>8.616161</v>
      </c>
      <c r="W33" s="17">
        <f t="shared" si="10"/>
        <v>0.24161380732664381</v>
      </c>
      <c r="X33" s="17">
        <f t="shared" si="11"/>
        <v>2.080835631273092</v>
      </c>
      <c r="Z33" s="21">
        <f t="shared" si="12"/>
        <v>8.616161</v>
      </c>
      <c r="AA33" s="20">
        <f t="shared" si="13"/>
        <v>0.23396192369766319</v>
      </c>
    </row>
    <row r="34" spans="1:27" x14ac:dyDescent="0.25">
      <c r="A34" s="16">
        <v>8909090</v>
      </c>
      <c r="B34" s="16" t="str">
        <f>COMPLEX(0.165816,0.320927)</f>
        <v>0.165816+0.320927i</v>
      </c>
      <c r="C34" s="16" t="str">
        <f>COMPLEX(0.77144,-0.468163)</f>
        <v>0.77144-0.468163i</v>
      </c>
      <c r="D34" s="16" t="str">
        <f>COMPLEX(0.77144,-0.468163)</f>
        <v>0.77144-0.468163i</v>
      </c>
      <c r="E34" s="16" t="str">
        <f>COMPLEX(0.165816,0.320927)</f>
        <v>0.165816+0.320927i</v>
      </c>
      <c r="G34" s="16" t="str">
        <f t="shared" si="0"/>
        <v>54.422182073633+40.1732682793543i</v>
      </c>
      <c r="H34" s="16" t="str">
        <f t="shared" si="1"/>
        <v>54.422182073633+40.1732682793543i</v>
      </c>
      <c r="N34" s="19">
        <f t="shared" si="2"/>
        <v>0.3612327299470523</v>
      </c>
      <c r="O34" s="19">
        <f t="shared" si="3"/>
        <v>0.90238365907689178</v>
      </c>
      <c r="P34" s="19">
        <f t="shared" si="7"/>
        <v>-8.8442581355305521</v>
      </c>
      <c r="Q34" s="19">
        <f t="shared" si="8"/>
        <v>-0.89217555526853942</v>
      </c>
      <c r="R34" s="18">
        <f t="shared" si="4"/>
        <v>-8.8442581355305521</v>
      </c>
      <c r="S34" s="18">
        <f t="shared" si="5"/>
        <v>-0.89217555526853942</v>
      </c>
      <c r="T34" s="17">
        <f t="shared" si="9"/>
        <v>0.2849259352075903</v>
      </c>
      <c r="V34" s="17">
        <f t="shared" si="6"/>
        <v>8.9090900000000008</v>
      </c>
      <c r="W34" s="17">
        <f t="shared" si="10"/>
        <v>0.2849259352075903</v>
      </c>
      <c r="X34" s="17">
        <f t="shared" si="11"/>
        <v>2.1310308053733236</v>
      </c>
      <c r="Z34" s="21">
        <f t="shared" si="12"/>
        <v>8.9090900000000008</v>
      </c>
      <c r="AA34" s="20">
        <f t="shared" si="13"/>
        <v>0.23805701229752005</v>
      </c>
    </row>
    <row r="35" spans="1:27" x14ac:dyDescent="0.25">
      <c r="A35" s="16">
        <v>9202020</v>
      </c>
      <c r="B35" s="16" t="str">
        <f>COMPLEX(0.175527,0.327001)</f>
        <v>0.175527+0.327001i</v>
      </c>
      <c r="C35" s="16" t="str">
        <f>COMPLEX(0.770571,-0.472088)</f>
        <v>0.770571-0.472088i</v>
      </c>
      <c r="D35" s="16" t="str">
        <f>COMPLEX(0.770571,-0.472088)</f>
        <v>0.770571-0.472088i</v>
      </c>
      <c r="E35" s="16" t="str">
        <f>COMPLEX(0.175527,0.327001)</f>
        <v>0.175527+0.327001i</v>
      </c>
      <c r="G35" s="16" t="str">
        <f t="shared" si="0"/>
        <v>54.8033965226225+41.5669348375194i</v>
      </c>
      <c r="H35" s="16" t="str">
        <f t="shared" si="1"/>
        <v>54.8033965226225+41.5669348375194i</v>
      </c>
      <c r="N35" s="19">
        <f t="shared" si="2"/>
        <v>0.37113256624823426</v>
      </c>
      <c r="O35" s="19">
        <f t="shared" si="3"/>
        <v>0.90368509215600101</v>
      </c>
      <c r="P35" s="19">
        <f t="shared" si="7"/>
        <v>-8.6094187076155944</v>
      </c>
      <c r="Q35" s="19">
        <f t="shared" si="8"/>
        <v>-0.87965764193295926</v>
      </c>
      <c r="R35" s="18">
        <f t="shared" si="4"/>
        <v>-8.6094187076155944</v>
      </c>
      <c r="S35" s="18">
        <f t="shared" si="5"/>
        <v>-0.87965764193295926</v>
      </c>
      <c r="T35" s="17">
        <f t="shared" si="9"/>
        <v>0.23604315365718689</v>
      </c>
      <c r="V35" s="17">
        <f t="shared" si="6"/>
        <v>9.2020199999999992</v>
      </c>
      <c r="W35" s="17">
        <f t="shared" si="10"/>
        <v>0.23604315365718689</v>
      </c>
      <c r="X35" s="17">
        <f t="shared" si="11"/>
        <v>2.1803205137658068</v>
      </c>
      <c r="Z35" s="21">
        <f t="shared" si="12"/>
        <v>9.2020199999999992</v>
      </c>
      <c r="AA35" s="20">
        <f t="shared" si="13"/>
        <v>0.24201482233568</v>
      </c>
    </row>
    <row r="36" spans="1:27" x14ac:dyDescent="0.25">
      <c r="A36" s="16">
        <v>9494949</v>
      </c>
      <c r="B36" s="16" t="str">
        <f>COMPLEX(0.18402,0.333561)</f>
        <v>0.18402+0.333561i</v>
      </c>
      <c r="C36" s="16" t="str">
        <f>COMPLEX(0.767411,-0.483756)</f>
        <v>0.767411-0.483756i</v>
      </c>
      <c r="D36" s="16" t="str">
        <f>COMPLEX(0.767411,-0.483756)</f>
        <v>0.767411-0.483756i</v>
      </c>
      <c r="E36" s="16" t="str">
        <f>COMPLEX(0.18402,0.333561)</f>
        <v>0.18402+0.333561i</v>
      </c>
      <c r="G36" s="16" t="str">
        <f t="shared" si="0"/>
        <v>55.005068140166+42.9245760115466i</v>
      </c>
      <c r="H36" s="16" t="str">
        <f t="shared" si="1"/>
        <v>55.005068140166+42.9245760115466i</v>
      </c>
      <c r="N36" s="19">
        <f t="shared" si="2"/>
        <v>0.38095446069182604</v>
      </c>
      <c r="O36" s="19">
        <f t="shared" si="3"/>
        <v>0.90716013495799086</v>
      </c>
      <c r="P36" s="19">
        <f t="shared" si="7"/>
        <v>-8.3825387359523003</v>
      </c>
      <c r="Q36" s="19">
        <f t="shared" si="8"/>
        <v>-0.84632086100248138</v>
      </c>
      <c r="R36" s="18">
        <f t="shared" si="4"/>
        <v>-8.3825387359523003</v>
      </c>
      <c r="S36" s="18">
        <f t="shared" si="5"/>
        <v>-0.84632086100248138</v>
      </c>
      <c r="T36" s="17">
        <f t="shared" si="9"/>
        <v>0.16534041843994954</v>
      </c>
      <c r="V36" s="17">
        <f t="shared" si="6"/>
        <v>9.4949490000000001</v>
      </c>
      <c r="W36" s="17">
        <f t="shared" si="10"/>
        <v>0.16534041843994954</v>
      </c>
      <c r="X36" s="17">
        <f t="shared" si="11"/>
        <v>2.2307800848304922</v>
      </c>
      <c r="Z36" s="21">
        <f t="shared" si="12"/>
        <v>9.4949490000000001</v>
      </c>
      <c r="AA36" s="20">
        <f t="shared" si="13"/>
        <v>0.24583532678991923</v>
      </c>
    </row>
    <row r="37" spans="1:27" x14ac:dyDescent="0.25">
      <c r="A37" s="16">
        <v>9787878</v>
      </c>
      <c r="B37" s="16" t="str">
        <f>COMPLEX(0.192949,0.338687)</f>
        <v>0.192949+0.338687i</v>
      </c>
      <c r="C37" s="16" t="str">
        <f>COMPLEX(0.754461,-0.490087)</f>
        <v>0.754461-0.490087i</v>
      </c>
      <c r="D37" s="16" t="str">
        <f>COMPLEX(0.754461,-0.490087)</f>
        <v>0.754461-0.490087i</v>
      </c>
      <c r="E37" s="16" t="str">
        <f>COMPLEX(0.192949,0.338687)</f>
        <v>0.192949+0.338687i</v>
      </c>
      <c r="G37" s="16" t="str">
        <f t="shared" si="0"/>
        <v>55.3536093013765+44.2126927213464i</v>
      </c>
      <c r="H37" s="16" t="str">
        <f t="shared" si="1"/>
        <v>55.3536093013765+44.2126927213464i</v>
      </c>
      <c r="N37" s="19">
        <f t="shared" si="2"/>
        <v>0.38979250963814072</v>
      </c>
      <c r="O37" s="19">
        <f t="shared" si="3"/>
        <v>0.89966475316642258</v>
      </c>
      <c r="P37" s="19">
        <f t="shared" si="7"/>
        <v>-8.1833302132483094</v>
      </c>
      <c r="Q37" s="19">
        <f t="shared" si="8"/>
        <v>-0.91838587729361365</v>
      </c>
      <c r="R37" s="18">
        <f t="shared" si="4"/>
        <v>-8.1833302132483094</v>
      </c>
      <c r="S37" s="18">
        <f t="shared" si="5"/>
        <v>-0.91838587729361365</v>
      </c>
      <c r="T37" s="17">
        <f t="shared" si="9"/>
        <v>0.2026608877558819</v>
      </c>
      <c r="V37" s="17">
        <f t="shared" si="6"/>
        <v>9.7878779999999992</v>
      </c>
      <c r="W37" s="17">
        <f t="shared" si="10"/>
        <v>0.2026608877558819</v>
      </c>
      <c r="X37" s="17">
        <f t="shared" si="11"/>
        <v>2.2775736640236577</v>
      </c>
      <c r="Z37" s="21">
        <f t="shared" si="12"/>
        <v>9.7878779999999992</v>
      </c>
      <c r="AA37" s="20">
        <f t="shared" si="13"/>
        <v>0.24951853940569282</v>
      </c>
    </row>
    <row r="38" spans="1:27" x14ac:dyDescent="0.25">
      <c r="A38" s="16">
        <v>10080808</v>
      </c>
      <c r="B38" s="16" t="str">
        <f>COMPLEX(0.201513,0.343223)</f>
        <v>0.201513+0.343223i</v>
      </c>
      <c r="C38" s="16" t="str">
        <f>COMPLEX(0.751051,-0.491471)</f>
        <v>0.751051-0.491471i</v>
      </c>
      <c r="D38" s="16" t="str">
        <f>COMPLEX(0.751051,-0.491471)</f>
        <v>0.751051-0.491471i</v>
      </c>
      <c r="E38" s="16" t="str">
        <f>COMPLEX(0.201513,0.343223)</f>
        <v>0.201513+0.343223i</v>
      </c>
      <c r="G38" s="16" t="str">
        <f t="shared" si="0"/>
        <v>55.706172048737+45.4369194352364i</v>
      </c>
      <c r="H38" s="16" t="str">
        <f t="shared" si="1"/>
        <v>55.706172048737+45.4369194352364i</v>
      </c>
      <c r="N38" s="19">
        <f t="shared" si="2"/>
        <v>0.39800693071603666</v>
      </c>
      <c r="O38" s="19">
        <f t="shared" si="3"/>
        <v>0.89756411940429082</v>
      </c>
      <c r="P38" s="19">
        <f t="shared" si="7"/>
        <v>-8.0021873049823711</v>
      </c>
      <c r="Q38" s="19">
        <f t="shared" si="8"/>
        <v>-0.93869033780515543</v>
      </c>
      <c r="R38" s="18">
        <f t="shared" si="4"/>
        <v>-8.0021873049823711</v>
      </c>
      <c r="S38" s="18">
        <f t="shared" si="5"/>
        <v>-0.93869033780515543</v>
      </c>
      <c r="T38" s="17">
        <f t="shared" si="9"/>
        <v>0.1896984951644437</v>
      </c>
      <c r="V38" s="17">
        <f t="shared" si="6"/>
        <v>10.080807999999999</v>
      </c>
      <c r="W38" s="17">
        <f t="shared" si="10"/>
        <v>0.1896984951644437</v>
      </c>
      <c r="X38" s="17">
        <f t="shared" si="11"/>
        <v>2.3222973852155588</v>
      </c>
      <c r="Z38" s="21">
        <f t="shared" si="12"/>
        <v>10.080807999999999</v>
      </c>
      <c r="AA38" s="20">
        <f t="shared" si="13"/>
        <v>0.25306447205370874</v>
      </c>
    </row>
    <row r="39" spans="1:27" x14ac:dyDescent="0.25">
      <c r="A39" s="16">
        <v>10373737</v>
      </c>
      <c r="B39" s="16" t="str">
        <f>COMPLEX(0.210797,0.348383)</f>
        <v>0.210797+0.348383i</v>
      </c>
      <c r="C39" s="16" t="str">
        <f>COMPLEX(0.738687,-0.491752)</f>
        <v>0.738687-0.491752i</v>
      </c>
      <c r="D39" s="16" t="str">
        <f>COMPLEX(0.738687,-0.491752)</f>
        <v>0.738687-0.491752i</v>
      </c>
      <c r="E39" s="16" t="str">
        <f>COMPLEX(0.210797,0.348383)</f>
        <v>0.210797+0.348383i</v>
      </c>
      <c r="G39" s="16" t="str">
        <f t="shared" ref="G39:G70" si="14">IMPRODUCT($B$4,(IMDIV(IMSUM($E$4,$B39),IMSUB($E$4,$B39))))</f>
        <v>56.045441979875+46.8123273901327i</v>
      </c>
      <c r="H39" s="16" t="str">
        <f t="shared" ref="H39:H70" si="15">IMPRODUCT($B$4,(IMDIV(IMSUM($E$4,$E39),IMSUB($E$4,$E39))))</f>
        <v>56.045441979875+46.8123273901327i</v>
      </c>
      <c r="N39" s="19">
        <f t="shared" ref="N39:N70" si="16">IMABS(B39)</f>
        <v>0.40719293940096757</v>
      </c>
      <c r="O39" s="19">
        <f t="shared" ref="O39:O70" si="17">IMABS(C39)</f>
        <v>0.88739986109588731</v>
      </c>
      <c r="P39" s="19">
        <f t="shared" si="7"/>
        <v>-7.8039952227473472</v>
      </c>
      <c r="Q39" s="19">
        <f t="shared" si="8"/>
        <v>-1.0376128719857258</v>
      </c>
      <c r="R39" s="18">
        <f t="shared" ref="R39:R70" si="18">20*LOG(N39)</f>
        <v>-7.8039952227473472</v>
      </c>
      <c r="S39" s="18">
        <f t="shared" ref="S39:S70" si="19">20*LOG(O39)</f>
        <v>-1.0376128719857258</v>
      </c>
      <c r="T39" s="17">
        <f t="shared" si="9"/>
        <v>0.25028302223188809</v>
      </c>
      <c r="V39" s="17">
        <f t="shared" ref="V39:V70" si="20">A39/1000000</f>
        <v>10.373737</v>
      </c>
      <c r="W39" s="17">
        <f t="shared" si="10"/>
        <v>0.25028302223188809</v>
      </c>
      <c r="X39" s="17">
        <f t="shared" si="11"/>
        <v>2.3737789795873834</v>
      </c>
      <c r="Z39" s="21">
        <f t="shared" si="12"/>
        <v>10.373737</v>
      </c>
      <c r="AA39" s="20">
        <f t="shared" si="13"/>
        <v>0.25647310052386479</v>
      </c>
    </row>
    <row r="40" spans="1:27" x14ac:dyDescent="0.25">
      <c r="A40" s="16">
        <v>10666666</v>
      </c>
      <c r="B40" s="16" t="str">
        <f>COMPLEX(0.217225,0.350342)</f>
        <v>0.217225+0.350342i</v>
      </c>
      <c r="C40" s="16" t="str">
        <f>COMPLEX(0.726751,-0.486247)</f>
        <v>0.726751-0.486247i</v>
      </c>
      <c r="D40" s="16" t="str">
        <f>COMPLEX(0.726751,-0.486247)</f>
        <v>0.726751-0.486247i</v>
      </c>
      <c r="E40" s="16" t="str">
        <f>COMPLEX(0.217225,0.350342)</f>
        <v>0.217225+0.350342i</v>
      </c>
      <c r="G40" s="16" t="str">
        <f t="shared" si="14"/>
        <v>56.431041722335+47.6347149807879i</v>
      </c>
      <c r="H40" s="16" t="str">
        <f t="shared" si="15"/>
        <v>56.431041722335+47.6347149807879i</v>
      </c>
      <c r="N40" s="19">
        <f t="shared" si="16"/>
        <v>0.41222107853553536</v>
      </c>
      <c r="O40" s="19">
        <f t="shared" si="17"/>
        <v>0.87441589704785216</v>
      </c>
      <c r="P40" s="19">
        <f t="shared" si="7"/>
        <v>-7.6973960950168765</v>
      </c>
      <c r="Q40" s="19">
        <f t="shared" si="8"/>
        <v>-1.1656391086006876</v>
      </c>
      <c r="R40" s="18">
        <f t="shared" si="18"/>
        <v>-7.6973960950168765</v>
      </c>
      <c r="S40" s="18">
        <f t="shared" si="19"/>
        <v>-1.1656391086006876</v>
      </c>
      <c r="T40" s="17">
        <f t="shared" si="9"/>
        <v>0.35680607898561212</v>
      </c>
      <c r="V40" s="17">
        <f t="shared" si="20"/>
        <v>10.666665999999999</v>
      </c>
      <c r="W40" s="17">
        <f t="shared" si="10"/>
        <v>0.35680607898561212</v>
      </c>
      <c r="X40" s="17">
        <f t="shared" si="11"/>
        <v>2.402639882044348</v>
      </c>
      <c r="Z40" s="21">
        <f t="shared" si="12"/>
        <v>10.666665999999999</v>
      </c>
      <c r="AA40" s="20">
        <f t="shared" si="13"/>
        <v>0.25974443715555517</v>
      </c>
    </row>
    <row r="41" spans="1:27" x14ac:dyDescent="0.25">
      <c r="A41" s="16">
        <v>10959595</v>
      </c>
      <c r="B41" s="16" t="str">
        <f>COMPLEX(0.231193,0.359605)</f>
        <v>0.231193+0.359605i</v>
      </c>
      <c r="C41" s="16" t="str">
        <f>COMPLEX(0.724022,-0.501667)</f>
        <v>0.724022-0.501667i</v>
      </c>
      <c r="D41" s="16" t="str">
        <f>COMPLEX(0.724022,-0.501667)</f>
        <v>0.724022-0.501667i</v>
      </c>
      <c r="E41" s="16" t="str">
        <f>COMPLEX(0.231193,0.359605)</f>
        <v>0.231193+0.359605i</v>
      </c>
      <c r="G41" s="16" t="str">
        <f t="shared" si="14"/>
        <v>56.722430309528+49.918795681436i</v>
      </c>
      <c r="H41" s="16" t="str">
        <f t="shared" si="15"/>
        <v>56.722430309528+49.918795681436i</v>
      </c>
      <c r="N41" s="19">
        <f t="shared" si="16"/>
        <v>0.42751135572520177</v>
      </c>
      <c r="O41" s="19">
        <f t="shared" si="17"/>
        <v>0.88083916543997975</v>
      </c>
      <c r="P41" s="19">
        <f t="shared" si="7"/>
        <v>-7.3810468976264261</v>
      </c>
      <c r="Q41" s="19">
        <f t="shared" si="8"/>
        <v>-1.1020676646427765</v>
      </c>
      <c r="R41" s="18">
        <f t="shared" si="18"/>
        <v>-7.3810468976264261</v>
      </c>
      <c r="S41" s="18">
        <f t="shared" si="19"/>
        <v>-1.1020676646427765</v>
      </c>
      <c r="T41" s="17">
        <f t="shared" si="9"/>
        <v>0.22553214722730341</v>
      </c>
      <c r="V41" s="17">
        <f t="shared" si="20"/>
        <v>10.959595</v>
      </c>
      <c r="W41" s="17">
        <f t="shared" si="10"/>
        <v>0.22553214722730341</v>
      </c>
      <c r="X41" s="17">
        <f t="shared" si="11"/>
        <v>2.4935190767556725</v>
      </c>
      <c r="Z41" s="21">
        <f t="shared" si="12"/>
        <v>10.959595</v>
      </c>
      <c r="AA41" s="20">
        <f t="shared" si="13"/>
        <v>0.26287848194878</v>
      </c>
    </row>
    <row r="42" spans="1:27" x14ac:dyDescent="0.25">
      <c r="A42" s="16">
        <v>11252525</v>
      </c>
      <c r="B42" s="16" t="str">
        <f>COMPLEX(0.240133,0.364225)</f>
        <v>0.240133+0.364225i</v>
      </c>
      <c r="C42" s="16" t="str">
        <f>COMPLEX(0.714507,-0.502949)</f>
        <v>0.714507-0.502949i</v>
      </c>
      <c r="D42" s="16" t="str">
        <f>COMPLEX(0.714507,-0.502949)</f>
        <v>0.714507-0.502949i</v>
      </c>
      <c r="E42" s="16" t="str">
        <f>COMPLEX(0.240133,0.364225)</f>
        <v>0.240133+0.364225i</v>
      </c>
      <c r="G42" s="16" t="str">
        <f t="shared" si="14"/>
        <v>57.0148230351965+51.2951265418745i</v>
      </c>
      <c r="H42" s="16" t="str">
        <f t="shared" si="15"/>
        <v>57.0148230351965+51.2951265418745i</v>
      </c>
      <c r="N42" s="19">
        <f t="shared" si="16"/>
        <v>0.43626105523413389</v>
      </c>
      <c r="O42" s="19">
        <f t="shared" si="17"/>
        <v>0.87377225273523074</v>
      </c>
      <c r="P42" s="19">
        <f t="shared" si="7"/>
        <v>-7.205071089877217</v>
      </c>
      <c r="Q42" s="19">
        <f t="shared" si="8"/>
        <v>-1.1720350148066689</v>
      </c>
      <c r="R42" s="18">
        <f t="shared" si="18"/>
        <v>-7.205071089877217</v>
      </c>
      <c r="S42" s="18">
        <f t="shared" si="19"/>
        <v>-1.1720350148066689</v>
      </c>
      <c r="T42" s="17">
        <f t="shared" si="9"/>
        <v>0.25514924268406503</v>
      </c>
      <c r="V42" s="17">
        <f t="shared" si="20"/>
        <v>11.252525</v>
      </c>
      <c r="W42" s="17">
        <f t="shared" si="10"/>
        <v>0.25514924268406503</v>
      </c>
      <c r="X42" s="17">
        <f t="shared" si="11"/>
        <v>2.5477414121719879</v>
      </c>
      <c r="Z42" s="21">
        <f t="shared" si="12"/>
        <v>11.252525</v>
      </c>
      <c r="AA42" s="20">
        <f t="shared" si="13"/>
        <v>0.26587524489949999</v>
      </c>
    </row>
    <row r="43" spans="1:27" x14ac:dyDescent="0.25">
      <c r="A43" s="16">
        <v>11545454</v>
      </c>
      <c r="B43" s="16" t="str">
        <f>COMPLEX(0.250161,0.367385)</f>
        <v>0.250161+0.367385i</v>
      </c>
      <c r="C43" s="16" t="str">
        <f>COMPLEX(0.705041,-0.49845)</f>
        <v>0.705041-0.49845i</v>
      </c>
      <c r="D43" s="16" t="str">
        <f>COMPLEX(0.705041,-0.49845)</f>
        <v>0.705041-0.49845i</v>
      </c>
      <c r="E43" s="16" t="str">
        <f>COMPLEX(0.250161,0.367385)</f>
        <v>0.250161+0.367385i</v>
      </c>
      <c r="G43" s="16" t="str">
        <f t="shared" si="14"/>
        <v>57.5453890284635+52.6920615601775i</v>
      </c>
      <c r="H43" s="16" t="str">
        <f t="shared" si="15"/>
        <v>57.5453890284635+52.6920615601775i</v>
      </c>
      <c r="N43" s="19">
        <f t="shared" si="16"/>
        <v>0.44446851873445442</v>
      </c>
      <c r="O43" s="19">
        <f t="shared" si="17"/>
        <v>0.86344381066807119</v>
      </c>
      <c r="P43" s="19">
        <f t="shared" si="7"/>
        <v>-7.0431798850605212</v>
      </c>
      <c r="Q43" s="19">
        <f t="shared" si="8"/>
        <v>-1.2753183851104124</v>
      </c>
      <c r="R43" s="18">
        <f t="shared" si="18"/>
        <v>-7.0431798850605212</v>
      </c>
      <c r="S43" s="18">
        <f t="shared" si="19"/>
        <v>-1.2753183851104124</v>
      </c>
      <c r="T43" s="17">
        <f t="shared" si="9"/>
        <v>0.31948594517091422</v>
      </c>
      <c r="V43" s="17">
        <f t="shared" si="20"/>
        <v>11.545453999999999</v>
      </c>
      <c r="W43" s="17">
        <f t="shared" si="10"/>
        <v>0.31948594517091422</v>
      </c>
      <c r="X43" s="17">
        <f t="shared" si="11"/>
        <v>2.6001560081596784</v>
      </c>
      <c r="Z43" s="21">
        <f t="shared" si="12"/>
        <v>11.545453999999999</v>
      </c>
      <c r="AA43" s="20">
        <f t="shared" si="13"/>
        <v>0.26873470554710721</v>
      </c>
    </row>
    <row r="44" spans="1:27" x14ac:dyDescent="0.25">
      <c r="A44" s="16">
        <v>11838383</v>
      </c>
      <c r="B44" s="16" t="str">
        <f>COMPLEX(0.259866,0.371248)</f>
        <v>0.259866+0.371248i</v>
      </c>
      <c r="C44" s="16" t="str">
        <f>COMPLEX(0.702021,-0.511767)</f>
        <v>0.702021-0.511767i</v>
      </c>
      <c r="D44" s="16" t="str">
        <f>COMPLEX(0.702021,-0.511767)</f>
        <v>0.702021-0.511767i</v>
      </c>
      <c r="E44" s="16" t="str">
        <f>COMPLEX(0.259866,0.371248)</f>
        <v>0.259866+0.371248i</v>
      </c>
      <c r="G44" s="16" t="str">
        <f t="shared" si="14"/>
        <v>57.950513840521+54.14750891361i</v>
      </c>
      <c r="H44" s="16" t="str">
        <f t="shared" si="15"/>
        <v>57.950513840521+54.14750891361i</v>
      </c>
      <c r="N44" s="19">
        <f t="shared" si="16"/>
        <v>0.45316157765194526</v>
      </c>
      <c r="O44" s="19">
        <f t="shared" si="17"/>
        <v>0.86875712758514967</v>
      </c>
      <c r="P44" s="19">
        <f t="shared" si="7"/>
        <v>-6.8749383981113965</v>
      </c>
      <c r="Q44" s="19">
        <f t="shared" si="8"/>
        <v>-1.2220323856895068</v>
      </c>
      <c r="R44" s="18">
        <f t="shared" si="18"/>
        <v>-6.8749383981113965</v>
      </c>
      <c r="S44" s="18">
        <f t="shared" si="19"/>
        <v>-1.2220323856895068</v>
      </c>
      <c r="T44" s="17">
        <f t="shared" si="9"/>
        <v>0.22376166613366827</v>
      </c>
      <c r="V44" s="17">
        <f t="shared" si="20"/>
        <v>11.838383</v>
      </c>
      <c r="W44" s="17">
        <f t="shared" si="10"/>
        <v>0.22376166613366827</v>
      </c>
      <c r="X44" s="17">
        <f t="shared" si="11"/>
        <v>2.6573874809532478</v>
      </c>
      <c r="Z44" s="21">
        <f t="shared" si="12"/>
        <v>11.838383</v>
      </c>
      <c r="AA44" s="20">
        <f t="shared" si="13"/>
        <v>0.27145687435624877</v>
      </c>
    </row>
    <row r="45" spans="1:27" x14ac:dyDescent="0.25">
      <c r="A45" s="16">
        <v>12131313</v>
      </c>
      <c r="B45" s="16" t="str">
        <f>COMPLEX(0.268621,0.374959)</f>
        <v>0.268621+0.374959i</v>
      </c>
      <c r="C45" s="16" t="str">
        <f>COMPLEX(0.69437,-0.513819)</f>
        <v>0.69437-0.513819i</v>
      </c>
      <c r="D45" s="16" t="str">
        <f>COMPLEX(0.69437,-0.513819)</f>
        <v>0.69437-0.513819i</v>
      </c>
      <c r="E45" s="16" t="str">
        <f>COMPLEX(0.268621,0.374959)</f>
        <v>0.268621+0.374959i</v>
      </c>
      <c r="G45" s="16" t="str">
        <f t="shared" si="14"/>
        <v>58.270721171252+55.5075840838355i</v>
      </c>
      <c r="H45" s="16" t="str">
        <f t="shared" si="15"/>
        <v>58.270721171252+55.5075840838355i</v>
      </c>
      <c r="N45" s="19">
        <f t="shared" si="16"/>
        <v>0.46124992501029199</v>
      </c>
      <c r="O45" s="19">
        <f t="shared" si="17"/>
        <v>0.86380533782849489</v>
      </c>
      <c r="P45" s="19">
        <f t="shared" si="7"/>
        <v>-6.7212738288037466</v>
      </c>
      <c r="Q45" s="19">
        <f t="shared" si="8"/>
        <v>-1.2716823317185857</v>
      </c>
      <c r="R45" s="18">
        <f t="shared" si="18"/>
        <v>-6.7212738288037466</v>
      </c>
      <c r="S45" s="18">
        <f t="shared" si="19"/>
        <v>-1.2716823317185857</v>
      </c>
      <c r="T45" s="17">
        <f t="shared" si="9"/>
        <v>0.23280078673365537</v>
      </c>
      <c r="V45" s="17">
        <f t="shared" si="20"/>
        <v>12.131313</v>
      </c>
      <c r="W45" s="17">
        <f t="shared" si="10"/>
        <v>0.23280078673365537</v>
      </c>
      <c r="X45" s="17">
        <f t="shared" si="11"/>
        <v>2.7122964670366065</v>
      </c>
      <c r="Z45" s="21">
        <f t="shared" si="12"/>
        <v>12.131313</v>
      </c>
      <c r="AA45" s="20">
        <f t="shared" si="13"/>
        <v>0.27404175991682478</v>
      </c>
    </row>
    <row r="46" spans="1:27" x14ac:dyDescent="0.25">
      <c r="A46" s="16">
        <v>12424242</v>
      </c>
      <c r="B46" s="16" t="str">
        <f>COMPLEX(0.278212,0.378002)</f>
        <v>0.278212+0.378002i</v>
      </c>
      <c r="C46" s="16" t="str">
        <f>COMPLEX(0.68281,-0.514564)</f>
        <v>0.68281-0.514564i</v>
      </c>
      <c r="D46" s="16" t="str">
        <f>COMPLEX(0.68281,-0.514564)</f>
        <v>0.68281-0.514564i</v>
      </c>
      <c r="E46" s="16" t="str">
        <f>COMPLEX(0.278212,0.378002)</f>
        <v>0.278212+0.378002i</v>
      </c>
      <c r="G46" s="16" t="str">
        <f t="shared" si="14"/>
        <v>58.72537460661+56.9397233703635i</v>
      </c>
      <c r="H46" s="16" t="str">
        <f t="shared" si="15"/>
        <v>58.72537460661+56.9397233703635i</v>
      </c>
      <c r="N46" s="19">
        <f t="shared" si="16"/>
        <v>0.46934787625811197</v>
      </c>
      <c r="O46" s="19">
        <f t="shared" si="17"/>
        <v>0.85498865851893024</v>
      </c>
      <c r="P46" s="19">
        <f t="shared" si="7"/>
        <v>-6.5701028584646792</v>
      </c>
      <c r="Q46" s="19">
        <f t="shared" si="8"/>
        <v>-1.3607929235725444</v>
      </c>
      <c r="R46" s="18">
        <f t="shared" si="18"/>
        <v>-6.5701028584646792</v>
      </c>
      <c r="S46" s="18">
        <f t="shared" si="19"/>
        <v>-1.3607929235725444</v>
      </c>
      <c r="T46" s="17">
        <f t="shared" si="9"/>
        <v>0.28013828622951814</v>
      </c>
      <c r="V46" s="17">
        <f t="shared" si="20"/>
        <v>12.424242</v>
      </c>
      <c r="W46" s="17">
        <f t="shared" si="10"/>
        <v>0.28013828622951814</v>
      </c>
      <c r="X46" s="17">
        <f t="shared" si="11"/>
        <v>2.7689475091459554</v>
      </c>
      <c r="Z46" s="21">
        <f t="shared" si="12"/>
        <v>12.424242</v>
      </c>
      <c r="AA46" s="20">
        <f t="shared" si="13"/>
        <v>0.27648934458034879</v>
      </c>
    </row>
    <row r="47" spans="1:27" x14ac:dyDescent="0.25">
      <c r="A47" s="16">
        <v>12717171</v>
      </c>
      <c r="B47" s="16" t="str">
        <f>COMPLEX(0.287456,0.381486)</f>
        <v>0.287456+0.381486i</v>
      </c>
      <c r="C47" s="16" t="str">
        <f>COMPLEX(0.677841,-0.513781)</f>
        <v>0.677841-0.513781i</v>
      </c>
      <c r="D47" s="16" t="str">
        <f>COMPLEX(0.677841,-0.513781)</f>
        <v>0.677841-0.513781i</v>
      </c>
      <c r="E47" s="16" t="str">
        <f>COMPLEX(0.287456,0.381486)</f>
        <v>0.287456+0.381486i</v>
      </c>
      <c r="G47" s="16" t="str">
        <f t="shared" si="14"/>
        <v>59.076683146922+58.3981165331355i</v>
      </c>
      <c r="H47" s="16" t="str">
        <f t="shared" si="15"/>
        <v>59.076683146922+58.3981165331355i</v>
      </c>
      <c r="N47" s="19">
        <f t="shared" si="16"/>
        <v>0.4776636056180123</v>
      </c>
      <c r="O47" s="19">
        <f t="shared" si="17"/>
        <v>0.85055237183961829</v>
      </c>
      <c r="P47" s="19">
        <f t="shared" si="7"/>
        <v>-6.4175569487268502</v>
      </c>
      <c r="Q47" s="19">
        <f t="shared" si="8"/>
        <v>-1.4059788003299309</v>
      </c>
      <c r="R47" s="18">
        <f t="shared" si="18"/>
        <v>-6.4175569487268502</v>
      </c>
      <c r="S47" s="18">
        <f t="shared" si="19"/>
        <v>-1.4059788003299309</v>
      </c>
      <c r="T47" s="17">
        <f t="shared" si="9"/>
        <v>0.28123743805351437</v>
      </c>
      <c r="V47" s="17">
        <f t="shared" si="20"/>
        <v>12.717171</v>
      </c>
      <c r="W47" s="17">
        <f t="shared" si="10"/>
        <v>0.28123743805351437</v>
      </c>
      <c r="X47" s="17">
        <f t="shared" si="11"/>
        <v>2.8289501200971041</v>
      </c>
      <c r="Z47" s="21">
        <f t="shared" si="12"/>
        <v>12.717171</v>
      </c>
      <c r="AA47" s="20">
        <f t="shared" si="13"/>
        <v>0.2787996374054072</v>
      </c>
    </row>
    <row r="48" spans="1:27" x14ac:dyDescent="0.25">
      <c r="A48" s="16">
        <v>13010101</v>
      </c>
      <c r="B48" s="16" t="str">
        <f>COMPLEX(0.298885,0.381726)</f>
        <v>0.298885+0.381726i</v>
      </c>
      <c r="C48" s="16" t="str">
        <f>COMPLEX(0.673306,-0.519399)</f>
        <v>0.673306-0.519399i</v>
      </c>
      <c r="D48" s="16" t="str">
        <f>COMPLEX(0.673306,-0.519399)</f>
        <v>0.673306-0.519399i</v>
      </c>
      <c r="E48" s="16" t="str">
        <f>COMPLEX(0.298885,0.381726)</f>
        <v>0.298885+0.381726i</v>
      </c>
      <c r="G48" s="16" t="str">
        <f t="shared" si="14"/>
        <v>60.0173110706905+59.8995429933325i</v>
      </c>
      <c r="H48" s="16" t="str">
        <f t="shared" si="15"/>
        <v>60.0173110706905+59.8995429933325i</v>
      </c>
      <c r="N48" s="19">
        <f t="shared" si="16"/>
        <v>0.48481644186330974</v>
      </c>
      <c r="O48" s="19">
        <f t="shared" si="17"/>
        <v>0.85036244674667982</v>
      </c>
      <c r="P48" s="19">
        <f t="shared" si="7"/>
        <v>-6.2884532021891824</v>
      </c>
      <c r="Q48" s="19">
        <f t="shared" si="8"/>
        <v>-1.407918542856238</v>
      </c>
      <c r="R48" s="18">
        <f t="shared" si="18"/>
        <v>-6.2884532021891824</v>
      </c>
      <c r="S48" s="18">
        <f t="shared" si="19"/>
        <v>-1.407918542856238</v>
      </c>
      <c r="T48" s="17">
        <f t="shared" si="9"/>
        <v>0.24426616523352102</v>
      </c>
      <c r="V48" s="17">
        <f t="shared" si="20"/>
        <v>13.010101000000001</v>
      </c>
      <c r="W48" s="17">
        <f t="shared" si="10"/>
        <v>0.24426616523352102</v>
      </c>
      <c r="X48" s="17">
        <f t="shared" si="11"/>
        <v>2.8821114696159484</v>
      </c>
      <c r="Z48" s="21">
        <f t="shared" si="12"/>
        <v>13.010101000000001</v>
      </c>
      <c r="AA48" s="20">
        <f t="shared" si="13"/>
        <v>0.28097264557583917</v>
      </c>
    </row>
    <row r="49" spans="1:27" x14ac:dyDescent="0.25">
      <c r="A49" s="16">
        <v>13303030</v>
      </c>
      <c r="B49" s="16" t="str">
        <f>COMPLEX(0.309691,0.384964)</f>
        <v>0.309691+0.384964i</v>
      </c>
      <c r="C49" s="16" t="str">
        <f>COMPLEX(0.664661,-0.525204)</f>
        <v>0.664661-0.525204i</v>
      </c>
      <c r="D49" s="16" t="str">
        <f>COMPLEX(0.664661,-0.525204)</f>
        <v>0.664661-0.525204i</v>
      </c>
      <c r="E49" s="16" t="str">
        <f>COMPLEX(0.309691,0.384964)</f>
        <v>0.309691+0.384964i</v>
      </c>
      <c r="G49" s="16" t="str">
        <f t="shared" si="14"/>
        <v>60.498271966165+61.6214720787105i</v>
      </c>
      <c r="H49" s="16" t="str">
        <f t="shared" si="15"/>
        <v>60.498271966165+61.6214720787105i</v>
      </c>
      <c r="N49" s="19">
        <f t="shared" si="16"/>
        <v>0.49407063946059371</v>
      </c>
      <c r="O49" s="19">
        <f t="shared" si="17"/>
        <v>0.84712070364086844</v>
      </c>
      <c r="P49" s="19">
        <f t="shared" si="7"/>
        <v>-6.1242190727526502</v>
      </c>
      <c r="Q49" s="19">
        <f t="shared" si="8"/>
        <v>-1.441094079328042</v>
      </c>
      <c r="R49" s="18">
        <f t="shared" si="18"/>
        <v>-6.1242190727526502</v>
      </c>
      <c r="S49" s="18">
        <f t="shared" si="19"/>
        <v>-1.441094079328042</v>
      </c>
      <c r="T49" s="17">
        <f t="shared" si="9"/>
        <v>0.2257042278357726</v>
      </c>
      <c r="V49" s="17">
        <f t="shared" si="20"/>
        <v>13.30303</v>
      </c>
      <c r="W49" s="17">
        <f t="shared" si="10"/>
        <v>0.2257042278357726</v>
      </c>
      <c r="X49" s="17">
        <f t="shared" si="11"/>
        <v>2.953121040193559</v>
      </c>
      <c r="Z49" s="21">
        <f t="shared" si="12"/>
        <v>13.30303</v>
      </c>
      <c r="AA49" s="20">
        <f t="shared" si="13"/>
        <v>0.28300835425527998</v>
      </c>
    </row>
    <row r="50" spans="1:27" x14ac:dyDescent="0.25">
      <c r="A50" s="16">
        <v>13595959</v>
      </c>
      <c r="B50" s="16" t="str">
        <f>COMPLEX(0.318905,0.384036)</f>
        <v>0.318905+0.384036i</v>
      </c>
      <c r="C50" s="16" t="str">
        <f>COMPLEX(0.655153,-0.523813)</f>
        <v>0.655153-0.523813i</v>
      </c>
      <c r="D50" s="16" t="str">
        <f>COMPLEX(0.655153,-0.523813)</f>
        <v>0.655153-0.523813i</v>
      </c>
      <c r="E50" s="16" t="str">
        <f>COMPLEX(0.318905,0.384036)</f>
        <v>0.318905+0.384036i</v>
      </c>
      <c r="G50" s="16" t="str">
        <f t="shared" si="14"/>
        <v>61.403976317031+62.815227609786i</v>
      </c>
      <c r="H50" s="16" t="str">
        <f t="shared" si="15"/>
        <v>61.403976317031+62.815227609786i</v>
      </c>
      <c r="N50" s="19">
        <f t="shared" si="16"/>
        <v>0.49918338145515223</v>
      </c>
      <c r="O50" s="19">
        <f t="shared" si="17"/>
        <v>0.83881196485147969</v>
      </c>
      <c r="P50" s="19">
        <f t="shared" si="7"/>
        <v>-6.034797627668949</v>
      </c>
      <c r="Q50" s="19">
        <f t="shared" si="8"/>
        <v>-1.5267076673309581</v>
      </c>
      <c r="R50" s="18">
        <f t="shared" si="18"/>
        <v>-6.034797627668949</v>
      </c>
      <c r="S50" s="18">
        <f t="shared" si="19"/>
        <v>-1.5267076673309581</v>
      </c>
      <c r="T50" s="17">
        <f t="shared" si="9"/>
        <v>0.28204257710339753</v>
      </c>
      <c r="V50" s="17">
        <f t="shared" si="20"/>
        <v>13.595959000000001</v>
      </c>
      <c r="W50" s="17">
        <f t="shared" si="10"/>
        <v>0.28204257710339753</v>
      </c>
      <c r="X50" s="17">
        <f t="shared" si="11"/>
        <v>2.9934777040967973</v>
      </c>
      <c r="Z50" s="21">
        <f t="shared" si="12"/>
        <v>13.595959000000001</v>
      </c>
      <c r="AA50" s="20">
        <f t="shared" si="13"/>
        <v>0.28490677109625517</v>
      </c>
    </row>
    <row r="51" spans="1:27" x14ac:dyDescent="0.25">
      <c r="A51" s="16">
        <v>13888888</v>
      </c>
      <c r="B51" s="16" t="str">
        <f>COMPLEX(0.331389,0.385698)</f>
        <v>0.331389+0.385698i</v>
      </c>
      <c r="C51" s="16" t="str">
        <f>COMPLEX(0.647469,-0.524181)</f>
        <v>0.647469-0.524181i</v>
      </c>
      <c r="D51" s="16" t="str">
        <f>COMPLEX(0.647469,-0.524181)</f>
        <v>0.647469-0.524181i</v>
      </c>
      <c r="E51" s="16" t="str">
        <f>COMPLEX(0.331389,0.385698)</f>
        <v>0.331389+0.385698i</v>
      </c>
      <c r="G51" s="16" t="str">
        <f t="shared" si="14"/>
        <v>62.2200304690405+64.735760123372i</v>
      </c>
      <c r="H51" s="16" t="str">
        <f t="shared" si="15"/>
        <v>62.2200304690405+64.735760123372i</v>
      </c>
      <c r="N51" s="19">
        <f t="shared" si="16"/>
        <v>0.50850920987234827</v>
      </c>
      <c r="O51" s="19">
        <f t="shared" si="17"/>
        <v>0.83305571645718857</v>
      </c>
      <c r="P51" s="19">
        <f t="shared" si="7"/>
        <v>-5.8740235387768083</v>
      </c>
      <c r="Q51" s="19">
        <f t="shared" si="8"/>
        <v>-1.5865190225075565</v>
      </c>
      <c r="R51" s="18">
        <f t="shared" si="18"/>
        <v>-5.8740235387768083</v>
      </c>
      <c r="S51" s="18">
        <f t="shared" si="19"/>
        <v>-1.5865190225075565</v>
      </c>
      <c r="T51" s="17">
        <f t="shared" si="9"/>
        <v>0.28715252413103087</v>
      </c>
      <c r="V51" s="17">
        <f t="shared" si="20"/>
        <v>13.888888</v>
      </c>
      <c r="W51" s="17">
        <f t="shared" si="10"/>
        <v>0.28715252413103087</v>
      </c>
      <c r="X51" s="17">
        <f t="shared" si="11"/>
        <v>3.0692522427135467</v>
      </c>
      <c r="Z51" s="21">
        <f t="shared" si="12"/>
        <v>13.888888</v>
      </c>
      <c r="AA51" s="20">
        <f t="shared" si="13"/>
        <v>0.28666789609876481</v>
      </c>
    </row>
    <row r="52" spans="1:27" x14ac:dyDescent="0.25">
      <c r="A52" s="16">
        <v>14181818</v>
      </c>
      <c r="B52" s="16" t="str">
        <f>COMPLEX(0.340414,0.385537)</f>
        <v>0.340414+0.385537i</v>
      </c>
      <c r="C52" s="16" t="str">
        <f>COMPLEX(0.636943,-0.528031)</f>
        <v>0.636943-0.528031i</v>
      </c>
      <c r="D52" s="16" t="str">
        <f>COMPLEX(0.636943,-0.528031)</f>
        <v>0.636943-0.528031i</v>
      </c>
      <c r="E52" s="16" t="str">
        <f>COMPLEX(0.340414,0.385537)</f>
        <v>0.340414+0.385537i</v>
      </c>
      <c r="G52" s="16" t="str">
        <f t="shared" si="14"/>
        <v>63.0023144320425+66.0513917808845i</v>
      </c>
      <c r="H52" s="16" t="str">
        <f t="shared" si="15"/>
        <v>63.0023144320425+66.0513917808845i</v>
      </c>
      <c r="N52" s="19">
        <f t="shared" si="16"/>
        <v>0.51431553521646611</v>
      </c>
      <c r="O52" s="19">
        <f t="shared" si="17"/>
        <v>0.8273530819486925</v>
      </c>
      <c r="P52" s="19">
        <f t="shared" si="7"/>
        <v>-5.7754071469871473</v>
      </c>
      <c r="Q52" s="19">
        <f t="shared" si="8"/>
        <v>-1.6461822196568354</v>
      </c>
      <c r="R52" s="18">
        <f t="shared" si="18"/>
        <v>-5.7754071469871473</v>
      </c>
      <c r="S52" s="18">
        <f t="shared" si="19"/>
        <v>-1.6461822196568354</v>
      </c>
      <c r="T52" s="17">
        <f t="shared" si="9"/>
        <v>0.31188811973222186</v>
      </c>
      <c r="V52" s="17">
        <f t="shared" si="20"/>
        <v>14.181818</v>
      </c>
      <c r="W52" s="17">
        <f t="shared" si="10"/>
        <v>0.31188811973222186</v>
      </c>
      <c r="X52" s="17">
        <f t="shared" si="11"/>
        <v>3.1178998815442567</v>
      </c>
      <c r="Z52" s="21">
        <f t="shared" si="12"/>
        <v>14.181818</v>
      </c>
      <c r="AA52" s="20">
        <f t="shared" si="13"/>
        <v>0.28829173457190083</v>
      </c>
    </row>
    <row r="53" spans="1:27" x14ac:dyDescent="0.25">
      <c r="A53" s="16">
        <v>14474747</v>
      </c>
      <c r="B53" s="16" t="str">
        <f>COMPLEX(0.350295,0.385538)</f>
        <v>0.350295+0.385538i</v>
      </c>
      <c r="C53" s="16" t="str">
        <f>COMPLEX(0.630761,-0.529784)</f>
        <v>0.630761-0.529784i</v>
      </c>
      <c r="D53" s="16" t="str">
        <f>COMPLEX(0.630761,-0.529784)</f>
        <v>0.630761-0.529784i</v>
      </c>
      <c r="E53" s="16" t="str">
        <f>COMPLEX(0.350295,0.385538)</f>
        <v>0.350295+0.385538i</v>
      </c>
      <c r="G53" s="16" t="str">
        <f t="shared" si="14"/>
        <v>63.8323284650815+67.548638615634i</v>
      </c>
      <c r="H53" s="16" t="str">
        <f t="shared" si="15"/>
        <v>63.8323284650815+67.548638615634i</v>
      </c>
      <c r="N53" s="19">
        <f t="shared" si="16"/>
        <v>0.52090895218742406</v>
      </c>
      <c r="O53" s="19">
        <f t="shared" si="17"/>
        <v>0.82372964361919143</v>
      </c>
      <c r="P53" s="19">
        <f t="shared" si="7"/>
        <v>-5.6647635769290474</v>
      </c>
      <c r="Q53" s="19">
        <f t="shared" si="8"/>
        <v>-1.6843060949533459</v>
      </c>
      <c r="R53" s="18">
        <f t="shared" si="18"/>
        <v>-5.6647635769290474</v>
      </c>
      <c r="S53" s="18">
        <f t="shared" si="19"/>
        <v>-1.6843060949533459</v>
      </c>
      <c r="T53" s="17">
        <f t="shared" si="9"/>
        <v>0.30951881492712618</v>
      </c>
      <c r="V53" s="17">
        <f t="shared" si="20"/>
        <v>14.474747000000001</v>
      </c>
      <c r="W53" s="17">
        <f t="shared" si="10"/>
        <v>0.30951881492712618</v>
      </c>
      <c r="X53" s="17">
        <f t="shared" si="11"/>
        <v>3.1745718462733938</v>
      </c>
      <c r="Z53" s="21">
        <f t="shared" si="12"/>
        <v>14.474747000000001</v>
      </c>
      <c r="AA53" s="20">
        <f t="shared" si="13"/>
        <v>0.28977827542879275</v>
      </c>
    </row>
    <row r="54" spans="1:27" x14ac:dyDescent="0.25">
      <c r="A54" s="16">
        <v>14767676</v>
      </c>
      <c r="B54" s="16" t="str">
        <f>COMPLEX(0.359084,0.386561)</f>
        <v>0.359084+0.386561i</v>
      </c>
      <c r="C54" s="16" t="str">
        <f>COMPLEX(0.62727,-0.531212)</f>
        <v>0.62727-0.531212i</v>
      </c>
      <c r="D54" s="16" t="str">
        <f>COMPLEX(0.62727,-0.531212)</f>
        <v>0.62727-0.531212i</v>
      </c>
      <c r="E54" s="16" t="str">
        <f>COMPLEX(0.359084,0.386561)</f>
        <v>0.359084+0.386561i</v>
      </c>
      <c r="G54" s="16" t="str">
        <f t="shared" si="14"/>
        <v>64.4078688855095+69.00376992344i</v>
      </c>
      <c r="H54" s="16" t="str">
        <f t="shared" si="15"/>
        <v>64.4078688855095+69.00376992344i</v>
      </c>
      <c r="N54" s="19">
        <f t="shared" si="16"/>
        <v>0.5276084966876482</v>
      </c>
      <c r="O54" s="19">
        <f t="shared" si="17"/>
        <v>0.82198165541817303</v>
      </c>
      <c r="P54" s="19">
        <f t="shared" si="7"/>
        <v>-5.5537643824964933</v>
      </c>
      <c r="Q54" s="19">
        <f t="shared" si="8"/>
        <v>-1.7027574944437818</v>
      </c>
      <c r="R54" s="18">
        <f t="shared" si="18"/>
        <v>-5.5537643824964933</v>
      </c>
      <c r="S54" s="18">
        <f t="shared" si="19"/>
        <v>-1.7027574944437818</v>
      </c>
      <c r="T54" s="17">
        <f t="shared" si="9"/>
        <v>0.28589892292608532</v>
      </c>
      <c r="V54" s="17">
        <f t="shared" si="20"/>
        <v>14.767676</v>
      </c>
      <c r="W54" s="17">
        <f t="shared" si="10"/>
        <v>0.28589892292608532</v>
      </c>
      <c r="X54" s="17">
        <f t="shared" si="11"/>
        <v>3.2337764036318246</v>
      </c>
      <c r="Z54" s="21">
        <f t="shared" si="12"/>
        <v>14.767676</v>
      </c>
      <c r="AA54" s="20">
        <f t="shared" si="13"/>
        <v>0.29112752444721918</v>
      </c>
    </row>
    <row r="55" spans="1:27" x14ac:dyDescent="0.25">
      <c r="A55" s="16">
        <v>15060606</v>
      </c>
      <c r="B55" s="16" t="str">
        <f>COMPLEX(0.36932,0.384975)</f>
        <v>0.36932+0.384975i</v>
      </c>
      <c r="C55" s="16" t="str">
        <f>COMPLEX(0.6191,-0.535924)</f>
        <v>0.6191-0.535924i</v>
      </c>
      <c r="D55" s="16" t="str">
        <f>COMPLEX(0.6191,-0.535924)</f>
        <v>0.6191-0.535924i</v>
      </c>
      <c r="E55" s="16" t="str">
        <f>COMPLEX(0.36932,0.384975)</f>
        <v>0.36932+0.384975i</v>
      </c>
      <c r="G55" s="16" t="str">
        <f t="shared" si="14"/>
        <v>65.516982827392+70.5130184308605i</v>
      </c>
      <c r="H55" s="16" t="str">
        <f t="shared" si="15"/>
        <v>65.516982827392+70.5130184308605i</v>
      </c>
      <c r="N55" s="19">
        <f t="shared" si="16"/>
        <v>0.53348197066536374</v>
      </c>
      <c r="O55" s="19">
        <f t="shared" si="17"/>
        <v>0.81884024313415371</v>
      </c>
      <c r="P55" s="19">
        <f t="shared" si="7"/>
        <v>-5.4576050645410721</v>
      </c>
      <c r="Q55" s="19">
        <f t="shared" si="8"/>
        <v>-1.7360164286025934</v>
      </c>
      <c r="R55" s="18">
        <f t="shared" si="18"/>
        <v>-5.4576050645410721</v>
      </c>
      <c r="S55" s="18">
        <f t="shared" si="19"/>
        <v>-1.7360164286025934</v>
      </c>
      <c r="T55" s="17">
        <f t="shared" si="9"/>
        <v>0.2814874956657476</v>
      </c>
      <c r="V55" s="17">
        <f t="shared" si="20"/>
        <v>15.060606</v>
      </c>
      <c r="W55" s="17">
        <f t="shared" si="10"/>
        <v>0.2814874956657476</v>
      </c>
      <c r="X55" s="17">
        <f t="shared" si="11"/>
        <v>3.2870797573514308</v>
      </c>
      <c r="Z55" s="21">
        <f t="shared" si="12"/>
        <v>15.060606</v>
      </c>
      <c r="AA55" s="20">
        <f t="shared" si="13"/>
        <v>0.29233948553021116</v>
      </c>
    </row>
    <row r="56" spans="1:27" x14ac:dyDescent="0.25">
      <c r="A56" s="16">
        <v>15353535</v>
      </c>
      <c r="B56" s="16" t="str">
        <f>COMPLEX(0.380343,0.383561)</f>
        <v>0.380343+0.383561i</v>
      </c>
      <c r="C56" s="16" t="str">
        <f>COMPLEX(0.609911,-0.536981)</f>
        <v>0.609911-0.536981i</v>
      </c>
      <c r="D56" s="16" t="str">
        <f>COMPLEX(0.609911,-0.536981)</f>
        <v>0.609911-0.536981i</v>
      </c>
      <c r="E56" s="16" t="str">
        <f>COMPLEX(0.380343,0.383561)</f>
        <v>0.380343+0.383561i</v>
      </c>
      <c r="G56" s="16" t="str">
        <f t="shared" si="14"/>
        <v>66.6756145960595+72.2209470885975i</v>
      </c>
      <c r="H56" s="16" t="str">
        <f t="shared" si="15"/>
        <v>66.6756145960595+72.2209470885975i</v>
      </c>
      <c r="N56" s="19">
        <f t="shared" si="16"/>
        <v>0.5401664913431784</v>
      </c>
      <c r="O56" s="19">
        <f t="shared" si="17"/>
        <v>0.81261308276571587</v>
      </c>
      <c r="P56" s="19">
        <f t="shared" si="7"/>
        <v>-5.3494472062339504</v>
      </c>
      <c r="Q56" s="19">
        <f t="shared" si="8"/>
        <v>-1.8023237995024814</v>
      </c>
      <c r="R56" s="18">
        <f t="shared" si="18"/>
        <v>-5.3494472062339504</v>
      </c>
      <c r="S56" s="18">
        <f t="shared" si="19"/>
        <v>-1.8023237995024814</v>
      </c>
      <c r="T56" s="17">
        <f t="shared" si="9"/>
        <v>0.30400666054943826</v>
      </c>
      <c r="V56" s="17">
        <f t="shared" si="20"/>
        <v>15.353535000000001</v>
      </c>
      <c r="W56" s="17">
        <f t="shared" si="10"/>
        <v>0.30400666054943826</v>
      </c>
      <c r="X56" s="17">
        <f t="shared" si="11"/>
        <v>3.3494002989082299</v>
      </c>
      <c r="Z56" s="21">
        <f t="shared" si="12"/>
        <v>15.353535000000001</v>
      </c>
      <c r="AA56" s="20">
        <f t="shared" si="13"/>
        <v>0.29341415040301999</v>
      </c>
    </row>
    <row r="57" spans="1:27" x14ac:dyDescent="0.25">
      <c r="A57" s="16">
        <v>15646464</v>
      </c>
      <c r="B57" s="16" t="str">
        <f>COMPLEX(0.389215,0.384375)</f>
        <v>0.389215+0.384375i</v>
      </c>
      <c r="C57" s="16" t="str">
        <f>COMPLEX(0.604201,-0.538741)</f>
        <v>0.604201-0.538741i</v>
      </c>
      <c r="D57" s="16" t="str">
        <f>COMPLEX(0.604201,-0.538741)</f>
        <v>0.604201-0.538741i</v>
      </c>
      <c r="E57" s="16" t="str">
        <f>COMPLEX(0.389215,0.384375)</f>
        <v>0.389215+0.384375i</v>
      </c>
      <c r="G57" s="16" t="str">
        <f t="shared" si="14"/>
        <v>67.277672554436+73.8043753335645i</v>
      </c>
      <c r="H57" s="16" t="str">
        <f t="shared" si="15"/>
        <v>67.277672554436+73.8043753335645i</v>
      </c>
      <c r="N57" s="19">
        <f t="shared" si="16"/>
        <v>0.54702144094176053</v>
      </c>
      <c r="O57" s="19">
        <f t="shared" si="17"/>
        <v>0.80950646290316919</v>
      </c>
      <c r="P57" s="19">
        <f t="shared" si="7"/>
        <v>-5.2399130162856222</v>
      </c>
      <c r="Q57" s="19">
        <f t="shared" si="8"/>
        <v>-1.8355935919001292</v>
      </c>
      <c r="R57" s="18">
        <f t="shared" si="18"/>
        <v>-5.2399130162856222</v>
      </c>
      <c r="S57" s="18">
        <f t="shared" si="19"/>
        <v>-1.8355935919001292</v>
      </c>
      <c r="T57" s="17">
        <f t="shared" si="9"/>
        <v>0.29133337970353756</v>
      </c>
      <c r="V57" s="17">
        <f t="shared" si="20"/>
        <v>15.646464</v>
      </c>
      <c r="W57" s="17">
        <f t="shared" si="10"/>
        <v>0.29133337970353756</v>
      </c>
      <c r="X57" s="17">
        <f t="shared" si="11"/>
        <v>3.4152200142940097</v>
      </c>
      <c r="Z57" s="21">
        <f t="shared" si="12"/>
        <v>15.646464</v>
      </c>
      <c r="AA57" s="20">
        <f t="shared" si="13"/>
        <v>0.29435152343736321</v>
      </c>
    </row>
    <row r="58" spans="1:27" x14ac:dyDescent="0.25">
      <c r="A58" s="16">
        <v>15939393</v>
      </c>
      <c r="B58" s="16" t="str">
        <f>COMPLEX(0.399117,0.382496)</f>
        <v>0.399117+0.382496i</v>
      </c>
      <c r="C58" s="16" t="str">
        <f>COMPLEX(0.590403,-0.539315)</f>
        <v>0.590403-0.539315i</v>
      </c>
      <c r="D58" s="16" t="str">
        <f>COMPLEX(0.590403,-0.539315)</f>
        <v>0.590403-0.539315i</v>
      </c>
      <c r="E58" s="16" t="str">
        <f>COMPLEX(0.399117,0.382496)</f>
        <v>0.399117+0.382496i</v>
      </c>
      <c r="G58" s="16" t="str">
        <f t="shared" si="14"/>
        <v>68.4324291058925+75.3889366204195i</v>
      </c>
      <c r="H58" s="16" t="str">
        <f t="shared" si="15"/>
        <v>68.4324291058925+75.3889366204195i</v>
      </c>
      <c r="N58" s="19">
        <f t="shared" si="16"/>
        <v>0.55280880031435831</v>
      </c>
      <c r="O58" s="19">
        <f t="shared" si="17"/>
        <v>0.79964765467923438</v>
      </c>
      <c r="P58" s="19">
        <f t="shared" si="7"/>
        <v>-5.1485010385258034</v>
      </c>
      <c r="Q58" s="19">
        <f t="shared" si="8"/>
        <v>-1.9420266435664992</v>
      </c>
      <c r="R58" s="18">
        <f t="shared" si="18"/>
        <v>-5.1485010385258034</v>
      </c>
      <c r="S58" s="18">
        <f t="shared" si="19"/>
        <v>-1.9420266435664992</v>
      </c>
      <c r="T58" s="17">
        <f t="shared" si="9"/>
        <v>0.35813896487442703</v>
      </c>
      <c r="V58" s="17">
        <f t="shared" si="20"/>
        <v>15.939393000000001</v>
      </c>
      <c r="W58" s="17">
        <f t="shared" si="10"/>
        <v>0.35813896487442703</v>
      </c>
      <c r="X58" s="17">
        <f t="shared" si="11"/>
        <v>3.4723599243588055</v>
      </c>
      <c r="Z58" s="21">
        <f t="shared" si="12"/>
        <v>15.939393000000001</v>
      </c>
      <c r="AA58" s="20">
        <f t="shared" si="13"/>
        <v>0.2951516046332408</v>
      </c>
    </row>
    <row r="59" spans="1:27" x14ac:dyDescent="0.25">
      <c r="A59" s="16">
        <v>16232323</v>
      </c>
      <c r="B59" s="16" t="str">
        <f>COMPLEX(0.409627,0.381764)</f>
        <v>0.409627+0.381764i</v>
      </c>
      <c r="C59" s="16" t="str">
        <f>COMPLEX(0.586783,-0.544389)</f>
        <v>0.586783-0.544389i</v>
      </c>
      <c r="D59" s="16" t="str">
        <f>COMPLEX(0.586783,-0.544389)</f>
        <v>0.586783-0.544389i</v>
      </c>
      <c r="E59" s="16" t="str">
        <f>COMPLEX(0.409627,0.381764)</f>
        <v>0.409627+0.381764i</v>
      </c>
      <c r="G59" s="16" t="str">
        <f t="shared" si="14"/>
        <v>69.440031071734+77.2357543825165i</v>
      </c>
      <c r="H59" s="16" t="str">
        <f t="shared" si="15"/>
        <v>69.440031071734+77.2357543825165i</v>
      </c>
      <c r="N59" s="19">
        <f t="shared" si="16"/>
        <v>0.55994466764583084</v>
      </c>
      <c r="O59" s="19">
        <f t="shared" si="17"/>
        <v>0.80042093451508378</v>
      </c>
      <c r="P59" s="19">
        <f t="shared" si="7"/>
        <v>-5.0370977357105096</v>
      </c>
      <c r="Q59" s="19">
        <f t="shared" si="8"/>
        <v>-1.9336312236678812</v>
      </c>
      <c r="R59" s="18">
        <f t="shared" si="18"/>
        <v>-5.0370977357105096</v>
      </c>
      <c r="S59" s="18">
        <f t="shared" si="19"/>
        <v>-1.9336312236678812</v>
      </c>
      <c r="T59" s="17">
        <f t="shared" si="9"/>
        <v>0.29979604165417123</v>
      </c>
      <c r="V59" s="17">
        <f t="shared" si="20"/>
        <v>16.232323000000001</v>
      </c>
      <c r="W59" s="17">
        <f t="shared" si="10"/>
        <v>0.29979604165417123</v>
      </c>
      <c r="X59" s="17">
        <f t="shared" si="11"/>
        <v>3.5448830021001601</v>
      </c>
      <c r="Z59" s="21">
        <f t="shared" si="12"/>
        <v>16.232323000000001</v>
      </c>
      <c r="AA59" s="20">
        <f t="shared" si="13"/>
        <v>0.29581439601893678</v>
      </c>
    </row>
    <row r="60" spans="1:27" x14ac:dyDescent="0.25">
      <c r="A60" s="16">
        <v>16525252</v>
      </c>
      <c r="B60" s="16" t="str">
        <f>COMPLEX(0.417219,0.379192)</f>
        <v>0.417219+0.379192i</v>
      </c>
      <c r="C60" s="16" t="str">
        <f>COMPLEX(0.580621,-0.54629)</f>
        <v>0.580621-0.54629i</v>
      </c>
      <c r="D60" s="16" t="str">
        <f>COMPLEX(0.580621,-0.54629)</f>
        <v>0.580621-0.54629i</v>
      </c>
      <c r="E60" s="16" t="str">
        <f>COMPLEX(0.417219,0.379192)</f>
        <v>0.417219+0.379192i</v>
      </c>
      <c r="G60" s="16" t="str">
        <f t="shared" si="14"/>
        <v>70.553696233627+78.439408941303i</v>
      </c>
      <c r="H60" s="16" t="str">
        <f t="shared" si="15"/>
        <v>70.553696233627+78.439408941303i</v>
      </c>
      <c r="N60" s="19">
        <f t="shared" si="16"/>
        <v>0.56378920424658718</v>
      </c>
      <c r="O60" s="19">
        <f t="shared" si="17"/>
        <v>0.79721609977533714</v>
      </c>
      <c r="P60" s="19">
        <f t="shared" si="7"/>
        <v>-4.9776648900057561</v>
      </c>
      <c r="Q60" s="19">
        <f t="shared" si="8"/>
        <v>-1.9684787861598969</v>
      </c>
      <c r="R60" s="18">
        <f t="shared" si="18"/>
        <v>-4.9776648900057561</v>
      </c>
      <c r="S60" s="18">
        <f t="shared" si="19"/>
        <v>-1.9684787861598969</v>
      </c>
      <c r="T60" s="17">
        <f t="shared" si="9"/>
        <v>0.30722498933208414</v>
      </c>
      <c r="V60" s="17">
        <f t="shared" si="20"/>
        <v>16.525251999999998</v>
      </c>
      <c r="W60" s="17">
        <f t="shared" si="10"/>
        <v>0.30722498933208414</v>
      </c>
      <c r="X60" s="17">
        <f t="shared" si="11"/>
        <v>3.5849392529262096</v>
      </c>
      <c r="Z60" s="21">
        <f t="shared" si="12"/>
        <v>16.525251999999998</v>
      </c>
      <c r="AA60" s="20">
        <f t="shared" si="13"/>
        <v>0.29633989306919678</v>
      </c>
    </row>
    <row r="61" spans="1:27" x14ac:dyDescent="0.25">
      <c r="A61" s="16">
        <v>16818181</v>
      </c>
      <c r="B61" s="16" t="str">
        <f>COMPLEX(0.425884,0.377587)</f>
        <v>0.425884+0.377587i</v>
      </c>
      <c r="C61" s="16" t="str">
        <f>COMPLEX(0.577006,-0.545466)</f>
        <v>0.577006-0.545466i</v>
      </c>
      <c r="D61" s="16" t="str">
        <f>COMPLEX(0.577006,-0.545466)</f>
        <v>0.577006-0.545466i</v>
      </c>
      <c r="E61" s="16" t="str">
        <f>COMPLEX(0.425884,0.377587)</f>
        <v>0.425884+0.377587i</v>
      </c>
      <c r="G61" s="16" t="str">
        <f t="shared" si="14"/>
        <v>71.588087873162+79.966559607751i</v>
      </c>
      <c r="H61" s="16" t="str">
        <f t="shared" si="15"/>
        <v>71.588087873162+79.966559607751i</v>
      </c>
      <c r="N61" s="19">
        <f t="shared" si="16"/>
        <v>0.56916528708715197</v>
      </c>
      <c r="O61" s="19">
        <f t="shared" si="17"/>
        <v>0.79402083171161197</v>
      </c>
      <c r="P61" s="19">
        <f t="shared" si="7"/>
        <v>-4.8952319007155793</v>
      </c>
      <c r="Q61" s="19">
        <f t="shared" si="8"/>
        <v>-2.0033620678630606</v>
      </c>
      <c r="R61" s="18">
        <f t="shared" si="18"/>
        <v>-4.8952319007155793</v>
      </c>
      <c r="S61" s="18">
        <f t="shared" si="19"/>
        <v>-2.0033620678630606</v>
      </c>
      <c r="T61" s="17">
        <f t="shared" si="9"/>
        <v>0.30315586638890785</v>
      </c>
      <c r="V61" s="17">
        <f t="shared" si="20"/>
        <v>16.818180999999999</v>
      </c>
      <c r="W61" s="17">
        <f t="shared" si="10"/>
        <v>0.30315586638890785</v>
      </c>
      <c r="X61" s="17">
        <f t="shared" si="11"/>
        <v>3.6421514795734962</v>
      </c>
      <c r="Z61" s="21">
        <f t="shared" si="12"/>
        <v>16.818180999999999</v>
      </c>
      <c r="AA61" s="20">
        <f t="shared" si="13"/>
        <v>0.29672809828099117</v>
      </c>
    </row>
    <row r="62" spans="1:27" x14ac:dyDescent="0.25">
      <c r="A62" s="16">
        <v>17111111</v>
      </c>
      <c r="B62" s="16" t="str">
        <f>COMPLEX(0.434511,0.375235)</f>
        <v>0.434511+0.375235i</v>
      </c>
      <c r="C62" s="16" t="str">
        <f>COMPLEX(0.566883,-0.55095)</f>
        <v>0.566883-0.55095i</v>
      </c>
      <c r="D62" s="16" t="str">
        <f>COMPLEX(0.566883,-0.55095)</f>
        <v>0.566883-0.55095i</v>
      </c>
      <c r="E62" s="16" t="str">
        <f>COMPLEX(0.434511,0.375235)</f>
        <v>0.434511+0.375235i</v>
      </c>
      <c r="G62" s="16" t="str">
        <f t="shared" si="14"/>
        <v>72.7778208751315+81.470259573714i</v>
      </c>
      <c r="H62" s="16" t="str">
        <f t="shared" si="15"/>
        <v>72.7778208751315+81.470259573714i</v>
      </c>
      <c r="N62" s="19">
        <f t="shared" si="16"/>
        <v>0.57410897427753205</v>
      </c>
      <c r="O62" s="19">
        <f t="shared" si="17"/>
        <v>0.79050758262587217</v>
      </c>
      <c r="P62" s="19">
        <f t="shared" si="7"/>
        <v>-4.8201132866939815</v>
      </c>
      <c r="Q62" s="19">
        <f t="shared" si="8"/>
        <v>-2.041879198334855</v>
      </c>
      <c r="R62" s="18">
        <f t="shared" si="18"/>
        <v>-4.8201132866939815</v>
      </c>
      <c r="S62" s="18">
        <f t="shared" si="19"/>
        <v>-2.041879198334855</v>
      </c>
      <c r="T62" s="17">
        <f t="shared" si="9"/>
        <v>0.30521203566205329</v>
      </c>
      <c r="V62" s="17">
        <f t="shared" si="20"/>
        <v>17.111111000000001</v>
      </c>
      <c r="W62" s="17">
        <f t="shared" si="10"/>
        <v>0.30521203566205329</v>
      </c>
      <c r="X62" s="17">
        <f t="shared" si="11"/>
        <v>3.6960369653416945</v>
      </c>
      <c r="Z62" s="21">
        <f t="shared" si="12"/>
        <v>17.111111000000001</v>
      </c>
      <c r="AA62" s="20">
        <f t="shared" si="13"/>
        <v>0.29697901227654322</v>
      </c>
    </row>
    <row r="63" spans="1:27" x14ac:dyDescent="0.25">
      <c r="A63" s="16">
        <v>17404040</v>
      </c>
      <c r="B63" s="16" t="str">
        <f>COMPLEX(0.444444,0.374191)</f>
        <v>0.444444+0.374191i</v>
      </c>
      <c r="C63" s="16" t="str">
        <f>COMPLEX(0.560795,-0.55158)</f>
        <v>0.560795-0.55158i</v>
      </c>
      <c r="D63" s="16" t="str">
        <f>COMPLEX(0.560795,-0.55158)</f>
        <v>0.560795-0.55158i</v>
      </c>
      <c r="E63" s="16" t="str">
        <f>COMPLEX(0.444444,0.374191)</f>
        <v>0.444444+0.374191i</v>
      </c>
      <c r="G63" s="16" t="str">
        <f t="shared" si="14"/>
        <v>73.8252349475155+83.40165256112i</v>
      </c>
      <c r="H63" s="16" t="str">
        <f t="shared" si="15"/>
        <v>73.8252349475155+83.40165256112i</v>
      </c>
      <c r="N63" s="19">
        <f t="shared" si="16"/>
        <v>0.58098999442073018</v>
      </c>
      <c r="O63" s="19">
        <f t="shared" si="17"/>
        <v>0.78659489473616584</v>
      </c>
      <c r="P63" s="19">
        <f t="shared" si="7"/>
        <v>-4.7166269358519743</v>
      </c>
      <c r="Q63" s="19">
        <f t="shared" si="8"/>
        <v>-2.0849775326700377</v>
      </c>
      <c r="R63" s="18">
        <f t="shared" si="18"/>
        <v>-4.7166269358519743</v>
      </c>
      <c r="S63" s="18">
        <f t="shared" si="19"/>
        <v>-2.0849775326700377</v>
      </c>
      <c r="T63" s="17">
        <f t="shared" si="9"/>
        <v>0.29651268346074672</v>
      </c>
      <c r="V63" s="17">
        <f t="shared" si="20"/>
        <v>17.404039999999998</v>
      </c>
      <c r="W63" s="17">
        <f t="shared" si="10"/>
        <v>0.29651268346074672</v>
      </c>
      <c r="X63" s="17">
        <f t="shared" si="11"/>
        <v>3.7731557083823213</v>
      </c>
      <c r="Z63" s="21">
        <f t="shared" si="12"/>
        <v>17.404039999999998</v>
      </c>
      <c r="AA63" s="20">
        <f t="shared" si="13"/>
        <v>0.29709263334272001</v>
      </c>
    </row>
    <row r="64" spans="1:27" x14ac:dyDescent="0.25">
      <c r="A64" s="16">
        <v>17696969</v>
      </c>
      <c r="B64" s="16" t="str">
        <f>COMPLEX(0.453644,0.372518)</f>
        <v>0.453644+0.372518i</v>
      </c>
      <c r="C64" s="16" t="str">
        <f>COMPLEX(0.553927,-0.552124)</f>
        <v>0.553927-0.552124i</v>
      </c>
      <c r="D64" s="16" t="str">
        <f>COMPLEX(0.553927,-0.552124)</f>
        <v>0.553927-0.552124i</v>
      </c>
      <c r="E64" s="16" t="str">
        <f>COMPLEX(0.453644,0.372518)</f>
        <v>0.453644+0.372518i</v>
      </c>
      <c r="G64" s="16" t="str">
        <f t="shared" si="14"/>
        <v>74.9457608884545+85.1908736330255i</v>
      </c>
      <c r="H64" s="16" t="str">
        <f t="shared" si="15"/>
        <v>74.9457608884545+85.1908736330255i</v>
      </c>
      <c r="N64" s="19">
        <f t="shared" si="16"/>
        <v>0.58699449661815406</v>
      </c>
      <c r="O64" s="19">
        <f t="shared" si="17"/>
        <v>0.78209720157087892</v>
      </c>
      <c r="P64" s="19">
        <f t="shared" si="7"/>
        <v>-4.6273194094453816</v>
      </c>
      <c r="Q64" s="19">
        <f t="shared" si="8"/>
        <v>-2.1347853612454051</v>
      </c>
      <c r="R64" s="18">
        <f t="shared" si="18"/>
        <v>-4.6273194094453816</v>
      </c>
      <c r="S64" s="18">
        <f t="shared" si="19"/>
        <v>-2.1347853612454051</v>
      </c>
      <c r="T64" s="17">
        <f t="shared" si="9"/>
        <v>0.30009795591705762</v>
      </c>
      <c r="V64" s="17">
        <f t="shared" si="20"/>
        <v>17.696968999999999</v>
      </c>
      <c r="W64" s="17">
        <f t="shared" si="10"/>
        <v>0.30009795591705762</v>
      </c>
      <c r="X64" s="17">
        <f t="shared" si="11"/>
        <v>3.8425504832822814</v>
      </c>
      <c r="Z64" s="21">
        <f t="shared" si="12"/>
        <v>17.696968999999999</v>
      </c>
      <c r="AA64" s="20">
        <f t="shared" si="13"/>
        <v>0.29706896257043114</v>
      </c>
    </row>
    <row r="65" spans="1:27" x14ac:dyDescent="0.25">
      <c r="A65" s="16">
        <v>17989898</v>
      </c>
      <c r="B65" s="16" t="str">
        <f>COMPLEX(0.461355,0.375164)</f>
        <v>0.461355+0.375164i</v>
      </c>
      <c r="C65" s="16" t="str">
        <f>COMPLEX(0.550203,-0.545683)</f>
        <v>0.550203-0.545683i</v>
      </c>
      <c r="D65" s="16" t="str">
        <f>COMPLEX(0.550203,-0.545683)</f>
        <v>0.550203-0.545683i</v>
      </c>
      <c r="E65" s="16" t="str">
        <f>COMPLEX(0.461355,0.375164)</f>
        <v>0.461355+0.375164i</v>
      </c>
      <c r="G65" s="16" t="str">
        <f t="shared" si="14"/>
        <v>75.0085686954515+87.0679476576605i</v>
      </c>
      <c r="H65" s="16" t="str">
        <f t="shared" si="15"/>
        <v>75.0085686954515+87.0679476576605i</v>
      </c>
      <c r="N65" s="19">
        <f t="shared" si="16"/>
        <v>0.59463977576428573</v>
      </c>
      <c r="O65" s="19">
        <f t="shared" si="17"/>
        <v>0.77491501320983591</v>
      </c>
      <c r="P65" s="19">
        <f t="shared" si="7"/>
        <v>-4.5149208795074856</v>
      </c>
      <c r="Q65" s="19">
        <f t="shared" si="8"/>
        <v>-2.2149185000130043</v>
      </c>
      <c r="R65" s="18">
        <f t="shared" si="18"/>
        <v>-4.5149208795074856</v>
      </c>
      <c r="S65" s="18">
        <f t="shared" si="19"/>
        <v>-2.2149185000130043</v>
      </c>
      <c r="T65" s="17">
        <f t="shared" si="9"/>
        <v>0.31995574206086574</v>
      </c>
      <c r="V65" s="17">
        <f t="shared" si="20"/>
        <v>17.989898</v>
      </c>
      <c r="W65" s="17">
        <f t="shared" si="10"/>
        <v>0.31995574206086574</v>
      </c>
      <c r="X65" s="17">
        <f t="shared" si="11"/>
        <v>3.9338831992480179</v>
      </c>
      <c r="Z65" s="21">
        <f t="shared" si="12"/>
        <v>17.989898</v>
      </c>
      <c r="AA65" s="20">
        <f t="shared" si="13"/>
        <v>0.29690799995967676</v>
      </c>
    </row>
    <row r="66" spans="1:27" x14ac:dyDescent="0.25">
      <c r="A66" s="16">
        <v>18282828</v>
      </c>
      <c r="B66" s="16" t="str">
        <f>COMPLEX(0.469604,0.36881)</f>
        <v>0.469604+0.36881i</v>
      </c>
      <c r="C66" s="16" t="str">
        <f>COMPLEX(0.54537,-0.550115)</f>
        <v>0.54537-0.550115i</v>
      </c>
      <c r="D66" s="16" t="str">
        <f>COMPLEX(0.54537,-0.550115)</f>
        <v>0.54537-0.550115i</v>
      </c>
      <c r="E66" s="16" t="str">
        <f>COMPLEX(0.469604,0.36881)</f>
        <v>0.469604+0.36881i</v>
      </c>
      <c r="G66" s="16" t="str">
        <f t="shared" si="14"/>
        <v>77.089439914976+88.371436313702i</v>
      </c>
      <c r="H66" s="16" t="str">
        <f t="shared" si="15"/>
        <v>77.089439914976+88.371436313702i</v>
      </c>
      <c r="N66" s="19">
        <f t="shared" si="16"/>
        <v>0.59711701777457327</v>
      </c>
      <c r="O66" s="19">
        <f t="shared" si="17"/>
        <v>0.77463213858256619</v>
      </c>
      <c r="P66" s="19">
        <f t="shared" si="7"/>
        <v>-4.4788110258612051</v>
      </c>
      <c r="Q66" s="19">
        <f t="shared" si="8"/>
        <v>-2.2180897721079846</v>
      </c>
      <c r="R66" s="18">
        <f t="shared" si="18"/>
        <v>-4.4788110258612051</v>
      </c>
      <c r="S66" s="18">
        <f t="shared" si="19"/>
        <v>-2.2180897721079846</v>
      </c>
      <c r="T66" s="17">
        <f t="shared" si="9"/>
        <v>0.30324637638541091</v>
      </c>
      <c r="V66" s="17">
        <f t="shared" si="20"/>
        <v>18.282827999999999</v>
      </c>
      <c r="W66" s="17">
        <f t="shared" si="10"/>
        <v>0.30324637638541091</v>
      </c>
      <c r="X66" s="17">
        <f t="shared" si="11"/>
        <v>3.9642206006133365</v>
      </c>
      <c r="Z66" s="21">
        <f t="shared" si="12"/>
        <v>18.282827999999999</v>
      </c>
      <c r="AA66" s="20">
        <f t="shared" si="13"/>
        <v>0.29660974425793274</v>
      </c>
    </row>
    <row r="67" spans="1:27" x14ac:dyDescent="0.25">
      <c r="A67" s="16">
        <v>18575757</v>
      </c>
      <c r="B67" s="16" t="str">
        <f>COMPLEX(0.475016,0.363499)</f>
        <v>0.475016+0.363499i</v>
      </c>
      <c r="C67" s="16" t="str">
        <f>COMPLEX(0.53932,-0.550026)</f>
        <v>0.53932-0.550026i</v>
      </c>
      <c r="D67" s="16" t="str">
        <f>COMPLEX(0.53932,-0.550026)</f>
        <v>0.53932-0.550026i</v>
      </c>
      <c r="E67" s="16" t="str">
        <f>COMPLEX(0.475016,0.363499)</f>
        <v>0.475016+0.363499i</v>
      </c>
      <c r="G67" s="16" t="str">
        <f t="shared" si="14"/>
        <v>78.7546859075835+89.149763750363i</v>
      </c>
      <c r="H67" s="16" t="str">
        <f t="shared" si="15"/>
        <v>78.7546859075835+89.149763750363i</v>
      </c>
      <c r="N67" s="19">
        <f t="shared" si="16"/>
        <v>0.59814022039735804</v>
      </c>
      <c r="O67" s="19">
        <f t="shared" si="17"/>
        <v>0.77032114282031749</v>
      </c>
      <c r="P67" s="19">
        <f t="shared" si="7"/>
        <v>-4.4639398718601502</v>
      </c>
      <c r="Q67" s="19">
        <f t="shared" si="8"/>
        <v>-2.2665636399670732</v>
      </c>
      <c r="R67" s="18">
        <f t="shared" si="18"/>
        <v>-4.4639398718601502</v>
      </c>
      <c r="S67" s="18">
        <f t="shared" si="19"/>
        <v>-2.2665636399670732</v>
      </c>
      <c r="T67" s="17">
        <f t="shared" si="9"/>
        <v>0.34345787250079246</v>
      </c>
      <c r="V67" s="17">
        <f t="shared" si="20"/>
        <v>18.575756999999999</v>
      </c>
      <c r="W67" s="17">
        <f t="shared" si="10"/>
        <v>0.34345787250079246</v>
      </c>
      <c r="X67" s="17">
        <f t="shared" si="11"/>
        <v>3.9768603416286035</v>
      </c>
      <c r="Z67" s="21">
        <f t="shared" si="12"/>
        <v>18.575756999999999</v>
      </c>
      <c r="AA67" s="20">
        <f t="shared" si="13"/>
        <v>0.29617419750156071</v>
      </c>
    </row>
    <row r="68" spans="1:27" x14ac:dyDescent="0.25">
      <c r="A68" s="16">
        <v>18868686</v>
      </c>
      <c r="B68" s="16" t="str">
        <f>COMPLEX(0.487761,0.364601)</f>
        <v>0.487761+0.364601i</v>
      </c>
      <c r="C68" s="16" t="str">
        <f>COMPLEX(0.532212,-0.554685)</f>
        <v>0.532212-0.554685i</v>
      </c>
      <c r="D68" s="16" t="str">
        <f>COMPLEX(0.532212,-0.554685)</f>
        <v>0.532212-0.554685i</v>
      </c>
      <c r="E68" s="16" t="str">
        <f>COMPLEX(0.487761,0.364601)</f>
        <v>0.487761+0.364601i</v>
      </c>
      <c r="G68" s="16" t="str">
        <f t="shared" si="14"/>
        <v>79.5749075138495+92.2287074089575i</v>
      </c>
      <c r="H68" s="16" t="str">
        <f t="shared" si="15"/>
        <v>79.5749075138495+92.2287074089575i</v>
      </c>
      <c r="N68" s="19">
        <f t="shared" si="16"/>
        <v>0.60897018180038998</v>
      </c>
      <c r="O68" s="19">
        <f t="shared" si="17"/>
        <v>0.76871650311997342</v>
      </c>
      <c r="P68" s="19">
        <f t="shared" si="7"/>
        <v>-4.3080794411550025</v>
      </c>
      <c r="Q68" s="19">
        <f t="shared" si="8"/>
        <v>-2.2846759043853364</v>
      </c>
      <c r="R68" s="18">
        <f t="shared" si="18"/>
        <v>-4.3080794411550025</v>
      </c>
      <c r="S68" s="18">
        <f t="shared" si="19"/>
        <v>-2.2846759043853364</v>
      </c>
      <c r="T68" s="17">
        <f t="shared" si="9"/>
        <v>0.27225462090125957</v>
      </c>
      <c r="V68" s="17">
        <f t="shared" si="20"/>
        <v>18.868686</v>
      </c>
      <c r="W68" s="17">
        <f t="shared" si="10"/>
        <v>0.27225462090125957</v>
      </c>
      <c r="X68" s="17">
        <f t="shared" si="11"/>
        <v>4.1146994600269968</v>
      </c>
      <c r="Z68" s="21">
        <f t="shared" si="12"/>
        <v>18.868686</v>
      </c>
      <c r="AA68" s="20">
        <f t="shared" si="13"/>
        <v>0.29560135890672318</v>
      </c>
    </row>
    <row r="69" spans="1:27" x14ac:dyDescent="0.25">
      <c r="A69" s="16">
        <v>19161616</v>
      </c>
      <c r="B69" s="16" t="str">
        <f>COMPLEX(0.494734,0.362438)</f>
        <v>0.494734+0.362438i</v>
      </c>
      <c r="C69" s="16" t="str">
        <f>COMPLEX(0.525361,-0.549102)</f>
        <v>0.525361-0.549102i</v>
      </c>
      <c r="D69" s="16" t="str">
        <f>COMPLEX(0.525361,-0.549102)</f>
        <v>0.525361-0.549102i</v>
      </c>
      <c r="E69" s="16" t="str">
        <f>COMPLEX(0.494734,0.362438)</f>
        <v>0.494734+0.362438i</v>
      </c>
      <c r="G69" s="16" t="str">
        <f t="shared" si="14"/>
        <v>80.6761725015955+93.736785394492i</v>
      </c>
      <c r="H69" s="16" t="str">
        <f t="shared" si="15"/>
        <v>80.6761725015955+93.736785394492i</v>
      </c>
      <c r="N69" s="19">
        <f t="shared" si="16"/>
        <v>0.61328870411903069</v>
      </c>
      <c r="O69" s="19">
        <f t="shared" si="17"/>
        <v>0.75994551562924562</v>
      </c>
      <c r="P69" s="19">
        <f t="shared" si="7"/>
        <v>-4.2467006861605006</v>
      </c>
      <c r="Q69" s="19">
        <f t="shared" si="8"/>
        <v>-2.3843508677995007</v>
      </c>
      <c r="R69" s="18">
        <f t="shared" si="18"/>
        <v>-4.2467006861605006</v>
      </c>
      <c r="S69" s="18">
        <f t="shared" si="19"/>
        <v>-2.3843508677995007</v>
      </c>
      <c r="T69" s="17">
        <f t="shared" si="9"/>
        <v>0.33534037814465889</v>
      </c>
      <c r="V69" s="17">
        <f t="shared" si="20"/>
        <v>19.161615999999999</v>
      </c>
      <c r="W69" s="17">
        <f t="shared" si="10"/>
        <v>0.33534037814465889</v>
      </c>
      <c r="X69" s="17">
        <f t="shared" si="11"/>
        <v>4.1718168600267758</v>
      </c>
      <c r="Z69" s="21">
        <f t="shared" si="12"/>
        <v>19.161615999999999</v>
      </c>
      <c r="AA69" s="20">
        <f t="shared" si="13"/>
        <v>0.29489122581483523</v>
      </c>
    </row>
    <row r="70" spans="1:27" x14ac:dyDescent="0.25">
      <c r="A70" s="16">
        <v>19454545</v>
      </c>
      <c r="B70" s="16" t="str">
        <f>COMPLEX(0.502883,0.360272)</f>
        <v>0.502883+0.360272i</v>
      </c>
      <c r="C70" s="16" t="str">
        <f>COMPLEX(0.520501,-0.550858)</f>
        <v>0.520501-0.550858i</v>
      </c>
      <c r="D70" s="16" t="str">
        <f>COMPLEX(0.520501,-0.550858)</f>
        <v>0.520501-0.550858i</v>
      </c>
      <c r="E70" s="16" t="str">
        <f>COMPLEX(0.502883,0.360272)</f>
        <v>0.502883+0.360272i</v>
      </c>
      <c r="G70" s="16" t="str">
        <f t="shared" si="14"/>
        <v>81.8888314428005+95.5828368001105i</v>
      </c>
      <c r="H70" s="16" t="str">
        <f t="shared" si="15"/>
        <v>81.8888314428005+95.5828368001105i</v>
      </c>
      <c r="N70" s="19">
        <f t="shared" si="16"/>
        <v>0.61861718831034751</v>
      </c>
      <c r="O70" s="19">
        <f t="shared" si="17"/>
        <v>0.75786926785890985</v>
      </c>
      <c r="P70" s="19">
        <f t="shared" si="7"/>
        <v>-4.1715603454142673</v>
      </c>
      <c r="Q70" s="19">
        <f t="shared" si="8"/>
        <v>-2.4081140705816502</v>
      </c>
      <c r="R70" s="18">
        <f t="shared" si="18"/>
        <v>-4.1715603454142673</v>
      </c>
      <c r="S70" s="18">
        <f t="shared" si="19"/>
        <v>-2.4081140705816502</v>
      </c>
      <c r="T70" s="17">
        <f t="shared" si="9"/>
        <v>0.31316671166573784</v>
      </c>
      <c r="V70" s="17">
        <f t="shared" si="20"/>
        <v>19.454545</v>
      </c>
      <c r="W70" s="17">
        <f t="shared" si="10"/>
        <v>0.31316671166573784</v>
      </c>
      <c r="X70" s="17">
        <f t="shared" si="11"/>
        <v>4.2440748211471195</v>
      </c>
      <c r="Z70" s="21">
        <f t="shared" si="12"/>
        <v>19.454545</v>
      </c>
      <c r="AA70" s="20">
        <f t="shared" si="13"/>
        <v>0.29404380307438005</v>
      </c>
    </row>
    <row r="71" spans="1:27" x14ac:dyDescent="0.25">
      <c r="A71" s="16">
        <v>19747474</v>
      </c>
      <c r="B71" s="16" t="str">
        <f>COMPLEX(0.510992,0.357187)</f>
        <v>0.510992+0.357187i</v>
      </c>
      <c r="C71" s="16" t="str">
        <f>COMPLEX(0.516114,-0.549847)</f>
        <v>0.516114-0.549847i</v>
      </c>
      <c r="D71" s="16" t="str">
        <f>COMPLEX(0.516114,-0.549847)</f>
        <v>0.516114-0.549847i</v>
      </c>
      <c r="E71" s="16" t="str">
        <f>COMPLEX(0.510992,0.357187)</f>
        <v>0.510992+0.357187i</v>
      </c>
      <c r="G71" s="16" t="str">
        <f t="shared" ref="G71:G106" si="21">IMPRODUCT($B$4,(IMDIV(IMSUM($E$4,$B71),IMSUB($E$4,$B71))))</f>
        <v>83.3495578884085+97.4027593280415i</v>
      </c>
      <c r="H71" s="16" t="str">
        <f t="shared" ref="H71:H106" si="22">IMPRODUCT($B$4,(IMDIV(IMSUM($E$4,$E71),IMSUB($E$4,$E71))))</f>
        <v>83.3495578884085+97.4027593280415i</v>
      </c>
      <c r="N71" s="19">
        <f t="shared" ref="N71:N106" si="23">IMABS(B71)</f>
        <v>0.62345439049941731</v>
      </c>
      <c r="O71" s="19">
        <f t="shared" ref="O71:O106" si="24">IMABS(C71)</f>
        <v>0.75412557601834451</v>
      </c>
      <c r="P71" s="19">
        <f t="shared" si="7"/>
        <v>-4.1039062464014497</v>
      </c>
      <c r="Q71" s="19">
        <f t="shared" si="8"/>
        <v>-2.4511265990272979</v>
      </c>
      <c r="R71" s="18">
        <f t="shared" ref="R71:R106" si="25">20*LOG(N71)</f>
        <v>-4.1039062464014497</v>
      </c>
      <c r="S71" s="18">
        <f t="shared" ref="S71:S106" si="26">20*LOG(O71)</f>
        <v>-2.4511265990272979</v>
      </c>
      <c r="T71" s="17">
        <f t="shared" si="9"/>
        <v>0.31370340039747735</v>
      </c>
      <c r="V71" s="17">
        <f t="shared" ref="V71:V106" si="27">A71/1000000</f>
        <v>19.747474</v>
      </c>
      <c r="W71" s="17">
        <f t="shared" si="10"/>
        <v>0.31370340039747735</v>
      </c>
      <c r="X71" s="17">
        <f t="shared" si="11"/>
        <v>4.3114415612297963</v>
      </c>
      <c r="Z71" s="21">
        <f t="shared" si="12"/>
        <v>19.747474</v>
      </c>
      <c r="AA71" s="20">
        <f t="shared" si="13"/>
        <v>0.29305908849545914</v>
      </c>
    </row>
    <row r="72" spans="1:27" x14ac:dyDescent="0.25">
      <c r="A72" s="16">
        <v>20040404</v>
      </c>
      <c r="B72" s="16" t="str">
        <f>COMPLEX(0.519398,0.35528)</f>
        <v>0.519398+0.35528i</v>
      </c>
      <c r="C72" s="16" t="str">
        <f>COMPLEX(0.510757,-0.552017)</f>
        <v>0.510757-0.552017i</v>
      </c>
      <c r="D72" s="16" t="str">
        <f>COMPLEX(0.510757,-0.552017)</f>
        <v>0.510757-0.552017i</v>
      </c>
      <c r="E72" s="16" t="str">
        <f>COMPLEX(0.519398,0.35528)</f>
        <v>0.519398+0.35528i</v>
      </c>
      <c r="G72" s="16" t="str">
        <f t="shared" si="21"/>
        <v>84.546218566609+99.4618843291225i</v>
      </c>
      <c r="H72" s="16" t="str">
        <f t="shared" si="22"/>
        <v>84.546218566609+99.4618843291225i</v>
      </c>
      <c r="N72" s="19">
        <f t="shared" si="23"/>
        <v>0.62928384756324385</v>
      </c>
      <c r="O72" s="19">
        <f t="shared" si="24"/>
        <v>0.7520608228979887</v>
      </c>
      <c r="P72" s="19">
        <f t="shared" ref="P72:P106" si="28">20*LOG(N72)</f>
        <v>-4.0230683113137875</v>
      </c>
      <c r="Q72" s="19">
        <f t="shared" ref="Q72:Q106" si="29">20*LOG(O72)</f>
        <v>-2.4749406886782483</v>
      </c>
      <c r="R72" s="18">
        <f t="shared" si="25"/>
        <v>-4.0230683113137875</v>
      </c>
      <c r="S72" s="18">
        <f t="shared" si="26"/>
        <v>-2.4749406886782483</v>
      </c>
      <c r="T72" s="17">
        <f t="shared" ref="T72:T106" si="30">-10*LOG(O72^2/(1-N72^2))</f>
        <v>0.28532329925145106</v>
      </c>
      <c r="V72" s="17">
        <f t="shared" si="27"/>
        <v>20.040403999999999</v>
      </c>
      <c r="W72" s="17">
        <f t="shared" ref="W72:W106" si="31">T72</f>
        <v>0.28532329925145106</v>
      </c>
      <c r="X72" s="17">
        <f t="shared" ref="X72:X106" si="32">(1+N72)/(1-N72)</f>
        <v>4.3949631998870027</v>
      </c>
      <c r="Z72" s="21">
        <f t="shared" ref="Z72:Z106" si="33">V72</f>
        <v>20.040403999999999</v>
      </c>
      <c r="AA72" s="20">
        <f t="shared" ref="AA72:AA106" si="34">-0.0008*Z72^2+0.028*Z72+0.0521</f>
        <v>0.29193707801342716</v>
      </c>
    </row>
    <row r="73" spans="1:27" x14ac:dyDescent="0.25">
      <c r="A73" s="16">
        <v>20333333</v>
      </c>
      <c r="B73" s="16" t="str">
        <f>COMPLEX(0.526395,0.351804)</f>
        <v>0.526395+0.351804i</v>
      </c>
      <c r="C73" s="16" t="str">
        <f>COMPLEX(0.50329,-0.552079)</f>
        <v>0.50329-0.552079i</v>
      </c>
      <c r="D73" s="16" t="str">
        <f>COMPLEX(0.50329,-0.552079)</f>
        <v>0.50329-0.552079i</v>
      </c>
      <c r="E73" s="16" t="str">
        <f>COMPLEX(0.526395,0.351804)</f>
        <v>0.526395+0.351804i</v>
      </c>
      <c r="G73" s="16" t="str">
        <f t="shared" si="21"/>
        <v>86.0669005962045+101.073425950628i</v>
      </c>
      <c r="H73" s="16" t="str">
        <f t="shared" si="22"/>
        <v>86.0669005962045+101.073425950628i</v>
      </c>
      <c r="N73" s="19">
        <f t="shared" si="23"/>
        <v>0.63313328015592418</v>
      </c>
      <c r="O73" s="19">
        <f t="shared" si="24"/>
        <v>0.7470555845055975</v>
      </c>
      <c r="P73" s="19">
        <f t="shared" si="28"/>
        <v>-3.9700971505719185</v>
      </c>
      <c r="Q73" s="19">
        <f t="shared" si="29"/>
        <v>-2.532941667949836</v>
      </c>
      <c r="R73" s="18">
        <f t="shared" si="25"/>
        <v>-3.9700971505719185</v>
      </c>
      <c r="S73" s="18">
        <f t="shared" si="26"/>
        <v>-2.532941667949836</v>
      </c>
      <c r="T73" s="17">
        <f t="shared" si="30"/>
        <v>0.30824112496806289</v>
      </c>
      <c r="V73" s="17">
        <f t="shared" si="27"/>
        <v>20.333333</v>
      </c>
      <c r="W73" s="17">
        <f t="shared" si="31"/>
        <v>0.30824112496806289</v>
      </c>
      <c r="X73" s="17">
        <f t="shared" si="32"/>
        <v>4.4515710796826484</v>
      </c>
      <c r="Z73" s="21">
        <f t="shared" si="33"/>
        <v>20.333333</v>
      </c>
      <c r="AA73" s="20">
        <f t="shared" si="34"/>
        <v>0.29067777928888883</v>
      </c>
    </row>
    <row r="74" spans="1:27" x14ac:dyDescent="0.25">
      <c r="A74" s="16">
        <v>20626262</v>
      </c>
      <c r="B74" s="16" t="str">
        <f>COMPLEX(0.53356,0.351644)</f>
        <v>0.53356+0.351644i</v>
      </c>
      <c r="C74" s="16" t="str">
        <f>COMPLEX(0.500331,-0.552988)</f>
        <v>0.500331-0.552988i</v>
      </c>
      <c r="D74" s="16" t="str">
        <f>COMPLEX(0.500331,-0.552988)</f>
        <v>0.500331-0.552988i</v>
      </c>
      <c r="E74" s="16" t="str">
        <f>COMPLEX(0.53356,0.351644)</f>
        <v>0.53356+0.351644i</v>
      </c>
      <c r="G74" s="16" t="str">
        <f t="shared" si="21"/>
        <v>86.6978212718525+103.054988129918i</v>
      </c>
      <c r="H74" s="16" t="str">
        <f t="shared" si="22"/>
        <v>86.6978212718525+103.054988129918i</v>
      </c>
      <c r="N74" s="19">
        <f t="shared" si="23"/>
        <v>0.63901469179980519</v>
      </c>
      <c r="O74" s="19">
        <f t="shared" si="24"/>
        <v>0.74573912174767931</v>
      </c>
      <c r="P74" s="19">
        <f t="shared" si="28"/>
        <v>-3.8897831343520224</v>
      </c>
      <c r="Q74" s="19">
        <f t="shared" si="29"/>
        <v>-2.5482614612801284</v>
      </c>
      <c r="R74" s="18">
        <f t="shared" si="25"/>
        <v>-3.8897831343520224</v>
      </c>
      <c r="S74" s="18">
        <f t="shared" si="26"/>
        <v>-2.5482614612801284</v>
      </c>
      <c r="T74" s="17">
        <f t="shared" si="30"/>
        <v>0.26898519488352629</v>
      </c>
      <c r="V74" s="17">
        <f t="shared" si="27"/>
        <v>20.626262000000001</v>
      </c>
      <c r="W74" s="17">
        <f t="shared" si="31"/>
        <v>0.26898519488352629</v>
      </c>
      <c r="X74" s="17">
        <f t="shared" si="32"/>
        <v>4.5403916851121329</v>
      </c>
      <c r="Z74" s="21">
        <f t="shared" si="33"/>
        <v>20.626262000000001</v>
      </c>
      <c r="AA74" s="20">
        <f t="shared" si="34"/>
        <v>0.28928118872588482</v>
      </c>
    </row>
    <row r="75" spans="1:27" x14ac:dyDescent="0.25">
      <c r="A75" s="16">
        <v>20919191</v>
      </c>
      <c r="B75" s="16" t="str">
        <f>COMPLEX(0.538189,0.352694)</f>
        <v>0.538189+0.352694i</v>
      </c>
      <c r="C75" s="16" t="str">
        <f>COMPLEX(0.493886,-0.554942)</f>
        <v>0.493886-0.554942i</v>
      </c>
      <c r="D75" s="16" t="str">
        <f>COMPLEX(0.493886,-0.554942)</f>
        <v>0.493886-0.554942i</v>
      </c>
      <c r="E75" s="16" t="str">
        <f>COMPLEX(0.538189,0.352694)</f>
        <v>0.538189+0.352694i</v>
      </c>
      <c r="G75" s="16" t="str">
        <f t="shared" si="21"/>
        <v>86.7670553649205+104.451647589329i</v>
      </c>
      <c r="H75" s="16" t="str">
        <f t="shared" si="22"/>
        <v>86.7670553649205+104.451647589329i</v>
      </c>
      <c r="N75" s="19">
        <f t="shared" si="23"/>
        <v>0.64345975581772008</v>
      </c>
      <c r="O75" s="19">
        <f t="shared" si="24"/>
        <v>0.74288895829726798</v>
      </c>
      <c r="P75" s="19">
        <f t="shared" si="28"/>
        <v>-3.8295722035630826</v>
      </c>
      <c r="Q75" s="19">
        <f t="shared" si="29"/>
        <v>-2.5815219321297129</v>
      </c>
      <c r="R75" s="18">
        <f t="shared" si="25"/>
        <v>-3.8295722035630826</v>
      </c>
      <c r="S75" s="18">
        <f t="shared" si="26"/>
        <v>-2.5815219321297129</v>
      </c>
      <c r="T75" s="17">
        <f t="shared" si="30"/>
        <v>0.26019824566463623</v>
      </c>
      <c r="V75" s="17">
        <f t="shared" si="27"/>
        <v>20.919191000000001</v>
      </c>
      <c r="W75" s="17">
        <f t="shared" si="31"/>
        <v>0.26019824566463623</v>
      </c>
      <c r="X75" s="17">
        <f t="shared" si="32"/>
        <v>4.6094649415719449</v>
      </c>
      <c r="Z75" s="21">
        <f t="shared" si="33"/>
        <v>20.919191000000001</v>
      </c>
      <c r="AA75" s="20">
        <f t="shared" si="34"/>
        <v>0.28774730632441525</v>
      </c>
    </row>
    <row r="76" spans="1:27" x14ac:dyDescent="0.25">
      <c r="A76" s="16">
        <v>21212121</v>
      </c>
      <c r="B76" s="16" t="str">
        <f>COMPLEX(0.54886,0.345901)</f>
        <v>0.54886+0.345901i</v>
      </c>
      <c r="C76" s="16" t="str">
        <f>COMPLEX(0.487304,-0.555897)</f>
        <v>0.487304-0.555897i</v>
      </c>
      <c r="D76" s="16" t="str">
        <f>COMPLEX(0.487304,-0.555897)</f>
        <v>0.487304-0.555897i</v>
      </c>
      <c r="E76" s="16" t="str">
        <f>COMPLEX(0.54886,0.345901)</f>
        <v>0.54886+0.345901i</v>
      </c>
      <c r="G76" s="16" t="str">
        <f t="shared" si="21"/>
        <v>89.596279797885+107.032169123483i</v>
      </c>
      <c r="H76" s="16" t="str">
        <f t="shared" si="22"/>
        <v>89.596279797885+107.032169123483i</v>
      </c>
      <c r="N76" s="19">
        <f t="shared" si="23"/>
        <v>0.64876405680416671</v>
      </c>
      <c r="O76" s="19">
        <f t="shared" si="24"/>
        <v>0.73924736254179491</v>
      </c>
      <c r="P76" s="19">
        <f t="shared" si="28"/>
        <v>-3.7582643832135791</v>
      </c>
      <c r="Q76" s="19">
        <f t="shared" si="29"/>
        <v>-2.6242043251633889</v>
      </c>
      <c r="R76" s="18">
        <f t="shared" si="25"/>
        <v>-3.7582643832135791</v>
      </c>
      <c r="S76" s="18">
        <f t="shared" si="26"/>
        <v>-2.6242043251633889</v>
      </c>
      <c r="T76" s="17">
        <f t="shared" si="30"/>
        <v>0.25177896107501729</v>
      </c>
      <c r="V76" s="17">
        <f t="shared" si="27"/>
        <v>21.212121</v>
      </c>
      <c r="W76" s="17">
        <f t="shared" si="31"/>
        <v>0.25177896107501729</v>
      </c>
      <c r="X76" s="17">
        <f t="shared" si="32"/>
        <v>4.6941780553617498</v>
      </c>
      <c r="Z76" s="21">
        <f t="shared" si="33"/>
        <v>21.212121</v>
      </c>
      <c r="AA76" s="20">
        <f t="shared" si="34"/>
        <v>0.28607612614508715</v>
      </c>
    </row>
    <row r="77" spans="1:27" x14ac:dyDescent="0.25">
      <c r="A77" s="16">
        <v>21505050</v>
      </c>
      <c r="B77" s="16" t="str">
        <f>COMPLEX(0.554364,0.342777)</f>
        <v>0.554364+0.342777i</v>
      </c>
      <c r="C77" s="16" t="str">
        <f>COMPLEX(0.481111,-0.556486)</f>
        <v>0.481111-0.556486i</v>
      </c>
      <c r="D77" s="16" t="str">
        <f>COMPLEX(0.481111,-0.556486)</f>
        <v>0.481111-0.556486i</v>
      </c>
      <c r="E77" s="16" t="str">
        <f>COMPLEX(0.554364,0.342777)</f>
        <v>0.554364+0.342777i</v>
      </c>
      <c r="G77" s="16" t="str">
        <f t="shared" si="21"/>
        <v>90.9850048246715+108.443700685731i</v>
      </c>
      <c r="H77" s="16" t="str">
        <f t="shared" si="22"/>
        <v>90.9850048246715+108.443700685731i</v>
      </c>
      <c r="N77" s="19">
        <f t="shared" si="23"/>
        <v>0.65177873256573815</v>
      </c>
      <c r="O77" s="19">
        <f t="shared" si="24"/>
        <v>0.73562521878807297</v>
      </c>
      <c r="P77" s="19">
        <f t="shared" si="28"/>
        <v>-3.717996291962828</v>
      </c>
      <c r="Q77" s="19">
        <f t="shared" si="29"/>
        <v>-2.6668678129107732</v>
      </c>
      <c r="R77" s="18">
        <f t="shared" si="25"/>
        <v>-3.717996291962828</v>
      </c>
      <c r="S77" s="18">
        <f t="shared" si="26"/>
        <v>-2.6668678129107732</v>
      </c>
      <c r="T77" s="17">
        <f t="shared" si="30"/>
        <v>0.26493943259458186</v>
      </c>
      <c r="V77" s="17">
        <f t="shared" si="27"/>
        <v>21.505050000000001</v>
      </c>
      <c r="W77" s="17">
        <f t="shared" si="31"/>
        <v>0.26493943259458186</v>
      </c>
      <c r="X77" s="17">
        <f t="shared" si="32"/>
        <v>4.7434745865358874</v>
      </c>
      <c r="Z77" s="21">
        <f t="shared" si="33"/>
        <v>21.505050000000001</v>
      </c>
      <c r="AA77" s="20">
        <f t="shared" si="34"/>
        <v>0.28426765959799999</v>
      </c>
    </row>
    <row r="78" spans="1:27" x14ac:dyDescent="0.25">
      <c r="A78" s="16">
        <v>21797979</v>
      </c>
      <c r="B78" s="16" t="str">
        <f>COMPLEX(0.560991,0.34152)</f>
        <v>0.560991+0.34152i</v>
      </c>
      <c r="C78" s="16" t="str">
        <f>COMPLEX(0.477477,-0.559606)</f>
        <v>0.477477-0.559606i</v>
      </c>
      <c r="D78" s="16" t="str">
        <f>COMPLEX(0.477477,-0.559606)</f>
        <v>0.477477-0.559606i</v>
      </c>
      <c r="E78" s="16" t="str">
        <f>COMPLEX(0.560991,0.34152)</f>
        <v>0.560991+0.34152i</v>
      </c>
      <c r="G78" s="16" t="str">
        <f t="shared" si="21"/>
        <v>91.906571881688+110.393938231413i</v>
      </c>
      <c r="H78" s="16" t="str">
        <f t="shared" si="22"/>
        <v>91.906571881688+110.393938231413i</v>
      </c>
      <c r="N78" s="19">
        <f t="shared" si="23"/>
        <v>0.65676998445498402</v>
      </c>
      <c r="O78" s="19">
        <f t="shared" si="24"/>
        <v>0.73562433399460081</v>
      </c>
      <c r="P78" s="19">
        <f t="shared" si="28"/>
        <v>-3.6517340691560469</v>
      </c>
      <c r="Q78" s="19">
        <f t="shared" si="29"/>
        <v>-2.6668782601098044</v>
      </c>
      <c r="R78" s="18">
        <f t="shared" si="25"/>
        <v>-3.6517340691560469</v>
      </c>
      <c r="S78" s="18">
        <f t="shared" si="26"/>
        <v>-2.6668782601098044</v>
      </c>
      <c r="T78" s="17">
        <f t="shared" si="30"/>
        <v>0.21535303886893647</v>
      </c>
      <c r="V78" s="17">
        <f t="shared" si="27"/>
        <v>21.797979000000002</v>
      </c>
      <c r="W78" s="17">
        <f t="shared" si="31"/>
        <v>0.21535303886893647</v>
      </c>
      <c r="X78" s="17">
        <f t="shared" si="32"/>
        <v>4.8269962107602797</v>
      </c>
      <c r="Z78" s="21">
        <f t="shared" si="33"/>
        <v>21.797979000000002</v>
      </c>
      <c r="AA78" s="20">
        <f t="shared" si="34"/>
        <v>0.28232190121244716</v>
      </c>
    </row>
    <row r="79" spans="1:27" x14ac:dyDescent="0.25">
      <c r="A79" s="16">
        <v>22090909</v>
      </c>
      <c r="B79" s="16" t="str">
        <f>COMPLEX(0.566338,0.338189)</f>
        <v>0.566338+0.338189i</v>
      </c>
      <c r="C79" s="16" t="str">
        <f>COMPLEX(0.470488,-0.556376)</f>
        <v>0.470488-0.556376i</v>
      </c>
      <c r="D79" s="16" t="str">
        <f>COMPLEX(0.470488,-0.556376)</f>
        <v>0.470488-0.556376i</v>
      </c>
      <c r="E79" s="16" t="str">
        <f>COMPLEX(0.566338,0.338189)</f>
        <v>0.566338+0.338189i</v>
      </c>
      <c r="G79" s="16" t="str">
        <f t="shared" si="21"/>
        <v>93.3903728024+111.822218196823i</v>
      </c>
      <c r="H79" s="16" t="str">
        <f t="shared" si="22"/>
        <v>93.3903728024+111.822218196823i</v>
      </c>
      <c r="N79" s="19">
        <f t="shared" si="23"/>
        <v>0.65962908514179397</v>
      </c>
      <c r="O79" s="19">
        <f t="shared" si="24"/>
        <v>0.72863791523636767</v>
      </c>
      <c r="P79" s="19">
        <f t="shared" si="28"/>
        <v>-3.614004063640111</v>
      </c>
      <c r="Q79" s="19">
        <f t="shared" si="29"/>
        <v>-2.7497646731500582</v>
      </c>
      <c r="R79" s="18">
        <f t="shared" si="25"/>
        <v>-3.614004063640111</v>
      </c>
      <c r="S79" s="18">
        <f t="shared" si="26"/>
        <v>-2.7497646731500582</v>
      </c>
      <c r="T79" s="17">
        <f t="shared" si="30"/>
        <v>0.26939946550683391</v>
      </c>
      <c r="V79" s="17">
        <f t="shared" si="27"/>
        <v>22.090909</v>
      </c>
      <c r="W79" s="17">
        <f t="shared" si="31"/>
        <v>0.26939946550683391</v>
      </c>
      <c r="X79" s="17">
        <f t="shared" si="32"/>
        <v>4.8759427221717022</v>
      </c>
      <c r="Z79" s="21">
        <f t="shared" si="33"/>
        <v>22.090909</v>
      </c>
      <c r="AA79" s="20">
        <f t="shared" si="34"/>
        <v>0.28023884364297519</v>
      </c>
    </row>
    <row r="80" spans="1:27" x14ac:dyDescent="0.25">
      <c r="A80" s="16">
        <v>22383838</v>
      </c>
      <c r="B80" s="16" t="str">
        <f>COMPLEX(0.573847,0.335795)</f>
        <v>0.573847+0.335795i</v>
      </c>
      <c r="C80" s="16" t="str">
        <f>COMPLEX(0.461273,-0.55764)</f>
        <v>0.461273-0.55764i</v>
      </c>
      <c r="D80" s="16" t="str">
        <f>COMPLEX(0.461273,-0.55764)</f>
        <v>0.461273-0.55764i</v>
      </c>
      <c r="E80" s="16" t="str">
        <f>COMPLEX(0.573847,0.335795)</f>
        <v>0.573847+0.335795i</v>
      </c>
      <c r="G80" s="16" t="str">
        <f t="shared" si="21"/>
        <v>94.770434713186+114.074494663922i</v>
      </c>
      <c r="H80" s="16" t="str">
        <f t="shared" si="22"/>
        <v>94.770434713186+114.074494663922i</v>
      </c>
      <c r="N80" s="19">
        <f t="shared" si="23"/>
        <v>0.66487492164616957</v>
      </c>
      <c r="O80" s="19">
        <f t="shared" si="24"/>
        <v>0.72369548162815001</v>
      </c>
      <c r="P80" s="19">
        <f t="shared" si="28"/>
        <v>-3.5452009570373648</v>
      </c>
      <c r="Q80" s="19">
        <f t="shared" si="29"/>
        <v>-2.8088827774108744</v>
      </c>
      <c r="R80" s="18">
        <f t="shared" si="25"/>
        <v>-3.5452009570373648</v>
      </c>
      <c r="S80" s="18">
        <f t="shared" si="26"/>
        <v>-2.8088827774108744</v>
      </c>
      <c r="T80" s="17">
        <f t="shared" si="30"/>
        <v>0.27476817760531713</v>
      </c>
      <c r="V80" s="17">
        <f t="shared" si="27"/>
        <v>22.383838000000001</v>
      </c>
      <c r="W80" s="17">
        <f t="shared" si="31"/>
        <v>0.27476817760531713</v>
      </c>
      <c r="X80" s="17">
        <f t="shared" si="32"/>
        <v>4.9679210216800547</v>
      </c>
      <c r="Z80" s="21">
        <f t="shared" si="33"/>
        <v>22.383838000000001</v>
      </c>
      <c r="AA80" s="20">
        <f t="shared" si="34"/>
        <v>0.27801850111180476</v>
      </c>
    </row>
    <row r="81" spans="1:27" x14ac:dyDescent="0.25">
      <c r="A81" s="16">
        <v>22676767</v>
      </c>
      <c r="B81" s="16" t="str">
        <f>COMPLEX(0.578768,0.333617)</f>
        <v>0.578768+0.333617i</v>
      </c>
      <c r="C81" s="16" t="str">
        <f>COMPLEX(0.456546,-0.560858)</f>
        <v>0.456546-0.560858i</v>
      </c>
      <c r="D81" s="16" t="str">
        <f>COMPLEX(0.456546,-0.560858)</f>
        <v>0.456546-0.560858i</v>
      </c>
      <c r="E81" s="16" t="str">
        <f>COMPLEX(0.578768,0.333617)</f>
        <v>0.578768+0.333617i</v>
      </c>
      <c r="G81" s="16" t="str">
        <f t="shared" si="21"/>
        <v>95.8879315485685+115.543676784857i</v>
      </c>
      <c r="H81" s="16" t="str">
        <f t="shared" si="22"/>
        <v>95.8879315485685+115.543676784857i</v>
      </c>
      <c r="N81" s="19">
        <f t="shared" si="23"/>
        <v>0.66803645148524637</v>
      </c>
      <c r="O81" s="19">
        <f t="shared" si="24"/>
        <v>0.72318458658906715</v>
      </c>
      <c r="P81" s="19">
        <f t="shared" si="28"/>
        <v>-3.5039967909983556</v>
      </c>
      <c r="Q81" s="19">
        <f t="shared" si="29"/>
        <v>-2.8150167731828981</v>
      </c>
      <c r="R81" s="18">
        <f t="shared" si="25"/>
        <v>-3.5039967909983556</v>
      </c>
      <c r="S81" s="18">
        <f t="shared" si="26"/>
        <v>-2.8150167731828981</v>
      </c>
      <c r="T81" s="17">
        <f t="shared" si="30"/>
        <v>0.247976126494384</v>
      </c>
      <c r="V81" s="17">
        <f t="shared" si="27"/>
        <v>22.676767000000002</v>
      </c>
      <c r="W81" s="17">
        <f t="shared" si="31"/>
        <v>0.247976126494384</v>
      </c>
      <c r="X81" s="17">
        <f t="shared" si="32"/>
        <v>5.0247578655796694</v>
      </c>
      <c r="Z81" s="21">
        <f t="shared" si="33"/>
        <v>22.676767000000002</v>
      </c>
      <c r="AA81" s="20">
        <f t="shared" si="34"/>
        <v>0.27566086674216872</v>
      </c>
    </row>
    <row r="82" spans="1:27" x14ac:dyDescent="0.25">
      <c r="A82" s="16">
        <v>22969696</v>
      </c>
      <c r="B82" s="16" t="str">
        <f>COMPLEX(0.585867,0.32932)</f>
        <v>0.585867+0.32932i</v>
      </c>
      <c r="C82" s="16" t="str">
        <f>COMPLEX(0.448141,-0.562978)</f>
        <v>0.448141-0.562978i</v>
      </c>
      <c r="D82" s="16" t="str">
        <f>COMPLEX(0.448141,-0.562978)</f>
        <v>0.448141-0.562978i</v>
      </c>
      <c r="E82" s="16" t="str">
        <f>COMPLEX(0.585867,0.32932)</f>
        <v>0.585867+0.32932i</v>
      </c>
      <c r="G82" s="16" t="str">
        <f t="shared" si="21"/>
        <v>97.926935399288+117.632012821228i</v>
      </c>
      <c r="H82" s="16" t="str">
        <f t="shared" si="22"/>
        <v>97.926935399288+117.632012821228i</v>
      </c>
      <c r="N82" s="19">
        <f t="shared" si="23"/>
        <v>0.67208020658921364</v>
      </c>
      <c r="O82" s="19">
        <f t="shared" si="24"/>
        <v>0.71956555251415422</v>
      </c>
      <c r="P82" s="19">
        <f t="shared" si="28"/>
        <v>-3.4515778960511923</v>
      </c>
      <c r="Q82" s="19">
        <f t="shared" si="29"/>
        <v>-2.8585927128417921</v>
      </c>
      <c r="R82" s="18">
        <f t="shared" si="25"/>
        <v>-3.4515778960511923</v>
      </c>
      <c r="S82" s="18">
        <f t="shared" si="26"/>
        <v>-2.8585927128417921</v>
      </c>
      <c r="T82" s="17">
        <f t="shared" si="30"/>
        <v>0.24884008891750395</v>
      </c>
      <c r="V82" s="17">
        <f t="shared" si="27"/>
        <v>22.969695999999999</v>
      </c>
      <c r="W82" s="17">
        <f t="shared" si="31"/>
        <v>0.24884008891750395</v>
      </c>
      <c r="X82" s="17">
        <f t="shared" si="32"/>
        <v>5.0990523908222656</v>
      </c>
      <c r="Z82" s="21">
        <f t="shared" si="33"/>
        <v>22.969695999999999</v>
      </c>
      <c r="AA82" s="20">
        <f t="shared" si="34"/>
        <v>0.27316594053406723</v>
      </c>
    </row>
    <row r="83" spans="1:27" x14ac:dyDescent="0.25">
      <c r="A83" s="16">
        <v>23262626</v>
      </c>
      <c r="B83" s="16" t="str">
        <f>COMPLEX(0.591752,0.330947)</f>
        <v>0.591752+0.330947i</v>
      </c>
      <c r="C83" s="16" t="str">
        <f>COMPLEX(0.440778,-0.564638)</f>
        <v>0.440778-0.564638i</v>
      </c>
      <c r="D83" s="16" t="str">
        <f>COMPLEX(0.440778,-0.564638)</f>
        <v>0.440778-0.564638i</v>
      </c>
      <c r="E83" s="16" t="str">
        <f>COMPLEX(0.591752,0.330947)</f>
        <v>0.591752+0.330947i</v>
      </c>
      <c r="G83" s="16" t="str">
        <f t="shared" si="21"/>
        <v>97.8129301734325+119.824826581164i</v>
      </c>
      <c r="H83" s="16" t="str">
        <f t="shared" si="22"/>
        <v>97.8129301734325+119.824826581164i</v>
      </c>
      <c r="N83" s="19">
        <f t="shared" si="23"/>
        <v>0.67800910488945487</v>
      </c>
      <c r="O83" s="19">
        <f t="shared" si="24"/>
        <v>0.71631090758692195</v>
      </c>
      <c r="P83" s="19">
        <f t="shared" si="28"/>
        <v>-3.3752894802782536</v>
      </c>
      <c r="Q83" s="19">
        <f t="shared" si="29"/>
        <v>-2.8979687118898587</v>
      </c>
      <c r="R83" s="18">
        <f t="shared" si="25"/>
        <v>-3.3752894802782536</v>
      </c>
      <c r="S83" s="18">
        <f t="shared" si="26"/>
        <v>-2.8979687118898587</v>
      </c>
      <c r="T83" s="17">
        <f t="shared" si="30"/>
        <v>0.22434775560936898</v>
      </c>
      <c r="V83" s="17">
        <f t="shared" si="27"/>
        <v>23.262626000000001</v>
      </c>
      <c r="W83" s="17">
        <f t="shared" si="31"/>
        <v>0.22434775560936898</v>
      </c>
      <c r="X83" s="17">
        <f t="shared" si="32"/>
        <v>5.2113557568556859</v>
      </c>
      <c r="Z83" s="21">
        <f t="shared" si="33"/>
        <v>23.262626000000001</v>
      </c>
      <c r="AA83" s="20">
        <f t="shared" si="34"/>
        <v>0.27053371326729919</v>
      </c>
    </row>
    <row r="84" spans="1:27" x14ac:dyDescent="0.25">
      <c r="A84" s="16">
        <v>23555555</v>
      </c>
      <c r="B84" s="16" t="str">
        <f>COMPLEX(0.594911,0.326137)</f>
        <v>0.594911+0.326137i</v>
      </c>
      <c r="C84" s="16" t="str">
        <f>COMPLEX(0.433096,-0.56606)</f>
        <v>0.433096-0.56606i</v>
      </c>
      <c r="D84" s="16" t="str">
        <f>COMPLEX(0.433096,-0.56606)</f>
        <v>0.433096-0.56606i</v>
      </c>
      <c r="E84" s="16" t="str">
        <f>COMPLEX(0.594911,0.326137)</f>
        <v>0.594911+0.326137i</v>
      </c>
      <c r="G84" s="16" t="str">
        <f t="shared" si="21"/>
        <v>99.776434379037+120.584950416022i</v>
      </c>
      <c r="H84" s="16" t="str">
        <f t="shared" si="22"/>
        <v>99.776434379037+120.584950416022i</v>
      </c>
      <c r="N84" s="19">
        <f t="shared" si="23"/>
        <v>0.6784426583654658</v>
      </c>
      <c r="O84" s="19">
        <f t="shared" si="24"/>
        <v>0.7127384294508049</v>
      </c>
      <c r="P84" s="19">
        <f t="shared" si="28"/>
        <v>-3.3697370561153317</v>
      </c>
      <c r="Q84" s="19">
        <f t="shared" si="29"/>
        <v>-2.9413964853916057</v>
      </c>
      <c r="R84" s="18">
        <f t="shared" si="25"/>
        <v>-3.3697370561153317</v>
      </c>
      <c r="S84" s="18">
        <f t="shared" si="26"/>
        <v>-2.9413964853916057</v>
      </c>
      <c r="T84" s="17">
        <f t="shared" si="30"/>
        <v>0.26304586939878771</v>
      </c>
      <c r="V84" s="17">
        <f t="shared" si="27"/>
        <v>23.555554999999998</v>
      </c>
      <c r="W84" s="17">
        <f t="shared" si="31"/>
        <v>0.26304586939878771</v>
      </c>
      <c r="X84" s="17">
        <f t="shared" si="32"/>
        <v>5.2197304836320564</v>
      </c>
      <c r="Z84" s="21">
        <f t="shared" si="33"/>
        <v>23.555554999999998</v>
      </c>
      <c r="AA84" s="20">
        <f t="shared" si="34"/>
        <v>0.26776420291357994</v>
      </c>
    </row>
    <row r="85" spans="1:27" x14ac:dyDescent="0.25">
      <c r="A85" s="16">
        <v>23848484</v>
      </c>
      <c r="B85" s="16" t="str">
        <f>COMPLEX(0.600214,0.325467)</f>
        <v>0.600214+0.325467i</v>
      </c>
      <c r="C85" s="16" t="str">
        <f>COMPLEX(0.427033,-0.566498)</f>
        <v>0.427033-0.566498i</v>
      </c>
      <c r="D85" s="16" t="str">
        <f>COMPLEX(0.427033,-0.566498)</f>
        <v>0.427033-0.566498i</v>
      </c>
      <c r="E85" s="16" t="str">
        <f>COMPLEX(0.600214,0.325467)</f>
        <v>0.600214+0.325467i</v>
      </c>
      <c r="G85" s="16" t="str">
        <f t="shared" si="21"/>
        <v>100.432566787342+122.467610708168i</v>
      </c>
      <c r="H85" s="16" t="str">
        <f t="shared" si="22"/>
        <v>100.432566787342+122.467610708168i</v>
      </c>
      <c r="N85" s="19">
        <f t="shared" si="23"/>
        <v>0.68277786569645049</v>
      </c>
      <c r="O85" s="19">
        <f t="shared" si="24"/>
        <v>0.70942030355283747</v>
      </c>
      <c r="P85" s="19">
        <f t="shared" si="28"/>
        <v>-3.3144113258884551</v>
      </c>
      <c r="Q85" s="19">
        <f t="shared" si="29"/>
        <v>-2.9819277242514137</v>
      </c>
      <c r="R85" s="18">
        <f t="shared" si="25"/>
        <v>-3.3144113258884551</v>
      </c>
      <c r="S85" s="18">
        <f t="shared" si="26"/>
        <v>-2.9819277242514137</v>
      </c>
      <c r="T85" s="17">
        <f t="shared" si="30"/>
        <v>0.25583046121987102</v>
      </c>
      <c r="V85" s="17">
        <f t="shared" si="27"/>
        <v>23.848483999999999</v>
      </c>
      <c r="W85" s="17">
        <f t="shared" si="31"/>
        <v>0.25583046121987102</v>
      </c>
      <c r="X85" s="17">
        <f t="shared" si="32"/>
        <v>5.3047302937764176</v>
      </c>
      <c r="Z85" s="21">
        <f t="shared" si="33"/>
        <v>23.848483999999999</v>
      </c>
      <c r="AA85" s="20">
        <f t="shared" si="34"/>
        <v>0.26485740072139513</v>
      </c>
    </row>
    <row r="86" spans="1:27" x14ac:dyDescent="0.25">
      <c r="A86" s="16">
        <v>24141414</v>
      </c>
      <c r="B86" s="16" t="str">
        <f>COMPLEX(0.606993,0.322328)</f>
        <v>0.606993+0.322328i</v>
      </c>
      <c r="C86" s="16" t="str">
        <f>COMPLEX(0.420376,-0.567159)</f>
        <v>0.420376-0.567159i</v>
      </c>
      <c r="D86" s="16" t="str">
        <f>COMPLEX(0.420376,-0.567159)</f>
        <v>0.420376-0.567159i</v>
      </c>
      <c r="E86" s="16" t="str">
        <f>COMPLEX(0.606993,0.322328)</f>
        <v>0.606993+0.322328i</v>
      </c>
      <c r="G86" s="16" t="str">
        <f t="shared" si="21"/>
        <v>102.122020867459+124.76415621647i</v>
      </c>
      <c r="H86" s="16" t="str">
        <f t="shared" si="22"/>
        <v>102.122020867459+124.76415621647i</v>
      </c>
      <c r="N86" s="19">
        <f t="shared" si="23"/>
        <v>0.68726693622856605</v>
      </c>
      <c r="O86" s="19">
        <f t="shared" si="24"/>
        <v>0.70596410153562339</v>
      </c>
      <c r="P86" s="19">
        <f t="shared" si="28"/>
        <v>-3.2574909818184556</v>
      </c>
      <c r="Q86" s="19">
        <f t="shared" si="29"/>
        <v>-3.0243476475580189</v>
      </c>
      <c r="R86" s="18">
        <f t="shared" si="25"/>
        <v>-3.2574909818184556</v>
      </c>
      <c r="S86" s="18">
        <f t="shared" si="26"/>
        <v>-3.0243476475580189</v>
      </c>
      <c r="T86" s="17">
        <f t="shared" si="30"/>
        <v>0.24792360445002073</v>
      </c>
      <c r="V86" s="17">
        <f t="shared" si="27"/>
        <v>24.141414000000001</v>
      </c>
      <c r="W86" s="17">
        <f t="shared" si="31"/>
        <v>0.24792360445002073</v>
      </c>
      <c r="X86" s="17">
        <f t="shared" si="32"/>
        <v>5.3952304111398099</v>
      </c>
      <c r="Z86" s="21">
        <f t="shared" si="33"/>
        <v>24.141414000000001</v>
      </c>
      <c r="AA86" s="20">
        <f t="shared" si="34"/>
        <v>0.26181329606448317</v>
      </c>
    </row>
    <row r="87" spans="1:27" x14ac:dyDescent="0.25">
      <c r="A87" s="16">
        <v>24434343</v>
      </c>
      <c r="B87" s="16" t="str">
        <f>COMPLEX(0.61285,0.32)</f>
        <v>0.61285+0.32i</v>
      </c>
      <c r="C87" s="16" t="str">
        <f>COMPLEX(0.41148,-0.572816)</f>
        <v>0.41148-0.572816i</v>
      </c>
      <c r="D87" s="16" t="str">
        <f>COMPLEX(0.41148,-0.572816)</f>
        <v>0.41148-0.572816i</v>
      </c>
      <c r="E87" s="16" t="str">
        <f>COMPLEX(0.61285,0.32)</f>
        <v>0.61285+0.32i</v>
      </c>
      <c r="G87" s="16" t="str">
        <f t="shared" si="21"/>
        <v>103.457324856721+126.840614630377i</v>
      </c>
      <c r="H87" s="16" t="str">
        <f t="shared" si="22"/>
        <v>103.457324856721+126.840614630377i</v>
      </c>
      <c r="N87" s="19">
        <f t="shared" si="23"/>
        <v>0.69136468126452633</v>
      </c>
      <c r="O87" s="19">
        <f t="shared" si="24"/>
        <v>0.70528998309631474</v>
      </c>
      <c r="P87" s="19">
        <f t="shared" si="28"/>
        <v>-3.2058562078685089</v>
      </c>
      <c r="Q87" s="19">
        <f t="shared" si="29"/>
        <v>-3.0326456838590952</v>
      </c>
      <c r="R87" s="18">
        <f t="shared" si="25"/>
        <v>-3.2058562078685089</v>
      </c>
      <c r="S87" s="18">
        <f t="shared" si="26"/>
        <v>-3.0326456838590952</v>
      </c>
      <c r="T87" s="17">
        <f t="shared" si="30"/>
        <v>0.20947449020510467</v>
      </c>
      <c r="V87" s="17">
        <f t="shared" si="27"/>
        <v>24.434342999999998</v>
      </c>
      <c r="W87" s="17">
        <f t="shared" si="31"/>
        <v>0.20947449020510467</v>
      </c>
      <c r="X87" s="17">
        <f t="shared" si="32"/>
        <v>5.4801397590992087</v>
      </c>
      <c r="Z87" s="21">
        <f t="shared" si="33"/>
        <v>24.434342999999998</v>
      </c>
      <c r="AA87" s="20">
        <f t="shared" si="34"/>
        <v>0.25863190972668076</v>
      </c>
    </row>
    <row r="88" spans="1:27" x14ac:dyDescent="0.25">
      <c r="A88" s="16">
        <v>24727272</v>
      </c>
      <c r="B88" s="16" t="str">
        <f>COMPLEX(0.615523,0.31699)</f>
        <v>0.615523+0.31699i</v>
      </c>
      <c r="C88" s="16" t="str">
        <f>COMPLEX(0.404679,-0.575177)</f>
        <v>0.404679-0.575177i</v>
      </c>
      <c r="D88" s="16" t="str">
        <f>COMPLEX(0.404679,-0.575177)</f>
        <v>0.404679-0.575177i</v>
      </c>
      <c r="E88" s="16" t="str">
        <f>COMPLEX(0.615523,0.31699)</f>
        <v>0.615523+0.31699i</v>
      </c>
      <c r="G88" s="16" t="str">
        <f t="shared" si="21"/>
        <v>104.840479946752+127.661430302258i</v>
      </c>
      <c r="H88" s="16" t="str">
        <f t="shared" si="22"/>
        <v>104.840479946752+127.661430302258i</v>
      </c>
      <c r="N88" s="19">
        <f t="shared" si="23"/>
        <v>0.69235195069343169</v>
      </c>
      <c r="O88" s="19">
        <f t="shared" si="24"/>
        <v>0.70327354163938238</v>
      </c>
      <c r="P88" s="19">
        <f t="shared" si="28"/>
        <v>-3.1934615967760376</v>
      </c>
      <c r="Q88" s="19">
        <f t="shared" si="29"/>
        <v>-3.057514423697298</v>
      </c>
      <c r="R88" s="18">
        <f t="shared" si="25"/>
        <v>-3.1934615967760376</v>
      </c>
      <c r="S88" s="18">
        <f t="shared" si="26"/>
        <v>-3.057514423697298</v>
      </c>
      <c r="T88" s="17">
        <f t="shared" si="30"/>
        <v>0.22296294418925922</v>
      </c>
      <c r="V88" s="17">
        <f t="shared" si="27"/>
        <v>24.727271999999999</v>
      </c>
      <c r="W88" s="17">
        <f t="shared" si="31"/>
        <v>0.22296294418925922</v>
      </c>
      <c r="X88" s="17">
        <f t="shared" si="32"/>
        <v>5.5009350929022771</v>
      </c>
      <c r="Z88" s="21">
        <f t="shared" si="33"/>
        <v>24.727271999999999</v>
      </c>
      <c r="AA88" s="20">
        <f t="shared" si="34"/>
        <v>0.25531323155041274</v>
      </c>
    </row>
    <row r="89" spans="1:27" x14ac:dyDescent="0.25">
      <c r="A89" s="16">
        <v>25020202</v>
      </c>
      <c r="B89" s="16" t="str">
        <f>COMPLEX(0.619111,0.313564)</f>
        <v>0.619111+0.313564i</v>
      </c>
      <c r="C89" s="16" t="str">
        <f>COMPLEX(0.39823,-0.575682)</f>
        <v>0.39823-0.575682i</v>
      </c>
      <c r="D89" s="16" t="str">
        <f>COMPLEX(0.39823,-0.575682)</f>
        <v>0.39823-0.575682i</v>
      </c>
      <c r="E89" s="16" t="str">
        <f>COMPLEX(0.619111,0.313564)</f>
        <v>0.619111+0.313564i</v>
      </c>
      <c r="G89" s="16" t="str">
        <f t="shared" si="21"/>
        <v>106.487616442206+128.827251409423i</v>
      </c>
      <c r="H89" s="16" t="str">
        <f t="shared" si="22"/>
        <v>106.487616442206+128.827251409423i</v>
      </c>
      <c r="N89" s="19">
        <f t="shared" si="23"/>
        <v>0.69398905785105858</v>
      </c>
      <c r="O89" s="19">
        <f t="shared" si="24"/>
        <v>0.69999778429935045</v>
      </c>
      <c r="P89" s="19">
        <f t="shared" si="28"/>
        <v>-3.1729475405388845</v>
      </c>
      <c r="Q89" s="19">
        <f t="shared" si="29"/>
        <v>-3.098066693088823</v>
      </c>
      <c r="R89" s="18">
        <f t="shared" si="25"/>
        <v>-3.1729475405388845</v>
      </c>
      <c r="S89" s="18">
        <f t="shared" si="26"/>
        <v>-3.098066693088823</v>
      </c>
      <c r="T89" s="17">
        <f t="shared" si="30"/>
        <v>0.24454226023071329</v>
      </c>
      <c r="V89" s="17">
        <f t="shared" si="27"/>
        <v>25.020202000000001</v>
      </c>
      <c r="W89" s="17">
        <f t="shared" si="31"/>
        <v>0.24454226023071329</v>
      </c>
      <c r="X89" s="17">
        <f t="shared" si="32"/>
        <v>5.5357140040651274</v>
      </c>
      <c r="Z89" s="21">
        <f t="shared" si="33"/>
        <v>25.020202000000001</v>
      </c>
      <c r="AA89" s="20">
        <f t="shared" si="34"/>
        <v>0.25185724950335681</v>
      </c>
    </row>
    <row r="90" spans="1:27" x14ac:dyDescent="0.25">
      <c r="A90" s="16">
        <v>25313131</v>
      </c>
      <c r="B90" s="16" t="str">
        <f>COMPLEX(0.628255,0.311195)</f>
        <v>0.628255+0.311195i</v>
      </c>
      <c r="C90" s="16" t="str">
        <f>COMPLEX(0.389053,-0.58103)</f>
        <v>0.389053-0.58103i</v>
      </c>
      <c r="D90" s="16" t="str">
        <f>COMPLEX(0.389053,-0.58103)</f>
        <v>0.389053-0.58103i</v>
      </c>
      <c r="E90" s="16" t="str">
        <f>COMPLEX(0.628255,0.311195)</f>
        <v>0.628255+0.311195i</v>
      </c>
      <c r="G90" s="16" t="str">
        <f t="shared" si="21"/>
        <v>108.164679228981+132.402742074978i</v>
      </c>
      <c r="H90" s="16" t="str">
        <f t="shared" si="22"/>
        <v>108.164679228981+132.402742074978i</v>
      </c>
      <c r="N90" s="19">
        <f t="shared" si="23"/>
        <v>0.70110389604537215</v>
      </c>
      <c r="O90" s="19">
        <f t="shared" si="24"/>
        <v>0.69925538804431109</v>
      </c>
      <c r="P90" s="19">
        <f t="shared" si="28"/>
        <v>-3.084352390002834</v>
      </c>
      <c r="Q90" s="19">
        <f t="shared" si="29"/>
        <v>-3.1072835705939239</v>
      </c>
      <c r="R90" s="18">
        <f t="shared" si="25"/>
        <v>-3.084352390002834</v>
      </c>
      <c r="S90" s="18">
        <f t="shared" si="26"/>
        <v>-3.1072835705939239</v>
      </c>
      <c r="T90" s="17">
        <f t="shared" si="30"/>
        <v>0.1697945044722747</v>
      </c>
      <c r="V90" s="17">
        <f t="shared" si="27"/>
        <v>25.313130999999998</v>
      </c>
      <c r="W90" s="17">
        <f t="shared" si="31"/>
        <v>0.1697945044722747</v>
      </c>
      <c r="X90" s="17">
        <f t="shared" si="32"/>
        <v>5.6912882889353353</v>
      </c>
      <c r="Z90" s="21">
        <f t="shared" si="33"/>
        <v>25.313130999999998</v>
      </c>
      <c r="AA90" s="20">
        <f t="shared" si="34"/>
        <v>0.24826398718147122</v>
      </c>
    </row>
    <row r="91" spans="1:27" x14ac:dyDescent="0.25">
      <c r="A91" s="16">
        <v>25606060</v>
      </c>
      <c r="B91" s="16" t="str">
        <f>COMPLEX(0.633443,0.308627)</f>
        <v>0.633443+0.308627i</v>
      </c>
      <c r="C91" s="16" t="str">
        <f>COMPLEX(0.382596,-0.579818)</f>
        <v>0.382596-0.579818i</v>
      </c>
      <c r="D91" s="16" t="str">
        <f>COMPLEX(0.382596,-0.579818)</f>
        <v>0.382596-0.579818i</v>
      </c>
      <c r="E91" s="16" t="str">
        <f>COMPLEX(0.633443,0.308627)</f>
        <v>0.633443+0.308627i</v>
      </c>
      <c r="G91" s="16" t="str">
        <f t="shared" si="21"/>
        <v>109.640068710317+134.410843295474i</v>
      </c>
      <c r="H91" s="16" t="str">
        <f t="shared" si="22"/>
        <v>109.640068710317+134.410843295474i</v>
      </c>
      <c r="N91" s="19">
        <f t="shared" si="23"/>
        <v>0.70462802908910738</v>
      </c>
      <c r="O91" s="19">
        <f t="shared" si="24"/>
        <v>0.69467158595986922</v>
      </c>
      <c r="P91" s="19">
        <f t="shared" si="28"/>
        <v>-3.0408017040316859</v>
      </c>
      <c r="Q91" s="19">
        <f t="shared" si="29"/>
        <v>-3.1644092927937546</v>
      </c>
      <c r="R91" s="18">
        <f t="shared" si="25"/>
        <v>-3.0408017040316859</v>
      </c>
      <c r="S91" s="18">
        <f t="shared" si="26"/>
        <v>-3.1644092927937546</v>
      </c>
      <c r="T91" s="17">
        <f t="shared" si="30"/>
        <v>0.18439835421416712</v>
      </c>
      <c r="V91" s="17">
        <f t="shared" si="27"/>
        <v>25.606059999999999</v>
      </c>
      <c r="W91" s="17">
        <f t="shared" si="31"/>
        <v>0.18439835421416712</v>
      </c>
      <c r="X91" s="17">
        <f t="shared" si="32"/>
        <v>5.7711231835310368</v>
      </c>
      <c r="Z91" s="21">
        <f t="shared" si="33"/>
        <v>25.606059999999999</v>
      </c>
      <c r="AA91" s="20">
        <f t="shared" si="34"/>
        <v>0.24453343302111993</v>
      </c>
    </row>
    <row r="92" spans="1:27" x14ac:dyDescent="0.25">
      <c r="A92" s="16">
        <v>25898989</v>
      </c>
      <c r="B92" s="16" t="str">
        <f>COMPLEX(0.636358,0.305277)</f>
        <v>0.636358+0.305277i</v>
      </c>
      <c r="C92" s="16" t="str">
        <f>COMPLEX(0.373709,-0.584717)</f>
        <v>0.373709-0.584717i</v>
      </c>
      <c r="D92" s="16" t="str">
        <f>COMPLEX(0.373709,-0.584717)</f>
        <v>0.373709-0.584717i</v>
      </c>
      <c r="E92" s="16" t="str">
        <f>COMPLEX(0.636358,0.305277)</f>
        <v>0.636358+0.305277i</v>
      </c>
      <c r="G92" s="16" t="str">
        <f t="shared" si="21"/>
        <v>111.310705965343+135.420134046623i</v>
      </c>
      <c r="H92" s="16" t="str">
        <f t="shared" si="22"/>
        <v>111.310705965343+135.420134046623i</v>
      </c>
      <c r="N92" s="19">
        <f t="shared" si="23"/>
        <v>0.70579426952405899</v>
      </c>
      <c r="O92" s="19">
        <f t="shared" si="24"/>
        <v>0.69393975730606472</v>
      </c>
      <c r="P92" s="19">
        <f t="shared" si="28"/>
        <v>-3.0264374416004198</v>
      </c>
      <c r="Q92" s="19">
        <f t="shared" si="29"/>
        <v>-3.1735646025789785</v>
      </c>
      <c r="R92" s="18">
        <f t="shared" si="25"/>
        <v>-3.0264374416004198</v>
      </c>
      <c r="S92" s="18">
        <f t="shared" si="26"/>
        <v>-3.1735646025789785</v>
      </c>
      <c r="T92" s="17">
        <f t="shared" si="30"/>
        <v>0.1793423892614856</v>
      </c>
      <c r="V92" s="17">
        <f t="shared" si="27"/>
        <v>25.898989</v>
      </c>
      <c r="W92" s="17">
        <f t="shared" si="31"/>
        <v>0.1793423892614856</v>
      </c>
      <c r="X92" s="17">
        <f t="shared" si="32"/>
        <v>5.7979641211086212</v>
      </c>
      <c r="Z92" s="21">
        <f t="shared" si="33"/>
        <v>25.898989</v>
      </c>
      <c r="AA92" s="20">
        <f t="shared" si="34"/>
        <v>0.24066558702230309</v>
      </c>
    </row>
    <row r="93" spans="1:27" x14ac:dyDescent="0.25">
      <c r="A93" s="16">
        <v>26191919</v>
      </c>
      <c r="B93" s="16" t="str">
        <f>COMPLEX(0.641822,0.299016)</f>
        <v>0.641822+0.299016i</v>
      </c>
      <c r="C93" s="16" t="str">
        <f>COMPLEX(0.365807,-0.582774)</f>
        <v>0.365807-0.582774i</v>
      </c>
      <c r="D93" s="16" t="str">
        <f>COMPLEX(0.365807,-0.582774)</f>
        <v>0.365807-0.582774i</v>
      </c>
      <c r="E93" s="16" t="str">
        <f>COMPLEX(0.641822,0.299016)</f>
        <v>0.641822+0.299016i</v>
      </c>
      <c r="G93" s="16" t="str">
        <f t="shared" si="21"/>
        <v>114.526702155193+137.351027622124i</v>
      </c>
      <c r="H93" s="16" t="str">
        <f t="shared" si="22"/>
        <v>114.526702155193+137.351027622124i</v>
      </c>
      <c r="N93" s="19">
        <f t="shared" si="23"/>
        <v>0.70805794108956932</v>
      </c>
      <c r="O93" s="19">
        <f t="shared" si="24"/>
        <v>0.68806997923539737</v>
      </c>
      <c r="P93" s="19">
        <f t="shared" si="28"/>
        <v>-2.9986240420839887</v>
      </c>
      <c r="Q93" s="19">
        <f t="shared" si="29"/>
        <v>-3.2473478035961629</v>
      </c>
      <c r="R93" s="18">
        <f t="shared" si="25"/>
        <v>-2.9986240420839887</v>
      </c>
      <c r="S93" s="18">
        <f t="shared" si="26"/>
        <v>-3.2473478035961629</v>
      </c>
      <c r="T93" s="17">
        <f t="shared" si="30"/>
        <v>0.2253404573140623</v>
      </c>
      <c r="V93" s="17">
        <f t="shared" si="27"/>
        <v>26.191918999999999</v>
      </c>
      <c r="W93" s="17">
        <f t="shared" si="31"/>
        <v>0.2253404573140623</v>
      </c>
      <c r="X93" s="17">
        <f t="shared" si="32"/>
        <v>5.8506744367847672</v>
      </c>
      <c r="Z93" s="21">
        <f t="shared" si="33"/>
        <v>26.191918999999999</v>
      </c>
      <c r="AA93" s="20">
        <f t="shared" si="34"/>
        <v>0.23666043527795119</v>
      </c>
    </row>
    <row r="94" spans="1:27" x14ac:dyDescent="0.25">
      <c r="A94" s="16">
        <v>26484848</v>
      </c>
      <c r="B94" s="16" t="str">
        <f>COMPLEX(0.647019,0.298369)</f>
        <v>0.647019+0.298369i</v>
      </c>
      <c r="C94" s="16" t="str">
        <f>COMPLEX(0.358527,-0.585743)</f>
        <v>0.358527-0.585743i</v>
      </c>
      <c r="D94" s="16" t="str">
        <f>COMPLEX(0.358527,-0.585743)</f>
        <v>0.358527-0.585743i</v>
      </c>
      <c r="E94" s="16" t="str">
        <f>COMPLEX(0.647019,0.298369)</f>
        <v>0.647019+0.298369i</v>
      </c>
      <c r="G94" s="16" t="str">
        <f t="shared" si="21"/>
        <v>115.23807886914+139.673014564825i</v>
      </c>
      <c r="H94" s="16" t="str">
        <f t="shared" si="22"/>
        <v>115.23807886914+139.673014564825i</v>
      </c>
      <c r="N94" s="19">
        <f t="shared" si="23"/>
        <v>0.7125009800147647</v>
      </c>
      <c r="O94" s="19">
        <f t="shared" si="24"/>
        <v>0.68675794263918055</v>
      </c>
      <c r="P94" s="19">
        <f t="shared" si="28"/>
        <v>-2.9442906793094146</v>
      </c>
      <c r="Q94" s="19">
        <f t="shared" si="29"/>
        <v>-3.2639261816668834</v>
      </c>
      <c r="R94" s="18">
        <f t="shared" si="25"/>
        <v>-2.9442906793094146</v>
      </c>
      <c r="S94" s="18">
        <f t="shared" si="26"/>
        <v>-3.2639261816668834</v>
      </c>
      <c r="T94" s="17">
        <f t="shared" si="30"/>
        <v>0.1865981548850017</v>
      </c>
      <c r="V94" s="17">
        <f t="shared" si="27"/>
        <v>26.484848</v>
      </c>
      <c r="W94" s="17">
        <f t="shared" si="31"/>
        <v>0.1865981548850017</v>
      </c>
      <c r="X94" s="17">
        <f t="shared" si="32"/>
        <v>5.9565454522339287</v>
      </c>
      <c r="Z94" s="21">
        <f t="shared" si="33"/>
        <v>26.484848</v>
      </c>
      <c r="AA94" s="20">
        <f t="shared" si="34"/>
        <v>0.23251800513351681</v>
      </c>
    </row>
    <row r="95" spans="1:27" x14ac:dyDescent="0.25">
      <c r="A95" s="16">
        <v>26777777</v>
      </c>
      <c r="B95" s="16" t="str">
        <f>COMPLEX(0.650829,0.29292)</f>
        <v>0.650829+0.29292i</v>
      </c>
      <c r="C95" s="16" t="str">
        <f>COMPLEX(0.352081,-0.588109)</f>
        <v>0.352081-0.588109i</v>
      </c>
      <c r="D95" s="16" t="str">
        <f>COMPLEX(0.352081,-0.588109)</f>
        <v>0.352081-0.588109i</v>
      </c>
      <c r="E95" s="16" t="str">
        <f>COMPLEX(0.650829,0.29292)</f>
        <v>0.650829+0.29292i</v>
      </c>
      <c r="G95" s="16" t="str">
        <f t="shared" si="21"/>
        <v>118.094923308824+141.01504688425i</v>
      </c>
      <c r="H95" s="16" t="str">
        <f t="shared" si="22"/>
        <v>118.094923308824+141.01504688425i</v>
      </c>
      <c r="N95" s="19">
        <f t="shared" si="23"/>
        <v>0.71370898385896764</v>
      </c>
      <c r="O95" s="19">
        <f t="shared" si="24"/>
        <v>0.68544381713018609</v>
      </c>
      <c r="P95" s="19">
        <f t="shared" si="28"/>
        <v>-2.92957672996386</v>
      </c>
      <c r="Q95" s="19">
        <f t="shared" si="29"/>
        <v>-3.2805627331797571</v>
      </c>
      <c r="R95" s="18">
        <f t="shared" si="25"/>
        <v>-2.92957672996386</v>
      </c>
      <c r="S95" s="18">
        <f t="shared" si="26"/>
        <v>-3.2805627331797571</v>
      </c>
      <c r="T95" s="17">
        <f t="shared" si="30"/>
        <v>0.18801066780925749</v>
      </c>
      <c r="V95" s="17">
        <f t="shared" si="27"/>
        <v>26.777777</v>
      </c>
      <c r="W95" s="17">
        <f t="shared" si="31"/>
        <v>0.18801066780925749</v>
      </c>
      <c r="X95" s="17">
        <f t="shared" si="32"/>
        <v>5.9858985690796604</v>
      </c>
      <c r="Z95" s="21">
        <f t="shared" si="33"/>
        <v>26.777777</v>
      </c>
      <c r="AA95" s="20">
        <f t="shared" si="34"/>
        <v>0.22823828315061687</v>
      </c>
    </row>
    <row r="96" spans="1:27" x14ac:dyDescent="0.25">
      <c r="A96" s="16">
        <v>27070707</v>
      </c>
      <c r="B96" s="16" t="str">
        <f>COMPLEX(0.655292,0.287978)</f>
        <v>0.655292+0.287978i</v>
      </c>
      <c r="C96" s="16" t="str">
        <f>COMPLEX(0.341664,-0.591205)</f>
        <v>0.341664-0.591205i</v>
      </c>
      <c r="D96" s="16" t="str">
        <f>COMPLEX(0.341664,-0.591205)</f>
        <v>0.341664-0.591205i</v>
      </c>
      <c r="E96" s="16" t="str">
        <f>COMPLEX(0.655292,0.287978)</f>
        <v>0.655292+0.287978i</v>
      </c>
      <c r="G96" s="16" t="str">
        <f t="shared" si="21"/>
        <v>120.854805677543+142.73653419534i</v>
      </c>
      <c r="H96" s="16" t="str">
        <f t="shared" si="22"/>
        <v>120.854805677543+142.73653419534i</v>
      </c>
      <c r="N96" s="19">
        <f t="shared" si="23"/>
        <v>0.71577855077391084</v>
      </c>
      <c r="O96" s="19">
        <f t="shared" si="24"/>
        <v>0.68283060924434247</v>
      </c>
      <c r="P96" s="19">
        <f t="shared" si="28"/>
        <v>-2.9044263988896226</v>
      </c>
      <c r="Q96" s="19">
        <f t="shared" si="29"/>
        <v>-3.3137403800870131</v>
      </c>
      <c r="R96" s="18">
        <f t="shared" si="25"/>
        <v>-2.9044263988896226</v>
      </c>
      <c r="S96" s="18">
        <f t="shared" si="26"/>
        <v>-3.3137403800870131</v>
      </c>
      <c r="T96" s="17">
        <f t="shared" si="30"/>
        <v>0.19492121902759355</v>
      </c>
      <c r="V96" s="17">
        <f t="shared" si="27"/>
        <v>27.070706999999999</v>
      </c>
      <c r="W96" s="17">
        <f t="shared" si="31"/>
        <v>0.19492121902759355</v>
      </c>
      <c r="X96" s="17">
        <f t="shared" si="32"/>
        <v>6.036766596771038</v>
      </c>
      <c r="Z96" s="21">
        <f t="shared" si="33"/>
        <v>27.070706999999999</v>
      </c>
      <c r="AA96" s="20">
        <f t="shared" si="34"/>
        <v>0.22382125401612082</v>
      </c>
    </row>
    <row r="97" spans="1:27" x14ac:dyDescent="0.25">
      <c r="A97" s="16">
        <v>27363636</v>
      </c>
      <c r="B97" s="16" t="str">
        <f>COMPLEX(0.660025,0.282)</f>
        <v>0.660025+0.282i</v>
      </c>
      <c r="C97" s="16" t="str">
        <f>COMPLEX(0.335855,-0.592892)</f>
        <v>0.335855-0.592892i</v>
      </c>
      <c r="D97" s="16" t="str">
        <f>COMPLEX(0.335855,-0.592892)</f>
        <v>0.335855-0.592892i</v>
      </c>
      <c r="E97" s="16" t="str">
        <f>COMPLEX(0.660025,0.282)</f>
        <v>0.660025+0.282i</v>
      </c>
      <c r="G97" s="16" t="str">
        <f t="shared" si="21"/>
        <v>124.250538889396+144.53607461375i</v>
      </c>
      <c r="H97" s="16" t="str">
        <f t="shared" si="22"/>
        <v>124.250538889396+144.53607461375i</v>
      </c>
      <c r="N97" s="19">
        <f t="shared" si="23"/>
        <v>0.7177443839034896</v>
      </c>
      <c r="O97" s="19">
        <f t="shared" si="24"/>
        <v>0.68140993879528933</v>
      </c>
      <c r="P97" s="19">
        <f t="shared" si="28"/>
        <v>-2.8806039403843791</v>
      </c>
      <c r="Q97" s="19">
        <f t="shared" si="29"/>
        <v>-3.3318307252403652</v>
      </c>
      <c r="R97" s="18">
        <f t="shared" si="25"/>
        <v>-2.8806039403843791</v>
      </c>
      <c r="S97" s="18">
        <f t="shared" si="26"/>
        <v>-3.3318307252403652</v>
      </c>
      <c r="T97" s="17">
        <f t="shared" si="30"/>
        <v>0.18784201758119126</v>
      </c>
      <c r="V97" s="17">
        <f t="shared" si="27"/>
        <v>27.363636</v>
      </c>
      <c r="W97" s="17">
        <f t="shared" si="31"/>
        <v>0.18784201758119126</v>
      </c>
      <c r="X97" s="17">
        <f t="shared" si="32"/>
        <v>6.0857757505740784</v>
      </c>
      <c r="Z97" s="21">
        <f t="shared" si="33"/>
        <v>27.363636</v>
      </c>
      <c r="AA97" s="20">
        <f t="shared" si="34"/>
        <v>0.21926694788760323</v>
      </c>
    </row>
    <row r="98" spans="1:27" x14ac:dyDescent="0.25">
      <c r="A98" s="16">
        <v>27656565</v>
      </c>
      <c r="B98" s="16" t="str">
        <f>COMPLEX(0.665407,0.276775)</f>
        <v>0.665407+0.276775i</v>
      </c>
      <c r="C98" s="16" t="str">
        <f>COMPLEX(0.331916,-0.593746)</f>
        <v>0.331916-0.593746i</v>
      </c>
      <c r="D98" s="16" t="str">
        <f>COMPLEX(0.331916,-0.593746)</f>
        <v>0.331916-0.593746i</v>
      </c>
      <c r="E98" s="16" t="str">
        <f>COMPLEX(0.665407,0.276775)</f>
        <v>0.665407+0.276775i</v>
      </c>
      <c r="G98" s="16" t="str">
        <f t="shared" si="21"/>
        <v>127.449375812627+146.785948870836i</v>
      </c>
      <c r="H98" s="16" t="str">
        <f t="shared" si="22"/>
        <v>127.449375812627+146.785948870836i</v>
      </c>
      <c r="N98" s="19">
        <f t="shared" si="23"/>
        <v>0.72067390425489941</v>
      </c>
      <c r="O98" s="19">
        <f t="shared" si="24"/>
        <v>0.68022242213264339</v>
      </c>
      <c r="P98" s="19">
        <f t="shared" si="28"/>
        <v>-2.845224070904544</v>
      </c>
      <c r="Q98" s="19">
        <f t="shared" si="29"/>
        <v>-3.3469811308655699</v>
      </c>
      <c r="R98" s="18">
        <f t="shared" si="25"/>
        <v>-2.845224070904544</v>
      </c>
      <c r="S98" s="18">
        <f t="shared" si="26"/>
        <v>-3.3469811308655699</v>
      </c>
      <c r="T98" s="17">
        <f t="shared" si="30"/>
        <v>0.16508196429751379</v>
      </c>
      <c r="V98" s="17">
        <f t="shared" si="27"/>
        <v>27.656565000000001</v>
      </c>
      <c r="W98" s="17">
        <f t="shared" si="31"/>
        <v>0.16508196429751379</v>
      </c>
      <c r="X98" s="17">
        <f t="shared" si="32"/>
        <v>6.1600900541176173</v>
      </c>
      <c r="Z98" s="21">
        <f t="shared" si="33"/>
        <v>27.656565000000001</v>
      </c>
      <c r="AA98" s="20">
        <f t="shared" si="34"/>
        <v>0.21457534992062008</v>
      </c>
    </row>
    <row r="99" spans="1:27" x14ac:dyDescent="0.25">
      <c r="A99" s="16">
        <v>27949494</v>
      </c>
      <c r="B99" s="16" t="str">
        <f>COMPLEX(0.671554,0.271228)</f>
        <v>0.671554+0.271228i</v>
      </c>
      <c r="C99" s="16" t="str">
        <f>COMPLEX(0.322132,-0.594635)</f>
        <v>0.322132-0.594635i</v>
      </c>
      <c r="D99" s="16" t="str">
        <f>COMPLEX(0.322132,-0.594635)</f>
        <v>0.322132-0.594635i</v>
      </c>
      <c r="E99" s="16" t="str">
        <f>COMPLEX(0.671554,0.271228)</f>
        <v>0.671554+0.271228i</v>
      </c>
      <c r="G99" s="16" t="str">
        <f t="shared" si="21"/>
        <v>131.020425740987+149.485175745408i</v>
      </c>
      <c r="H99" s="16" t="str">
        <f t="shared" si="22"/>
        <v>131.020425740987+149.485175745408i</v>
      </c>
      <c r="N99" s="19">
        <f t="shared" si="23"/>
        <v>0.72425782902223435</v>
      </c>
      <c r="O99" s="19">
        <f t="shared" si="24"/>
        <v>0.67628382255455433</v>
      </c>
      <c r="P99" s="19">
        <f t="shared" si="28"/>
        <v>-2.8021360299668436</v>
      </c>
      <c r="Q99" s="19">
        <f t="shared" si="29"/>
        <v>-3.39742002494634</v>
      </c>
      <c r="R99" s="18">
        <f t="shared" si="25"/>
        <v>-2.8021360299668436</v>
      </c>
      <c r="S99" s="18">
        <f t="shared" si="26"/>
        <v>-3.39742002494634</v>
      </c>
      <c r="T99" s="17">
        <f t="shared" si="30"/>
        <v>0.16847399642912841</v>
      </c>
      <c r="V99" s="17">
        <f t="shared" si="27"/>
        <v>27.949494000000001</v>
      </c>
      <c r="W99" s="17">
        <f t="shared" si="31"/>
        <v>0.16847399642912841</v>
      </c>
      <c r="X99" s="17">
        <f t="shared" si="32"/>
        <v>6.2531524391358664</v>
      </c>
      <c r="Z99" s="21">
        <f t="shared" si="33"/>
        <v>27.949494000000001</v>
      </c>
      <c r="AA99" s="20">
        <f t="shared" si="34"/>
        <v>0.20974646011517115</v>
      </c>
    </row>
    <row r="100" spans="1:27" x14ac:dyDescent="0.25">
      <c r="A100" s="16">
        <v>28242424</v>
      </c>
      <c r="B100" s="16" t="str">
        <f>COMPLEX(0.673329,0.266972)</f>
        <v>0.673329+0.266972i</v>
      </c>
      <c r="C100" s="16" t="str">
        <f>COMPLEX(0.316873,-0.595378)</f>
        <v>0.316873-0.595378i</v>
      </c>
      <c r="D100" s="16" t="str">
        <f>COMPLEX(0.316873,-0.595378)</f>
        <v>0.316873-0.595378i</v>
      </c>
      <c r="E100" s="16" t="str">
        <f>COMPLEX(0.673329,0.266972)</f>
        <v>0.673329+0.266972i</v>
      </c>
      <c r="G100" s="16" t="str">
        <f t="shared" si="21"/>
        <v>133.53541613609+149.994389207135i</v>
      </c>
      <c r="H100" s="16" t="str">
        <f t="shared" si="22"/>
        <v>133.53541613609+149.994389207135i</v>
      </c>
      <c r="N100" s="19">
        <f t="shared" si="23"/>
        <v>0.72432450671297866</v>
      </c>
      <c r="O100" s="19">
        <f t="shared" si="24"/>
        <v>0.67445048818501119</v>
      </c>
      <c r="P100" s="19">
        <f t="shared" si="28"/>
        <v>-2.8013364136119456</v>
      </c>
      <c r="Q100" s="19">
        <f t="shared" si="29"/>
        <v>-3.4209985328076673</v>
      </c>
      <c r="R100" s="18">
        <f t="shared" si="25"/>
        <v>-2.8013364136119456</v>
      </c>
      <c r="S100" s="18">
        <f t="shared" si="26"/>
        <v>-3.4209985328076673</v>
      </c>
      <c r="T100" s="17">
        <f t="shared" si="30"/>
        <v>0.19117014235024099</v>
      </c>
      <c r="V100" s="17">
        <f t="shared" si="27"/>
        <v>28.242424</v>
      </c>
      <c r="W100" s="17">
        <f t="shared" si="31"/>
        <v>0.19117014235024099</v>
      </c>
      <c r="X100" s="17">
        <f t="shared" si="32"/>
        <v>6.2549067606734523</v>
      </c>
      <c r="Z100" s="21">
        <f t="shared" si="33"/>
        <v>28.242424</v>
      </c>
      <c r="AA100" s="20">
        <f t="shared" si="34"/>
        <v>0.2047802612833792</v>
      </c>
    </row>
    <row r="101" spans="1:27" x14ac:dyDescent="0.25">
      <c r="A101" s="16">
        <v>28535353</v>
      </c>
      <c r="B101" s="16" t="str">
        <f>COMPLEX(0.67915,0.262453)</f>
        <v>0.67915+0.262453i</v>
      </c>
      <c r="C101" s="16" t="str">
        <f>COMPLEX(0.309774,-0.595481)</f>
        <v>0.309774-0.595481i</v>
      </c>
      <c r="D101" s="16" t="str">
        <f>COMPLEX(0.309774,-0.595481)</f>
        <v>0.309774-0.595481i</v>
      </c>
      <c r="E101" s="16" t="str">
        <f>COMPLEX(0.67915,0.262453)</f>
        <v>0.67915+0.262453i</v>
      </c>
      <c r="G101" s="16" t="str">
        <f t="shared" si="21"/>
        <v>136.729272843204+152.743206624645i</v>
      </c>
      <c r="H101" s="16" t="str">
        <f t="shared" si="22"/>
        <v>136.729272843204+152.743206624645i</v>
      </c>
      <c r="N101" s="19">
        <f t="shared" si="23"/>
        <v>0.72809772675719842</v>
      </c>
      <c r="O101" s="19">
        <f t="shared" si="24"/>
        <v>0.67123583965473721</v>
      </c>
      <c r="P101" s="19">
        <f t="shared" si="28"/>
        <v>-2.7562064977249841</v>
      </c>
      <c r="Q101" s="19">
        <f t="shared" si="29"/>
        <v>-3.4624972608474307</v>
      </c>
      <c r="R101" s="18">
        <f t="shared" si="25"/>
        <v>-2.7562064977249841</v>
      </c>
      <c r="S101" s="18">
        <f t="shared" si="26"/>
        <v>-3.4624972608474307</v>
      </c>
      <c r="T101" s="17">
        <f t="shared" si="30"/>
        <v>0.18230863514295034</v>
      </c>
      <c r="V101" s="17">
        <f t="shared" si="27"/>
        <v>28.535353000000001</v>
      </c>
      <c r="W101" s="17">
        <f t="shared" si="31"/>
        <v>0.18230863514295034</v>
      </c>
      <c r="X101" s="17">
        <f t="shared" si="32"/>
        <v>6.3555839609110309</v>
      </c>
      <c r="Z101" s="21">
        <f t="shared" si="33"/>
        <v>28.535353000000001</v>
      </c>
      <c r="AA101" s="20">
        <f t="shared" si="34"/>
        <v>0.19967678733231284</v>
      </c>
    </row>
    <row r="102" spans="1:27" x14ac:dyDescent="0.25">
      <c r="A102" s="16">
        <v>28828282</v>
      </c>
      <c r="B102" s="16" t="str">
        <f>COMPLEX(0.681758,0.256436)</f>
        <v>0.681758+0.256436i</v>
      </c>
      <c r="C102" s="16" t="str">
        <f>COMPLEX(0.300308,-0.598057)</f>
        <v>0.300308-0.598057i</v>
      </c>
      <c r="D102" s="16" t="str">
        <f>COMPLEX(0.300308,-0.598057)</f>
        <v>0.300308-0.598057i</v>
      </c>
      <c r="E102" s="16" t="str">
        <f>COMPLEX(0.681758,0.256436)</f>
        <v>0.681758+0.256436i</v>
      </c>
      <c r="G102" s="16" t="str">
        <f t="shared" si="21"/>
        <v>140.521412560464+153.520116613631i</v>
      </c>
      <c r="H102" s="16" t="str">
        <f t="shared" si="22"/>
        <v>140.521412560464+153.520116613631i</v>
      </c>
      <c r="N102" s="19">
        <f t="shared" si="23"/>
        <v>0.72839096140740245</v>
      </c>
      <c r="O102" s="19">
        <f t="shared" si="24"/>
        <v>0.66922124152853957</v>
      </c>
      <c r="P102" s="19">
        <f t="shared" si="28"/>
        <v>-2.7527090399488419</v>
      </c>
      <c r="Q102" s="19">
        <f t="shared" si="29"/>
        <v>-3.4886056538872641</v>
      </c>
      <c r="R102" s="18">
        <f t="shared" si="25"/>
        <v>-2.7527090399488419</v>
      </c>
      <c r="S102" s="18">
        <f t="shared" si="26"/>
        <v>-3.4886056538872641</v>
      </c>
      <c r="T102" s="17">
        <f t="shared" si="30"/>
        <v>0.20446770177826767</v>
      </c>
      <c r="V102" s="17">
        <f t="shared" si="27"/>
        <v>28.828282000000002</v>
      </c>
      <c r="W102" s="17">
        <f t="shared" si="31"/>
        <v>0.20446770177826767</v>
      </c>
      <c r="X102" s="17">
        <f t="shared" si="32"/>
        <v>6.3635251991739432</v>
      </c>
      <c r="Z102" s="21">
        <f t="shared" si="33"/>
        <v>28.828282000000002</v>
      </c>
      <c r="AA102" s="20">
        <f t="shared" si="34"/>
        <v>0.1944360215427807</v>
      </c>
    </row>
    <row r="103" spans="1:27" x14ac:dyDescent="0.25">
      <c r="A103" s="16">
        <v>29121212</v>
      </c>
      <c r="B103" s="16" t="str">
        <f>COMPLEX(0.686762,0.250996)</f>
        <v>0.686762+0.250996i</v>
      </c>
      <c r="C103" s="16" t="str">
        <f>COMPLEX(0.290104,-0.602409)</f>
        <v>0.290104-0.602409i</v>
      </c>
      <c r="D103" s="16" t="str">
        <f>COMPLEX(0.290104,-0.602409)</f>
        <v>0.290104-0.602409i</v>
      </c>
      <c r="E103" s="16" t="str">
        <f>COMPLEX(0.686762,0.250996)</f>
        <v>0.686762+0.250996i</v>
      </c>
      <c r="G103" s="16" t="str">
        <f t="shared" si="21"/>
        <v>144.416435712516+155.784891035247i</v>
      </c>
      <c r="H103" s="16" t="str">
        <f t="shared" si="22"/>
        <v>144.416435712516+155.784891035247i</v>
      </c>
      <c r="N103" s="19">
        <f t="shared" si="23"/>
        <v>0.73119151845463859</v>
      </c>
      <c r="O103" s="19">
        <f t="shared" si="24"/>
        <v>0.66862316299766344</v>
      </c>
      <c r="P103" s="19">
        <f t="shared" si="28"/>
        <v>-2.7193770979383274</v>
      </c>
      <c r="Q103" s="19">
        <f t="shared" si="29"/>
        <v>-3.4963716458704495</v>
      </c>
      <c r="R103" s="18">
        <f t="shared" si="25"/>
        <v>-2.7193770979383274</v>
      </c>
      <c r="S103" s="18">
        <f t="shared" si="26"/>
        <v>-3.4963716458704495</v>
      </c>
      <c r="T103" s="17">
        <f t="shared" si="30"/>
        <v>0.1742524791943327</v>
      </c>
      <c r="V103" s="17">
        <f t="shared" si="27"/>
        <v>29.121212</v>
      </c>
      <c r="W103" s="17">
        <f t="shared" si="31"/>
        <v>0.1742524791943327</v>
      </c>
      <c r="X103" s="17">
        <f t="shared" si="32"/>
        <v>6.4402414257992833</v>
      </c>
      <c r="Z103" s="21">
        <f t="shared" si="33"/>
        <v>29.121212</v>
      </c>
      <c r="AA103" s="20">
        <f t="shared" si="34"/>
        <v>0.18905794532084472</v>
      </c>
    </row>
    <row r="104" spans="1:27" x14ac:dyDescent="0.25">
      <c r="A104" s="16">
        <v>29414141</v>
      </c>
      <c r="B104" s="16" t="str">
        <f>COMPLEX(0.690603,0.247115)</f>
        <v>0.690603+0.247115i</v>
      </c>
      <c r="C104" s="16" t="str">
        <f>COMPLEX(0.285122,-0.600559)</f>
        <v>0.285122-0.600559i</v>
      </c>
      <c r="D104" s="16" t="str">
        <f>COMPLEX(0.285122,-0.600559)</f>
        <v>0.285122-0.600559i</v>
      </c>
      <c r="E104" s="16" t="str">
        <f>COMPLEX(0.690603,0.247115)</f>
        <v>0.690603+0.247115i</v>
      </c>
      <c r="G104" s="16" t="str">
        <f t="shared" si="21"/>
        <v>147.329171807984+157.606564676871i</v>
      </c>
      <c r="H104" s="16" t="str">
        <f t="shared" si="22"/>
        <v>147.329171807984+157.606564676871i</v>
      </c>
      <c r="N104" s="19">
        <f t="shared" si="23"/>
        <v>0.73348369227543142</v>
      </c>
      <c r="O104" s="19">
        <f t="shared" si="24"/>
        <v>0.66480498446160885</v>
      </c>
      <c r="P104" s="19">
        <f t="shared" si="28"/>
        <v>-2.692190749802486</v>
      </c>
      <c r="Q104" s="19">
        <f t="shared" si="29"/>
        <v>-3.5461146606504848</v>
      </c>
      <c r="R104" s="18">
        <f t="shared" si="25"/>
        <v>-2.692190749802486</v>
      </c>
      <c r="S104" s="18">
        <f t="shared" si="26"/>
        <v>-3.5461146606504848</v>
      </c>
      <c r="T104" s="17">
        <f t="shared" si="30"/>
        <v>0.19255014446813393</v>
      </c>
      <c r="V104" s="17">
        <f t="shared" si="27"/>
        <v>29.414141000000001</v>
      </c>
      <c r="W104" s="17">
        <f t="shared" si="31"/>
        <v>0.19255014446813393</v>
      </c>
      <c r="X104" s="17">
        <f t="shared" si="32"/>
        <v>6.5042312310093271</v>
      </c>
      <c r="Z104" s="21">
        <f t="shared" si="33"/>
        <v>29.414141000000001</v>
      </c>
      <c r="AA104" s="20">
        <f t="shared" si="34"/>
        <v>0.18354259538569515</v>
      </c>
    </row>
    <row r="105" spans="1:27" x14ac:dyDescent="0.25">
      <c r="A105" s="16">
        <v>29707070</v>
      </c>
      <c r="B105" s="16" t="str">
        <f>COMPLEX(0.694506,0.24056)</f>
        <v>0.694506+0.24056i</v>
      </c>
      <c r="C105" s="16" t="str">
        <f>COMPLEX(0.277215,-0.604244)</f>
        <v>0.277215-0.604244i</v>
      </c>
      <c r="D105" s="16" t="str">
        <f>COMPLEX(0.277215,-0.604244)</f>
        <v>0.277215-0.604244i</v>
      </c>
      <c r="E105" s="16" t="str">
        <f>COMPLEX(0.694506,0.24056)</f>
        <v>0.694506+0.24056i</v>
      </c>
      <c r="G105" s="16" t="str">
        <f t="shared" si="21"/>
        <v>152.052045644493+159.105056401236i</v>
      </c>
      <c r="H105" s="16" t="str">
        <f t="shared" si="22"/>
        <v>152.052045644493+159.105056401236i</v>
      </c>
      <c r="N105" s="19">
        <f t="shared" si="23"/>
        <v>0.73498822959010712</v>
      </c>
      <c r="O105" s="19">
        <f t="shared" si="24"/>
        <v>0.66479994566862</v>
      </c>
      <c r="P105" s="19">
        <f t="shared" si="28"/>
        <v>-2.6743923166833792</v>
      </c>
      <c r="Q105" s="19">
        <f t="shared" si="29"/>
        <v>-3.5461804943411073</v>
      </c>
      <c r="R105" s="18">
        <f t="shared" si="25"/>
        <v>-2.6743923166833792</v>
      </c>
      <c r="S105" s="18">
        <f t="shared" si="26"/>
        <v>-3.5461804943411073</v>
      </c>
      <c r="T105" s="17">
        <f t="shared" si="30"/>
        <v>0.17179745665278295</v>
      </c>
      <c r="V105" s="17">
        <f t="shared" si="27"/>
        <v>29.707070000000002</v>
      </c>
      <c r="W105" s="17">
        <f t="shared" si="31"/>
        <v>0.17179745665278295</v>
      </c>
      <c r="X105" s="17">
        <f t="shared" si="32"/>
        <v>6.5468346062765672</v>
      </c>
      <c r="Z105" s="21">
        <f t="shared" si="33"/>
        <v>29.707070000000002</v>
      </c>
      <c r="AA105" s="20">
        <f t="shared" si="34"/>
        <v>0.17788995361208002</v>
      </c>
    </row>
    <row r="106" spans="1:27" x14ac:dyDescent="0.25">
      <c r="A106" s="16">
        <v>30000000</v>
      </c>
      <c r="B106" s="16" t="str">
        <f>COMPLEX(0.696395,0.234811)</f>
        <v>0.696395+0.234811i</v>
      </c>
      <c r="C106" s="16" t="str">
        <f>COMPLEX(0.27041,-0.605211)</f>
        <v>0.27041-0.605211i</v>
      </c>
      <c r="D106" s="16" t="str">
        <f>COMPLEX(0.27041,-0.605211)</f>
        <v>0.27041-0.605211i</v>
      </c>
      <c r="E106" s="16" t="str">
        <f>COMPLEX(0.696395,0.234811)</f>
        <v>0.696395+0.234811i</v>
      </c>
      <c r="G106" s="16" t="str">
        <f t="shared" si="21"/>
        <v>156.096301868792+159.396843721655i</v>
      </c>
      <c r="H106" s="16" t="str">
        <f t="shared" si="22"/>
        <v>156.096301868792+159.396843721655i</v>
      </c>
      <c r="M106" s="16">
        <f>IMARGUMENT(B106)*180/PI()</f>
        <v>18.633116822913525</v>
      </c>
      <c r="N106" s="19">
        <f t="shared" si="23"/>
        <v>0.73491645902510583</v>
      </c>
      <c r="O106" s="19">
        <f t="shared" si="24"/>
        <v>0.6628739869847059</v>
      </c>
      <c r="P106" s="19">
        <f t="shared" si="28"/>
        <v>-2.6752405229816336</v>
      </c>
      <c r="Q106" s="19">
        <f t="shared" si="29"/>
        <v>-3.5713804713816586</v>
      </c>
      <c r="R106" s="18">
        <f t="shared" si="25"/>
        <v>-2.6752405229816336</v>
      </c>
      <c r="S106" s="18">
        <f t="shared" si="26"/>
        <v>-3.5713804713816586</v>
      </c>
      <c r="T106" s="17">
        <f t="shared" si="30"/>
        <v>0.19799377546238475</v>
      </c>
      <c r="V106" s="17">
        <f t="shared" si="27"/>
        <v>30</v>
      </c>
      <c r="W106" s="17">
        <f t="shared" si="31"/>
        <v>0.19799377546238475</v>
      </c>
      <c r="X106" s="17">
        <f t="shared" si="32"/>
        <v>6.5447913236884752</v>
      </c>
      <c r="Z106" s="21">
        <f t="shared" si="33"/>
        <v>30</v>
      </c>
      <c r="AA106" s="20">
        <f t="shared" si="34"/>
        <v>0.17209999999999989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6"/>
  <sheetViews>
    <sheetView topLeftCell="B1" workbookViewId="0">
      <selection activeCell="Y7" sqref="Y7:Y106"/>
    </sheetView>
  </sheetViews>
  <sheetFormatPr defaultRowHeight="15" x14ac:dyDescent="0.25"/>
  <cols>
    <col min="1" max="1" width="9.140625" style="16"/>
    <col min="2" max="2" width="22.42578125" style="16" customWidth="1"/>
    <col min="3" max="3" width="19.5703125" style="16" customWidth="1"/>
    <col min="4" max="15" width="9.140625" style="16"/>
    <col min="16" max="16" width="10.28515625" style="16" bestFit="1" customWidth="1"/>
    <col min="17" max="17" width="9.28515625" style="16" bestFit="1" customWidth="1"/>
    <col min="18" max="18" width="10.28515625" style="16" bestFit="1" customWidth="1"/>
    <col min="19" max="19" width="9.140625" style="16"/>
    <col min="20" max="20" width="11.5703125" style="16" bestFit="1" customWidth="1"/>
    <col min="21" max="16384" width="9.140625" style="16"/>
  </cols>
  <sheetData>
    <row r="1" spans="1:25" x14ac:dyDescent="0.25">
      <c r="A1" s="16" t="s">
        <v>48</v>
      </c>
    </row>
    <row r="2" spans="1:25" x14ac:dyDescent="0.25">
      <c r="A2" s="16" t="s">
        <v>47</v>
      </c>
      <c r="S2" s="16">
        <f>10^(-0.03)</f>
        <v>0.93325430079699101</v>
      </c>
    </row>
    <row r="3" spans="1:25" x14ac:dyDescent="0.25">
      <c r="A3" s="16" t="s">
        <v>46</v>
      </c>
      <c r="B3" s="16" t="s">
        <v>45</v>
      </c>
    </row>
    <row r="4" spans="1:25" x14ac:dyDescent="0.25">
      <c r="A4" s="16" t="s">
        <v>44</v>
      </c>
      <c r="B4" s="16" t="str">
        <f>COMPLEX(50,0)</f>
        <v>50</v>
      </c>
      <c r="D4" s="16" t="s">
        <v>43</v>
      </c>
      <c r="E4" s="16" t="str">
        <f>COMPLEX(1,0)</f>
        <v>1</v>
      </c>
    </row>
    <row r="6" spans="1:25" x14ac:dyDescent="0.25">
      <c r="A6" s="16" t="s">
        <v>42</v>
      </c>
      <c r="B6" s="16" t="s">
        <v>41</v>
      </c>
      <c r="C6" s="16" t="s">
        <v>40</v>
      </c>
      <c r="D6" s="16" t="s">
        <v>39</v>
      </c>
      <c r="E6" s="16" t="s">
        <v>38</v>
      </c>
      <c r="G6" s="16" t="s">
        <v>37</v>
      </c>
      <c r="H6" s="16" t="s">
        <v>36</v>
      </c>
      <c r="P6" s="16" t="s">
        <v>35</v>
      </c>
      <c r="Q6" s="16" t="s">
        <v>34</v>
      </c>
      <c r="R6" s="16" t="s">
        <v>33</v>
      </c>
    </row>
    <row r="7" spans="1:25" x14ac:dyDescent="0.25">
      <c r="A7">
        <v>1000000</v>
      </c>
      <c r="B7" t="str">
        <f>COMPLEX(-0.0131872,0.010162)</f>
        <v>-0.0131872+0.010162i</v>
      </c>
      <c r="C7" t="str">
        <f>COMPLEX(1.00825,-0.0857242)</f>
        <v>1.00825-0.0857242i</v>
      </c>
      <c r="D7" t="str">
        <f>COMPLEX(1.00825,-0.0857242)</f>
        <v>1.00825-0.0857242i</v>
      </c>
      <c r="E7" t="str">
        <f>COMPLEX(-0.0131872,0.010162)</f>
        <v>-0.0131872+0.010162i</v>
      </c>
      <c r="F7"/>
      <c r="G7" t="str">
        <f t="shared" ref="G7:G70" si="0">IMPRODUCT($B$4,(IMDIV(IMSUM($E$4,$B7),IMSUB($E$4,$B7))))</f>
        <v>48.6885162501947+0.989819751112605i</v>
      </c>
      <c r="H7" t="str">
        <f t="shared" ref="H7:H70" si="1">IMPRODUCT($B$4,(IMDIV(IMSUM($E$4,$E7),IMSUB($E$4,$E7))))</f>
        <v>48.6885162501947+0.989819751112605i</v>
      </c>
      <c r="N7" s="19">
        <f t="shared" ref="N7:O38" si="2">IMABS(B7)</f>
        <v>1.6648377934201278E-2</v>
      </c>
      <c r="O7" s="19">
        <f t="shared" si="2"/>
        <v>1.0118876918737771</v>
      </c>
      <c r="P7" s="18">
        <f t="shared" ref="P7:Q38" si="3">20*LOG(N7)</f>
        <v>-35.572561475636526</v>
      </c>
      <c r="Q7" s="18">
        <f t="shared" si="3"/>
        <v>0.10264626774126256</v>
      </c>
      <c r="R7" s="17">
        <f>-10*LOG(O7^2/(1-N7^2))</f>
        <v>-0.10385016203801578</v>
      </c>
      <c r="T7" s="17">
        <f t="shared" ref="T7:T70" si="4">A7/1000000</f>
        <v>1</v>
      </c>
      <c r="U7" s="17">
        <f>R7</f>
        <v>-0.10385016203801578</v>
      </c>
      <c r="V7" s="17">
        <f>(1+N7)/(1-N7)</f>
        <v>1.0338604779015401</v>
      </c>
      <c r="X7" s="21">
        <f>T7</f>
        <v>1</v>
      </c>
      <c r="Y7" s="20">
        <f>-0.0007*X7^2+0.0213*X7-0.0262</f>
        <v>-5.6000000000000008E-3</v>
      </c>
    </row>
    <row r="8" spans="1:25" x14ac:dyDescent="0.25">
      <c r="A8">
        <v>1292929</v>
      </c>
      <c r="B8" t="str">
        <f>COMPLEX(-0.0170852,0.0160999)</f>
        <v>-0.0170852+0.0160999i</v>
      </c>
      <c r="C8" t="str">
        <f>COMPLEX(0.985222,-0.0645947)</f>
        <v>0.985222-0.0645947i</v>
      </c>
      <c r="D8" t="str">
        <f>COMPLEX(0.985222,-0.0645947)</f>
        <v>0.985222-0.0645947i</v>
      </c>
      <c r="E8" t="str">
        <f>COMPLEX(-0.0170852,0.0160999)</f>
        <v>-0.0170852+0.0160999i</v>
      </c>
      <c r="F8"/>
      <c r="G8" t="str">
        <f t="shared" si="0"/>
        <v>48.2955499954042+1.55596455967603i</v>
      </c>
      <c r="H8" t="str">
        <f t="shared" si="1"/>
        <v>48.2955499954042+1.55596455967603i</v>
      </c>
      <c r="N8" s="19">
        <f t="shared" si="2"/>
        <v>2.3475750021032339E-2</v>
      </c>
      <c r="O8" s="19">
        <f t="shared" si="2"/>
        <v>0.98733725978111964</v>
      </c>
      <c r="P8" s="18">
        <f t="shared" si="3"/>
        <v>-32.587610473426793</v>
      </c>
      <c r="Q8" s="18">
        <f t="shared" si="3"/>
        <v>-0.11068946853112219</v>
      </c>
      <c r="R8" s="17">
        <f t="shared" ref="R8:R71" si="5">-10*LOG(O8^2/(1-N8^2))</f>
        <v>0.1082953647990867</v>
      </c>
      <c r="T8" s="17">
        <f t="shared" si="4"/>
        <v>1.292929</v>
      </c>
      <c r="U8" s="17">
        <f t="shared" ref="U8:U71" si="6">R8</f>
        <v>0.1082953647990867</v>
      </c>
      <c r="V8" s="17">
        <f t="shared" ref="V8:V71" si="7">(1+N8)/(1-N8)</f>
        <v>1.0480802192501373</v>
      </c>
      <c r="X8" s="21">
        <f t="shared" ref="X8:X71" si="8">T8</f>
        <v>1.292929</v>
      </c>
      <c r="Y8" s="20">
        <f t="shared" ref="Y8:Y71" si="9">-0.0007*X8^2+0.0213*X8-0.0262</f>
        <v>1.6922192067130026E-4</v>
      </c>
    </row>
    <row r="9" spans="1:25" x14ac:dyDescent="0.25">
      <c r="A9">
        <v>1585858</v>
      </c>
      <c r="B9" t="str">
        <f>COMPLEX(-0.0193789,0.0366795)</f>
        <v>-0.0193789+0.0366795i</v>
      </c>
      <c r="C9" t="str">
        <f>COMPLEX(1.00917,-0.110319)</f>
        <v>1.00917-0.110319i</v>
      </c>
      <c r="D9" t="str">
        <f>COMPLEX(1.00917,-0.110319)</f>
        <v>1.00917-0.110319i</v>
      </c>
      <c r="E9" t="str">
        <f>COMPLEX(-0.0193789,0.0366795)</f>
        <v>-0.0193789+0.0366795i</v>
      </c>
      <c r="F9"/>
      <c r="G9" t="str">
        <f t="shared" si="0"/>
        <v>47.9721039048581+3.5252522738878i</v>
      </c>
      <c r="H9" t="str">
        <f t="shared" si="1"/>
        <v>47.9721039048581+3.5252522738878i</v>
      </c>
      <c r="N9" s="19">
        <f t="shared" si="2"/>
        <v>4.1484063029794953E-2</v>
      </c>
      <c r="O9" s="19">
        <f t="shared" si="2"/>
        <v>1.0151819396842126</v>
      </c>
      <c r="P9" s="18">
        <f t="shared" si="3"/>
        <v>-27.642374291076933</v>
      </c>
      <c r="Q9" s="18">
        <f t="shared" si="3"/>
        <v>0.13087765917078675</v>
      </c>
      <c r="R9" s="17">
        <f t="shared" si="5"/>
        <v>-0.13835799067947357</v>
      </c>
      <c r="T9" s="17">
        <f t="shared" si="4"/>
        <v>1.585858</v>
      </c>
      <c r="U9" s="17">
        <f t="shared" si="6"/>
        <v>-0.13835799067947357</v>
      </c>
      <c r="V9" s="17">
        <f t="shared" si="7"/>
        <v>1.0865589426941045</v>
      </c>
      <c r="X9" s="21">
        <f t="shared" si="8"/>
        <v>1.585858</v>
      </c>
      <c r="Y9" s="20">
        <f t="shared" si="9"/>
        <v>5.8183134826852029E-3</v>
      </c>
    </row>
    <row r="10" spans="1:25" x14ac:dyDescent="0.25">
      <c r="A10">
        <v>1878787</v>
      </c>
      <c r="B10" t="str">
        <f>COMPLEX(-0.0180292,0.0597545)</f>
        <v>-0.0180292+0.0597545i</v>
      </c>
      <c r="C10" t="str">
        <f>COMPLEX(0.981653,-0.105424)</f>
        <v>0.981653-0.105424i</v>
      </c>
      <c r="D10" t="str">
        <f>COMPLEX(0.981653,-0.105424)</f>
        <v>0.981653-0.105424i</v>
      </c>
      <c r="E10" t="str">
        <f>COMPLEX(-0.0180292,0.0597545)</f>
        <v>-0.0180292+0.0597545i</v>
      </c>
      <c r="F10"/>
      <c r="G10" t="str">
        <f t="shared" si="0"/>
        <v>47.8917479792576+5.7458788555638i</v>
      </c>
      <c r="H10" t="str">
        <f t="shared" si="1"/>
        <v>47.8917479792576+5.7458788555638i</v>
      </c>
      <c r="N10" s="19">
        <f t="shared" si="2"/>
        <v>6.2415161001875184E-2</v>
      </c>
      <c r="O10" s="19">
        <f t="shared" si="2"/>
        <v>0.98729774241866863</v>
      </c>
      <c r="P10" s="18">
        <f t="shared" si="3"/>
        <v>-24.094198097472422</v>
      </c>
      <c r="Q10" s="18">
        <f t="shared" si="3"/>
        <v>-0.11103712108331566</v>
      </c>
      <c r="R10" s="17">
        <f t="shared" si="5"/>
        <v>9.4085477676169427E-2</v>
      </c>
      <c r="T10" s="17">
        <f t="shared" si="4"/>
        <v>1.878787</v>
      </c>
      <c r="U10" s="17">
        <f t="shared" si="6"/>
        <v>9.4085477676169427E-2</v>
      </c>
      <c r="V10" s="17">
        <f t="shared" si="7"/>
        <v>1.1331402949488181</v>
      </c>
      <c r="X10" s="21">
        <f t="shared" si="8"/>
        <v>1.878787</v>
      </c>
      <c r="Y10" s="20">
        <f t="shared" si="9"/>
        <v>1.1347274686041693E-2</v>
      </c>
    </row>
    <row r="11" spans="1:25" x14ac:dyDescent="0.25">
      <c r="A11">
        <v>2171717</v>
      </c>
      <c r="B11" t="str">
        <f>COMPLEX(-0.0134643,0.0760353)</f>
        <v>-0.0134643+0.0760353i</v>
      </c>
      <c r="C11" t="str">
        <f>COMPLEX(0.980187,-0.142135)</f>
        <v>0.980187-0.142135i</v>
      </c>
      <c r="D11" t="str">
        <f>COMPLEX(0.980187,-0.142135)</f>
        <v>0.980187-0.142135i</v>
      </c>
      <c r="E11" t="str">
        <f>COMPLEX(-0.0134643,0.0760353)</f>
        <v>-0.0134643+0.0760353i</v>
      </c>
      <c r="F11"/>
      <c r="G11" t="str">
        <f t="shared" si="0"/>
        <v>48.1191675172776+7.3614041835775i</v>
      </c>
      <c r="H11" t="str">
        <f t="shared" si="1"/>
        <v>48.1191675172776+7.3614041835775i</v>
      </c>
      <c r="N11" s="19">
        <f t="shared" si="2"/>
        <v>7.7218224666072199E-2</v>
      </c>
      <c r="O11" s="19">
        <f t="shared" si="2"/>
        <v>0.99043874782542718</v>
      </c>
      <c r="P11" s="18">
        <f t="shared" si="3"/>
        <v>-22.245603750326314</v>
      </c>
      <c r="Q11" s="18">
        <f t="shared" si="3"/>
        <v>-8.3447551503505968E-2</v>
      </c>
      <c r="R11" s="17">
        <f t="shared" si="5"/>
        <v>5.7474562088784015E-2</v>
      </c>
      <c r="T11" s="17">
        <f t="shared" si="4"/>
        <v>2.1717170000000001</v>
      </c>
      <c r="U11" s="17">
        <f t="shared" si="6"/>
        <v>5.7474562088784015E-2</v>
      </c>
      <c r="V11" s="17">
        <f t="shared" si="7"/>
        <v>1.1673596655896876</v>
      </c>
      <c r="X11" s="21">
        <f t="shared" si="8"/>
        <v>2.1717170000000001</v>
      </c>
      <c r="Y11" s="20">
        <f t="shared" si="9"/>
        <v>1.6756123790337696E-2</v>
      </c>
    </row>
    <row r="12" spans="1:25" x14ac:dyDescent="0.25">
      <c r="A12">
        <v>2464646</v>
      </c>
      <c r="B12" t="str">
        <f>COMPLEX(-0.0104632,0.085804)</f>
        <v>-0.0104632+0.085804i</v>
      </c>
      <c r="C12" t="str">
        <f>COMPLEX(0.986689,-0.145736)</f>
        <v>0.986689-0.145736i</v>
      </c>
      <c r="D12" t="str">
        <f>COMPLEX(0.986689,-0.145736)</f>
        <v>0.986689-0.145736i</v>
      </c>
      <c r="E12" t="str">
        <f>COMPLEX(-0.0104632,0.085804)</f>
        <v>-0.0104632+0.085804i</v>
      </c>
      <c r="F12"/>
      <c r="G12" t="str">
        <f t="shared" si="0"/>
        <v>48.2560252552406+8.34346069307685i</v>
      </c>
      <c r="H12" t="str">
        <f t="shared" si="1"/>
        <v>48.2560252552406+8.34346069307685i</v>
      </c>
      <c r="N12" s="19">
        <f t="shared" si="2"/>
        <v>8.6439603019912131E-2</v>
      </c>
      <c r="O12" s="19">
        <f t="shared" si="2"/>
        <v>0.99739368577157139</v>
      </c>
      <c r="P12" s="18">
        <f t="shared" si="3"/>
        <v>-21.2657447262566</v>
      </c>
      <c r="Q12" s="18">
        <f t="shared" si="3"/>
        <v>-2.2667710186365694E-2</v>
      </c>
      <c r="R12" s="17">
        <f t="shared" si="5"/>
        <v>-9.9037624453074766E-3</v>
      </c>
      <c r="T12" s="17">
        <f t="shared" si="4"/>
        <v>2.4646460000000001</v>
      </c>
      <c r="U12" s="17">
        <f t="shared" si="6"/>
        <v>-9.9037624453074766E-3</v>
      </c>
      <c r="V12" s="17">
        <f t="shared" si="7"/>
        <v>1.189236756115198</v>
      </c>
      <c r="X12" s="21">
        <f t="shared" si="8"/>
        <v>2.4646460000000001</v>
      </c>
      <c r="Y12" s="20">
        <f t="shared" si="9"/>
        <v>2.2044823866278797E-2</v>
      </c>
    </row>
    <row r="13" spans="1:25" x14ac:dyDescent="0.25">
      <c r="A13">
        <v>2757575</v>
      </c>
      <c r="B13" t="str">
        <f>COMPLEX(-0.0080829,0.0949276)</f>
        <v>-0.0080829+0.0949276i</v>
      </c>
      <c r="C13" t="str">
        <f>COMPLEX(0.975482,-0.169918)</f>
        <v>0.975482-0.169918i</v>
      </c>
      <c r="D13" t="str">
        <f>COMPLEX(0.975482,-0.169918)</f>
        <v>0.975482-0.169918i</v>
      </c>
      <c r="E13" t="str">
        <f>COMPLEX(-0.0080829,0.0949276)</f>
        <v>-0.0080829+0.0949276i</v>
      </c>
      <c r="F13"/>
      <c r="G13" t="str">
        <f t="shared" si="0"/>
        <v>48.3262999260633+9.2590397762539i</v>
      </c>
      <c r="H13" t="str">
        <f t="shared" si="1"/>
        <v>48.3262999260633+9.2590397762539i</v>
      </c>
      <c r="N13" s="19">
        <f t="shared" si="2"/>
        <v>9.5271100099505526E-2</v>
      </c>
      <c r="O13" s="19">
        <f t="shared" si="2"/>
        <v>0.99017031820187373</v>
      </c>
      <c r="P13" s="18">
        <f t="shared" si="3"/>
        <v>-20.420776398726499</v>
      </c>
      <c r="Q13" s="18">
        <f t="shared" si="3"/>
        <v>-8.5801928386900275E-2</v>
      </c>
      <c r="R13" s="17">
        <f t="shared" si="5"/>
        <v>4.6202846110598883E-2</v>
      </c>
      <c r="T13" s="17">
        <f t="shared" si="4"/>
        <v>2.7575750000000001</v>
      </c>
      <c r="U13" s="17">
        <f t="shared" si="6"/>
        <v>4.6202846110598883E-2</v>
      </c>
      <c r="V13" s="17">
        <f t="shared" si="7"/>
        <v>1.2106069566474196</v>
      </c>
      <c r="X13" s="21">
        <f t="shared" si="8"/>
        <v>2.7575750000000001</v>
      </c>
      <c r="Y13" s="20">
        <f t="shared" si="9"/>
        <v>2.7213393583562499E-2</v>
      </c>
    </row>
    <row r="14" spans="1:25" x14ac:dyDescent="0.25">
      <c r="A14">
        <v>3050505</v>
      </c>
      <c r="B14" t="str">
        <f>COMPLEX(-0.00392435,0.103644)</f>
        <v>-0.00392435+0.103644i</v>
      </c>
      <c r="C14" t="str">
        <f>COMPLEX(0.971168,-0.191457)</f>
        <v>0.971168-0.191457i</v>
      </c>
      <c r="D14" t="str">
        <f>COMPLEX(0.971168,-0.191457)</f>
        <v>0.971168-0.191457i</v>
      </c>
      <c r="E14" t="str">
        <f>COMPLEX(-0.00392435,0.103644)</f>
        <v>-0.00392435+0.103644i</v>
      </c>
      <c r="F14"/>
      <c r="G14" t="str">
        <f t="shared" si="0"/>
        <v>48.5586353629227+10.1750806259005i</v>
      </c>
      <c r="H14" t="str">
        <f t="shared" si="1"/>
        <v>48.5586353629227+10.1750806259005i</v>
      </c>
      <c r="N14" s="19">
        <f t="shared" si="2"/>
        <v>0.10371826868455961</v>
      </c>
      <c r="O14" s="19">
        <f t="shared" si="2"/>
        <v>0.9898601250040332</v>
      </c>
      <c r="P14" s="18">
        <f t="shared" si="3"/>
        <v>-19.682894825909045</v>
      </c>
      <c r="Q14" s="18">
        <f t="shared" si="3"/>
        <v>-8.8523405639139602E-2</v>
      </c>
      <c r="R14" s="17">
        <f t="shared" si="5"/>
        <v>4.1551159910792154E-2</v>
      </c>
      <c r="T14" s="17">
        <f t="shared" si="4"/>
        <v>3.0505049999999998</v>
      </c>
      <c r="U14" s="17">
        <f t="shared" si="6"/>
        <v>4.1551159910792154E-2</v>
      </c>
      <c r="V14" s="17">
        <f t="shared" si="7"/>
        <v>1.2314412200108911</v>
      </c>
      <c r="X14" s="21">
        <f t="shared" si="8"/>
        <v>3.0505049999999998</v>
      </c>
      <c r="Y14" s="20">
        <f t="shared" si="9"/>
        <v>3.2261849971482494E-2</v>
      </c>
    </row>
    <row r="15" spans="1:25" x14ac:dyDescent="0.25">
      <c r="A15">
        <v>3343434</v>
      </c>
      <c r="B15" t="str">
        <f>COMPLEX(0.000133326,0.112647)</f>
        <v>0.000133326+0.112647i</v>
      </c>
      <c r="C15" t="str">
        <f>COMPLEX(0.959149,-0.203777)</f>
        <v>0.959149-0.203777i</v>
      </c>
      <c r="D15" t="str">
        <f>COMPLEX(0.959149,-0.203777)</f>
        <v>0.959149-0.203777i</v>
      </c>
      <c r="E15" t="str">
        <f>COMPLEX(0.000133326,0.112647)</f>
        <v>0.000133326+0.112647i</v>
      </c>
      <c r="F15"/>
      <c r="G15" t="str">
        <f t="shared" si="0"/>
        <v>48.7598027749451+11.126478952122i</v>
      </c>
      <c r="H15" t="str">
        <f t="shared" si="1"/>
        <v>48.7598027749451+11.126478952122i</v>
      </c>
      <c r="N15" s="19">
        <f t="shared" si="2"/>
        <v>0.1126470789005302</v>
      </c>
      <c r="O15" s="19">
        <f t="shared" si="2"/>
        <v>0.98055691825105185</v>
      </c>
      <c r="P15" s="18">
        <f t="shared" si="3"/>
        <v>-18.965601313393194</v>
      </c>
      <c r="Q15" s="18">
        <f t="shared" si="3"/>
        <v>-0.17054383666235923</v>
      </c>
      <c r="R15" s="17">
        <f t="shared" si="5"/>
        <v>0.11508199059796537</v>
      </c>
      <c r="T15" s="17">
        <f t="shared" si="4"/>
        <v>3.3434339999999998</v>
      </c>
      <c r="U15" s="17">
        <f t="shared" si="6"/>
        <v>0.11508199059796537</v>
      </c>
      <c r="V15" s="17">
        <f t="shared" si="7"/>
        <v>1.2538946482780615</v>
      </c>
      <c r="X15" s="21">
        <f t="shared" si="8"/>
        <v>3.3434339999999998</v>
      </c>
      <c r="Y15" s="20">
        <f t="shared" si="9"/>
        <v>3.71901585613508E-2</v>
      </c>
    </row>
    <row r="16" spans="1:25" x14ac:dyDescent="0.25">
      <c r="A16">
        <v>3636363</v>
      </c>
      <c r="B16" t="str">
        <f>COMPLEX(0.00403503,0.119677)</f>
        <v>0.00403503+0.119677i</v>
      </c>
      <c r="C16" t="str">
        <f>COMPLEX(0.953816,-0.219041)</f>
        <v>0.953816-0.219041i</v>
      </c>
      <c r="D16" t="str">
        <f>COMPLEX(0.953816,-0.219041)</f>
        <v>0.953816-0.219041i</v>
      </c>
      <c r="E16" t="str">
        <f>COMPLEX(0.00403503,0.119677)</f>
        <v>0.00403503+0.119677i</v>
      </c>
      <c r="F16"/>
      <c r="G16" t="str">
        <f t="shared" si="0"/>
        <v>48.976035455263+11.8931441887756i</v>
      </c>
      <c r="H16" t="str">
        <f t="shared" si="1"/>
        <v>48.976035455263+11.8931441887756i</v>
      </c>
      <c r="N16" s="19">
        <f t="shared" si="2"/>
        <v>0.11974500321976238</v>
      </c>
      <c r="O16" s="19">
        <f t="shared" si="2"/>
        <v>0.97864391968529596</v>
      </c>
      <c r="P16" s="18">
        <f t="shared" si="3"/>
        <v>-18.434851999914883</v>
      </c>
      <c r="Q16" s="18">
        <f t="shared" si="3"/>
        <v>-0.18750595650096263</v>
      </c>
      <c r="R16" s="17">
        <f t="shared" si="5"/>
        <v>0.12478227791896976</v>
      </c>
      <c r="T16" s="17">
        <f t="shared" si="4"/>
        <v>3.6363629999999998</v>
      </c>
      <c r="U16" s="17">
        <f t="shared" si="6"/>
        <v>0.12478227791896976</v>
      </c>
      <c r="V16" s="17">
        <f t="shared" si="7"/>
        <v>1.2720688974394032</v>
      </c>
      <c r="X16" s="21">
        <f t="shared" si="8"/>
        <v>3.6363629999999998</v>
      </c>
      <c r="Y16" s="20">
        <f t="shared" si="9"/>
        <v>4.1998336792561694E-2</v>
      </c>
    </row>
    <row r="17" spans="1:25" x14ac:dyDescent="0.25">
      <c r="A17">
        <v>3929292</v>
      </c>
      <c r="B17" t="str">
        <f>COMPLEX(0.00670137,0.128068)</f>
        <v>0.00670137+0.128068i</v>
      </c>
      <c r="C17" t="str">
        <f>COMPLEX(0.956065,-0.236427)</f>
        <v>0.956065-0.236427i</v>
      </c>
      <c r="D17" t="str">
        <f>COMPLEX(0.956065,-0.236427)</f>
        <v>0.956065-0.236427i</v>
      </c>
      <c r="E17" t="str">
        <f>COMPLEX(0.00670137,0.128068)</f>
        <v>0.00670137+0.128068i</v>
      </c>
      <c r="F17"/>
      <c r="G17" t="str">
        <f t="shared" si="0"/>
        <v>49.0284618566306+12.7679397413998i</v>
      </c>
      <c r="H17" t="str">
        <f t="shared" si="1"/>
        <v>49.0284618566306+12.7679397413998i</v>
      </c>
      <c r="N17" s="19">
        <f t="shared" si="2"/>
        <v>0.12824321028372962</v>
      </c>
      <c r="O17" s="19">
        <f t="shared" si="2"/>
        <v>0.98486446303742725</v>
      </c>
      <c r="P17" s="18">
        <f t="shared" si="3"/>
        <v>-17.839312378415329</v>
      </c>
      <c r="Q17" s="18">
        <f t="shared" si="3"/>
        <v>-0.13247065918707249</v>
      </c>
      <c r="R17" s="17">
        <f t="shared" si="5"/>
        <v>6.0451331372821042E-2</v>
      </c>
      <c r="T17" s="17">
        <f t="shared" si="4"/>
        <v>3.9292919999999998</v>
      </c>
      <c r="U17" s="17">
        <f t="shared" si="6"/>
        <v>6.0451331372821042E-2</v>
      </c>
      <c r="V17" s="17">
        <f t="shared" si="7"/>
        <v>1.2942178639651749</v>
      </c>
      <c r="X17" s="21">
        <f t="shared" si="8"/>
        <v>3.9292919999999998</v>
      </c>
      <c r="Y17" s="20">
        <f t="shared" si="9"/>
        <v>4.6686384665115196E-2</v>
      </c>
    </row>
    <row r="18" spans="1:25" x14ac:dyDescent="0.25">
      <c r="A18">
        <v>4222222</v>
      </c>
      <c r="B18" t="str">
        <f>COMPLEX(0.00957209,0.135287)</f>
        <v>0.00957209+0.135287i</v>
      </c>
      <c r="C18" t="str">
        <f>COMPLEX(0.95077,-0.25925)</f>
        <v>0.95077-0.25925i</v>
      </c>
      <c r="D18" t="str">
        <f>COMPLEX(0.95077,-0.25925)</f>
        <v>0.95077-0.25925i</v>
      </c>
      <c r="E18" t="str">
        <f>COMPLEX(0.00957209,0.135287)</f>
        <v>0.00957209+0.135287i</v>
      </c>
      <c r="F18"/>
      <c r="G18" t="str">
        <f t="shared" si="0"/>
        <v>49.1171271330055+13.5388539065331i</v>
      </c>
      <c r="H18" t="str">
        <f t="shared" si="1"/>
        <v>49.1171271330055+13.5388539065331i</v>
      </c>
      <c r="N18" s="19">
        <f t="shared" si="2"/>
        <v>0.1356252088513345</v>
      </c>
      <c r="O18" s="19">
        <f t="shared" si="2"/>
        <v>0.98548168699372585</v>
      </c>
      <c r="P18" s="18">
        <f t="shared" si="3"/>
        <v>-17.353191600603239</v>
      </c>
      <c r="Q18" s="18">
        <f t="shared" si="3"/>
        <v>-0.12702883431619175</v>
      </c>
      <c r="R18" s="17">
        <f t="shared" si="5"/>
        <v>4.6400004728757931E-2</v>
      </c>
      <c r="T18" s="17">
        <f t="shared" si="4"/>
        <v>4.2222220000000004</v>
      </c>
      <c r="U18" s="17">
        <f t="shared" si="6"/>
        <v>4.6400004728757931E-2</v>
      </c>
      <c r="V18" s="17">
        <f t="shared" si="7"/>
        <v>1.3138111158265098</v>
      </c>
      <c r="X18" s="21">
        <f t="shared" si="8"/>
        <v>4.2222220000000004</v>
      </c>
      <c r="Y18" s="20">
        <f t="shared" si="9"/>
        <v>5.1254317567901192E-2</v>
      </c>
    </row>
    <row r="19" spans="1:25" x14ac:dyDescent="0.25">
      <c r="A19">
        <v>4515151</v>
      </c>
      <c r="B19" t="str">
        <f>COMPLEX(0.0149546,0.14305)</f>
        <v>0.0149546+0.14305i</v>
      </c>
      <c r="C19" t="str">
        <f>COMPLEX(0.938503,-0.282324)</f>
        <v>0.938503-0.282324i</v>
      </c>
      <c r="D19" t="str">
        <f>COMPLEX(0.938503,-0.282324)</f>
        <v>0.938503-0.282324i</v>
      </c>
      <c r="E19" t="str">
        <f>COMPLEX(0.0149546,0.14305)</f>
        <v>0.0149546+0.14305i</v>
      </c>
      <c r="F19"/>
      <c r="G19" t="str">
        <f t="shared" si="0"/>
        <v>49.4214300226061+14.4381523579865i</v>
      </c>
      <c r="H19" t="str">
        <f t="shared" si="1"/>
        <v>49.4214300226061+14.4381523579865i</v>
      </c>
      <c r="N19" s="19">
        <f t="shared" si="2"/>
        <v>0.14382956080430753</v>
      </c>
      <c r="O19" s="19">
        <f t="shared" si="2"/>
        <v>0.98004832635181827</v>
      </c>
      <c r="P19" s="18">
        <f t="shared" si="3"/>
        <v>-16.843036913997928</v>
      </c>
      <c r="Q19" s="18">
        <f t="shared" si="3"/>
        <v>-0.17505017287542959</v>
      </c>
      <c r="R19" s="17">
        <f t="shared" si="5"/>
        <v>8.4265623949047297E-2</v>
      </c>
      <c r="T19" s="17">
        <f t="shared" si="4"/>
        <v>4.5151510000000004</v>
      </c>
      <c r="U19" s="17">
        <f t="shared" si="6"/>
        <v>8.4265623949047297E-2</v>
      </c>
      <c r="V19" s="17">
        <f t="shared" si="7"/>
        <v>1.3359834776342538</v>
      </c>
      <c r="X19" s="21">
        <f t="shared" si="8"/>
        <v>4.5151510000000004</v>
      </c>
      <c r="Y19" s="20">
        <f t="shared" si="9"/>
        <v>5.5702104313039291E-2</v>
      </c>
    </row>
    <row r="20" spans="1:25" x14ac:dyDescent="0.25">
      <c r="A20">
        <v>4808080</v>
      </c>
      <c r="B20" t="str">
        <f>COMPLEX(0.0181965,0.150554)</f>
        <v>0.0181965+0.150554i</v>
      </c>
      <c r="C20" t="str">
        <f>COMPLEX(0.93637,-0.281979)</f>
        <v>0.93637-0.281979i</v>
      </c>
      <c r="D20" t="str">
        <f>COMPLEX(0.93637,-0.281979)</f>
        <v>0.93637-0.281979i</v>
      </c>
      <c r="E20" t="str">
        <f>COMPLEX(0.0181965,0.150554)</f>
        <v>0.0181965+0.150554i</v>
      </c>
      <c r="F20"/>
      <c r="G20" t="str">
        <f t="shared" si="0"/>
        <v>49.5133694457516+15.2598109739227i</v>
      </c>
      <c r="H20" t="str">
        <f t="shared" si="1"/>
        <v>49.5133694457516+15.2598109739227i</v>
      </c>
      <c r="N20" s="19">
        <f t="shared" si="2"/>
        <v>0.15164966049500408</v>
      </c>
      <c r="O20" s="19">
        <f t="shared" si="2"/>
        <v>0.97790640315983202</v>
      </c>
      <c r="P20" s="18">
        <f t="shared" si="3"/>
        <v>-16.383171152540982</v>
      </c>
      <c r="Q20" s="18">
        <f t="shared" si="3"/>
        <v>-0.19405420356114683</v>
      </c>
      <c r="R20" s="17">
        <f t="shared" si="5"/>
        <v>9.3010422371046453E-2</v>
      </c>
      <c r="T20" s="17">
        <f t="shared" si="4"/>
        <v>4.8080800000000004</v>
      </c>
      <c r="U20" s="17">
        <f t="shared" si="6"/>
        <v>9.3010422371046453E-2</v>
      </c>
      <c r="V20" s="17">
        <f t="shared" si="7"/>
        <v>1.357516590571509</v>
      </c>
      <c r="X20" s="21">
        <f t="shared" si="8"/>
        <v>4.8080800000000004</v>
      </c>
      <c r="Y20" s="20">
        <f t="shared" si="9"/>
        <v>6.0029760699519999E-2</v>
      </c>
    </row>
    <row r="21" spans="1:25" x14ac:dyDescent="0.25">
      <c r="A21">
        <v>5101010</v>
      </c>
      <c r="B21" t="str">
        <f>COMPLEX(0.0242802,0.157505)</f>
        <v>0.0242802+0.157505i</v>
      </c>
      <c r="C21" t="str">
        <f>COMPLEX(0.935506,-0.301725)</f>
        <v>0.935506-0.301725i</v>
      </c>
      <c r="D21" t="str">
        <f>COMPLEX(0.935506,-0.301725)</f>
        <v>0.935506-0.301725i</v>
      </c>
      <c r="E21" t="str">
        <f>COMPLEX(0.0242802,0.157505)</f>
        <v>0.0242802+0.157505i</v>
      </c>
      <c r="F21"/>
      <c r="G21" t="str">
        <f t="shared" si="0"/>
        <v>49.8856356597227+16.1239805163169i</v>
      </c>
      <c r="H21" t="str">
        <f t="shared" si="1"/>
        <v>49.8856356597227+16.1239805163169i</v>
      </c>
      <c r="N21" s="19">
        <f t="shared" si="2"/>
        <v>0.15936547034109994</v>
      </c>
      <c r="O21" s="19">
        <f t="shared" si="2"/>
        <v>0.98295953714331497</v>
      </c>
      <c r="P21" s="18">
        <f t="shared" si="3"/>
        <v>-15.952115423515608</v>
      </c>
      <c r="Q21" s="18">
        <f t="shared" si="3"/>
        <v>-0.14928718470136565</v>
      </c>
      <c r="R21" s="17">
        <f t="shared" si="5"/>
        <v>3.7563049904964445E-2</v>
      </c>
      <c r="T21" s="17">
        <f t="shared" si="4"/>
        <v>5.1010099999999996</v>
      </c>
      <c r="U21" s="17">
        <f t="shared" si="6"/>
        <v>3.7563049904964445E-2</v>
      </c>
      <c r="V21" s="17">
        <f t="shared" si="7"/>
        <v>1.3791551850856398</v>
      </c>
      <c r="X21" s="21">
        <f t="shared" si="8"/>
        <v>5.1010099999999996</v>
      </c>
      <c r="Y21" s="20">
        <f t="shared" si="9"/>
        <v>6.4237300885929993E-2</v>
      </c>
    </row>
    <row r="22" spans="1:25" x14ac:dyDescent="0.25">
      <c r="A22">
        <v>5393939</v>
      </c>
      <c r="B22" t="str">
        <f>COMPLEX(0.0277832,0.164964)</f>
        <v>0.0277832+0.164964i</v>
      </c>
      <c r="C22" t="str">
        <f>COMPLEX(0.929814,-0.310942)</f>
        <v>0.929814-0.310942i</v>
      </c>
      <c r="D22" t="str">
        <f>COMPLEX(0.929814,-0.310942)</f>
        <v>0.929814-0.310942i</v>
      </c>
      <c r="E22" t="str">
        <f>COMPLEX(0.0277832,0.164964)</f>
        <v>0.0277832+0.164964i</v>
      </c>
      <c r="F22"/>
      <c r="G22" t="str">
        <f t="shared" si="0"/>
        <v>49.9792447930826+16.9642986400215i</v>
      </c>
      <c r="H22" t="str">
        <f t="shared" si="1"/>
        <v>49.9792447930826+16.9642986400215i</v>
      </c>
      <c r="N22" s="19">
        <f t="shared" si="2"/>
        <v>0.16728726041823985</v>
      </c>
      <c r="O22" s="19">
        <f t="shared" si="2"/>
        <v>0.98042796877690097</v>
      </c>
      <c r="P22" s="18">
        <f t="shared" si="3"/>
        <v>-15.530742620169253</v>
      </c>
      <c r="Q22" s="18">
        <f t="shared" si="3"/>
        <v>-0.1716861615322596</v>
      </c>
      <c r="R22" s="17">
        <f t="shared" si="5"/>
        <v>4.8415708169632657E-2</v>
      </c>
      <c r="T22" s="17">
        <f t="shared" si="4"/>
        <v>5.3939389999999996</v>
      </c>
      <c r="U22" s="17">
        <f t="shared" si="6"/>
        <v>4.8415708169632657E-2</v>
      </c>
      <c r="V22" s="17">
        <f t="shared" si="7"/>
        <v>1.4017886420286108</v>
      </c>
      <c r="X22" s="21">
        <f t="shared" si="8"/>
        <v>5.3939389999999996</v>
      </c>
      <c r="Y22" s="20">
        <f t="shared" si="9"/>
        <v>6.8324696144995298E-2</v>
      </c>
    </row>
    <row r="23" spans="1:25" x14ac:dyDescent="0.25">
      <c r="A23">
        <v>5686868</v>
      </c>
      <c r="B23" t="str">
        <f>COMPLEX(0.0311996,0.172427)</f>
        <v>0.0311996+0.172427i</v>
      </c>
      <c r="C23" t="str">
        <f>COMPLEX(0.919752,-0.319427)</f>
        <v>0.919752-0.319427i</v>
      </c>
      <c r="D23" t="str">
        <f>COMPLEX(0.919752,-0.319427)</f>
        <v>0.919752-0.319427i</v>
      </c>
      <c r="E23" t="str">
        <f>COMPLEX(0.0311996,0.172427)</f>
        <v>0.0311996+0.172427i</v>
      </c>
      <c r="F23"/>
      <c r="G23" t="str">
        <f t="shared" si="0"/>
        <v>50.0511320797605+17.8070906567719i</v>
      </c>
      <c r="H23" t="str">
        <f t="shared" si="1"/>
        <v>50.0511320797605+17.8070906567719i</v>
      </c>
      <c r="N23" s="19">
        <f t="shared" si="2"/>
        <v>0.17522695388883525</v>
      </c>
      <c r="O23" s="19">
        <f t="shared" si="2"/>
        <v>0.97364128396088478</v>
      </c>
      <c r="P23" s="18">
        <f t="shared" si="3"/>
        <v>-15.127981773310575</v>
      </c>
      <c r="Q23" s="18">
        <f t="shared" si="3"/>
        <v>-0.23202039202079122</v>
      </c>
      <c r="R23" s="17">
        <f t="shared" si="5"/>
        <v>9.6582422668563594E-2</v>
      </c>
      <c r="T23" s="17">
        <f t="shared" si="4"/>
        <v>5.6868679999999996</v>
      </c>
      <c r="U23" s="17">
        <f t="shared" si="6"/>
        <v>9.6582422668563594E-2</v>
      </c>
      <c r="V23" s="17">
        <f t="shared" si="7"/>
        <v>1.4249095062333494</v>
      </c>
      <c r="X23" s="21">
        <f t="shared" si="8"/>
        <v>5.6868679999999996</v>
      </c>
      <c r="Y23" s="20">
        <f t="shared" si="9"/>
        <v>7.2291961045403197E-2</v>
      </c>
    </row>
    <row r="24" spans="1:25" x14ac:dyDescent="0.25">
      <c r="A24">
        <v>5979797</v>
      </c>
      <c r="B24" t="str">
        <f>COMPLEX(0.0374583,0.179386)</f>
        <v>0.0374583+0.179386i</v>
      </c>
      <c r="C24" t="str">
        <f>COMPLEX(0.912975,-0.331056)</f>
        <v>0.912975-0.331056i</v>
      </c>
      <c r="D24" t="str">
        <f>COMPLEX(0.912975,-0.331056)</f>
        <v>0.912975-0.331056i</v>
      </c>
      <c r="E24" t="str">
        <f>COMPLEX(0.0374583,0.179386)</f>
        <v>0.0374583+0.179386i</v>
      </c>
      <c r="F24"/>
      <c r="G24" t="str">
        <f t="shared" si="0"/>
        <v>50.4042950648225+18.7120463191343i</v>
      </c>
      <c r="H24" t="str">
        <f t="shared" si="1"/>
        <v>50.4042950648225+18.7120463191343i</v>
      </c>
      <c r="N24" s="19">
        <f t="shared" si="2"/>
        <v>0.1832551806495249</v>
      </c>
      <c r="O24" s="19">
        <f t="shared" si="2"/>
        <v>0.97114438975931894</v>
      </c>
      <c r="P24" s="18">
        <f t="shared" si="3"/>
        <v>-14.738874778953807</v>
      </c>
      <c r="Q24" s="18">
        <f t="shared" si="3"/>
        <v>-0.25432388765255937</v>
      </c>
      <c r="R24" s="17">
        <f t="shared" si="5"/>
        <v>0.10597191788782723</v>
      </c>
      <c r="T24" s="17">
        <f t="shared" si="4"/>
        <v>5.9797969999999996</v>
      </c>
      <c r="U24" s="17">
        <f t="shared" si="6"/>
        <v>0.10597191788782723</v>
      </c>
      <c r="V24" s="17">
        <f t="shared" si="7"/>
        <v>1.448745253860956</v>
      </c>
      <c r="X24" s="21">
        <f t="shared" si="8"/>
        <v>5.9797969999999996</v>
      </c>
      <c r="Y24" s="20">
        <f t="shared" si="9"/>
        <v>7.6139095587153705E-2</v>
      </c>
    </row>
    <row r="25" spans="1:25" x14ac:dyDescent="0.25">
      <c r="A25">
        <v>6272727</v>
      </c>
      <c r="B25" t="str">
        <f>COMPLEX(0.0414354,0.187208)</f>
        <v>0.0414354+0.187208i</v>
      </c>
      <c r="C25" t="str">
        <f>COMPLEX(0.911697,-0.346265)</f>
        <v>0.911697-0.346265i</v>
      </c>
      <c r="D25" t="str">
        <f>COMPLEX(0.911697,-0.346265)</f>
        <v>0.911697-0.346265i</v>
      </c>
      <c r="E25" t="str">
        <f>COMPLEX(0.0414354,0.187208)</f>
        <v>0.0414354+0.187208i</v>
      </c>
      <c r="F25"/>
      <c r="G25" t="str">
        <f t="shared" si="0"/>
        <v>50.48974808676+19.6256827759195i</v>
      </c>
      <c r="H25" t="str">
        <f t="shared" si="1"/>
        <v>50.48974808676+19.6256827759195i</v>
      </c>
      <c r="N25" s="19">
        <f t="shared" si="2"/>
        <v>0.19173869624350742</v>
      </c>
      <c r="O25" s="19">
        <f t="shared" si="2"/>
        <v>0.97523887844671175</v>
      </c>
      <c r="P25" s="18">
        <f t="shared" si="3"/>
        <v>-14.34580460012449</v>
      </c>
      <c r="Q25" s="18">
        <f t="shared" si="3"/>
        <v>-0.21777987301275806</v>
      </c>
      <c r="R25" s="17">
        <f t="shared" si="5"/>
        <v>5.5108156486026558E-2</v>
      </c>
      <c r="T25" s="17">
        <f t="shared" si="4"/>
        <v>6.2727269999999997</v>
      </c>
      <c r="U25" s="17">
        <f t="shared" si="6"/>
        <v>5.5108156486026558E-2</v>
      </c>
      <c r="V25" s="17">
        <f t="shared" si="7"/>
        <v>1.4744472990414823</v>
      </c>
      <c r="X25" s="21">
        <f t="shared" si="8"/>
        <v>6.2727269999999997</v>
      </c>
      <c r="Y25" s="20">
        <f t="shared" si="9"/>
        <v>7.98661122884297E-2</v>
      </c>
    </row>
    <row r="26" spans="1:25" x14ac:dyDescent="0.25">
      <c r="A26">
        <v>6565656</v>
      </c>
      <c r="B26" t="str">
        <f>COMPLEX(0.0462961,0.193246)</f>
        <v>0.0462961+0.193246i</v>
      </c>
      <c r="C26" t="str">
        <f>COMPLEX(0.9031,-0.355678)</f>
        <v>0.9031-0.355678i</v>
      </c>
      <c r="D26" t="str">
        <f>COMPLEX(0.9031,-0.355678)</f>
        <v>0.9031-0.355678i</v>
      </c>
      <c r="E26" t="str">
        <f>COMPLEX(0.0462961,0.193246)</f>
        <v>0.0462961+0.193246i</v>
      </c>
      <c r="F26"/>
      <c r="G26" t="str">
        <f t="shared" si="0"/>
        <v>50.719061095828+20.4083842799891i</v>
      </c>
      <c r="H26" t="str">
        <f t="shared" si="1"/>
        <v>50.719061095828+20.4083842799891i</v>
      </c>
      <c r="N26" s="19">
        <f t="shared" si="2"/>
        <v>0.19871423046981312</v>
      </c>
      <c r="O26" s="19">
        <f t="shared" si="2"/>
        <v>0.97061653070818854</v>
      </c>
      <c r="P26" s="18">
        <f t="shared" si="3"/>
        <v>-14.035420615204963</v>
      </c>
      <c r="Q26" s="18">
        <f t="shared" si="3"/>
        <v>-0.25904632853308801</v>
      </c>
      <c r="R26" s="17">
        <f t="shared" si="5"/>
        <v>8.4077238527543757E-2</v>
      </c>
      <c r="T26" s="17">
        <f t="shared" si="4"/>
        <v>6.5656559999999997</v>
      </c>
      <c r="U26" s="17">
        <f t="shared" si="6"/>
        <v>8.4077238527543757E-2</v>
      </c>
      <c r="V26" s="17">
        <f t="shared" si="7"/>
        <v>1.4959884176810578</v>
      </c>
      <c r="X26" s="21">
        <f t="shared" si="8"/>
        <v>6.5656559999999997</v>
      </c>
      <c r="Y26" s="20">
        <f t="shared" si="9"/>
        <v>8.347298570276479E-2</v>
      </c>
    </row>
    <row r="27" spans="1:25" x14ac:dyDescent="0.25">
      <c r="A27">
        <v>6858585</v>
      </c>
      <c r="B27" t="str">
        <f>COMPLEX(0.0523914,0.200552)</f>
        <v>0.0523914+0.200552i</v>
      </c>
      <c r="C27" t="str">
        <f>COMPLEX(0.906211,-0.366143)</f>
        <v>0.906211-0.366143i</v>
      </c>
      <c r="D27" t="str">
        <f>COMPLEX(0.906211,-0.366143)</f>
        <v>0.906211-0.366143i</v>
      </c>
      <c r="E27" t="str">
        <f>COMPLEX(0.0523914,0.200552)</f>
        <v>0.0523914+0.200552i</v>
      </c>
      <c r="F27"/>
      <c r="G27" t="str">
        <f t="shared" si="0"/>
        <v>51.004647798933+21.3766360134042i</v>
      </c>
      <c r="H27" t="str">
        <f t="shared" si="1"/>
        <v>51.004647798933+21.3766360134042i</v>
      </c>
      <c r="N27" s="19">
        <f t="shared" si="2"/>
        <v>0.20728232799242682</v>
      </c>
      <c r="O27" s="19">
        <f t="shared" si="2"/>
        <v>0.9773837900077943</v>
      </c>
      <c r="P27" s="18">
        <f t="shared" si="3"/>
        <v>-13.668754448477499</v>
      </c>
      <c r="Q27" s="18">
        <f t="shared" si="3"/>
        <v>-0.1986973611711623</v>
      </c>
      <c r="R27" s="17">
        <f t="shared" si="5"/>
        <v>7.9711966424277046E-3</v>
      </c>
      <c r="T27" s="17">
        <f t="shared" si="4"/>
        <v>6.8585849999999997</v>
      </c>
      <c r="U27" s="17">
        <f t="shared" si="6"/>
        <v>7.9711966424277046E-3</v>
      </c>
      <c r="V27" s="17">
        <f t="shared" si="7"/>
        <v>1.5229663354608463</v>
      </c>
      <c r="X27" s="21">
        <f t="shared" si="8"/>
        <v>6.8585849999999997</v>
      </c>
      <c r="Y27" s="20">
        <f t="shared" si="9"/>
        <v>8.6959728758442503E-2</v>
      </c>
    </row>
    <row r="28" spans="1:25" x14ac:dyDescent="0.25">
      <c r="A28">
        <v>7151515</v>
      </c>
      <c r="B28" t="str">
        <f>COMPLEX(0.0569443,0.207328)</f>
        <v>0.0569443+0.207328i</v>
      </c>
      <c r="C28" t="str">
        <f>COMPLEX(0.896102,-0.376085)</f>
        <v>0.896102-0.376085i</v>
      </c>
      <c r="D28" t="str">
        <f>COMPLEX(0.896102,-0.376085)</f>
        <v>0.896102-0.376085i</v>
      </c>
      <c r="E28" t="str">
        <f>COMPLEX(0.0569443,0.207328)</f>
        <v>0.0569443+0.207328i</v>
      </c>
      <c r="F28"/>
      <c r="G28" t="str">
        <f t="shared" si="0"/>
        <v>51.1494475351835+22.2374061877517i</v>
      </c>
      <c r="H28" t="str">
        <f t="shared" si="1"/>
        <v>51.1494475351835+22.2374061877517i</v>
      </c>
      <c r="N28" s="19">
        <f t="shared" si="2"/>
        <v>0.21500593686335734</v>
      </c>
      <c r="O28" s="19">
        <f t="shared" si="2"/>
        <v>0.97182237143883443</v>
      </c>
      <c r="P28" s="18">
        <f t="shared" si="3"/>
        <v>-13.350990958767131</v>
      </c>
      <c r="Q28" s="18">
        <f t="shared" si="3"/>
        <v>-0.24826215319418893</v>
      </c>
      <c r="R28" s="17">
        <f t="shared" si="5"/>
        <v>4.2709875592243457E-2</v>
      </c>
      <c r="T28" s="17">
        <f t="shared" si="4"/>
        <v>7.1515149999999998</v>
      </c>
      <c r="U28" s="17">
        <f t="shared" si="6"/>
        <v>4.2709875592243457E-2</v>
      </c>
      <c r="V28" s="17">
        <f t="shared" si="7"/>
        <v>1.5477899692750454</v>
      </c>
      <c r="X28" s="21">
        <f t="shared" si="8"/>
        <v>7.1515149999999998</v>
      </c>
      <c r="Y28" s="20">
        <f t="shared" si="9"/>
        <v>9.0326352743342497E-2</v>
      </c>
    </row>
    <row r="29" spans="1:25" x14ac:dyDescent="0.25">
      <c r="A29">
        <v>7444444</v>
      </c>
      <c r="B29" t="str">
        <f>COMPLEX(0.0619326,0.214314)</f>
        <v>0.0619326+0.214314i</v>
      </c>
      <c r="C29" t="str">
        <f>COMPLEX(0.88857,-0.387695)</f>
        <v>0.88857-0.387695i</v>
      </c>
      <c r="D29" t="str">
        <f>COMPLEX(0.88857,-0.387695)</f>
        <v>0.88857-0.387695i</v>
      </c>
      <c r="E29" t="str">
        <f>COMPLEX(0.0619326,0.214314)</f>
        <v>0.0619326+0.214314i</v>
      </c>
      <c r="F29"/>
      <c r="G29" t="str">
        <f t="shared" si="0"/>
        <v>51.314013407696+23.1465366661893i</v>
      </c>
      <c r="H29" t="str">
        <f t="shared" si="1"/>
        <v>51.314013407696+23.1465366661893i</v>
      </c>
      <c r="N29" s="19">
        <f t="shared" si="2"/>
        <v>0.22308325248382052</v>
      </c>
      <c r="O29" s="19">
        <f t="shared" si="2"/>
        <v>0.96946586217617781</v>
      </c>
      <c r="P29" s="18">
        <f t="shared" si="3"/>
        <v>-13.030660645140955</v>
      </c>
      <c r="Q29" s="18">
        <f t="shared" si="3"/>
        <v>-0.2693495827532506</v>
      </c>
      <c r="R29" s="17">
        <f t="shared" si="5"/>
        <v>4.7654611192158927E-2</v>
      </c>
      <c r="T29" s="17">
        <f t="shared" si="4"/>
        <v>7.4444439999999998</v>
      </c>
      <c r="U29" s="17">
        <f t="shared" si="6"/>
        <v>4.7654611192158927E-2</v>
      </c>
      <c r="V29" s="17">
        <f t="shared" si="7"/>
        <v>1.5742783977743375</v>
      </c>
      <c r="X29" s="21">
        <f t="shared" si="8"/>
        <v>7.4444439999999998</v>
      </c>
      <c r="Y29" s="20">
        <f t="shared" si="9"/>
        <v>9.3572834671604793E-2</v>
      </c>
    </row>
    <row r="30" spans="1:25" x14ac:dyDescent="0.25">
      <c r="A30">
        <v>7737373</v>
      </c>
      <c r="B30" t="str">
        <f>COMPLEX(0.0673894,0.220681)</f>
        <v>0.0673894+0.220681i</v>
      </c>
      <c r="C30" t="str">
        <f>COMPLEX(0.885057,-0.38783)</f>
        <v>0.885057-0.38783i</v>
      </c>
      <c r="D30" t="str">
        <f>COMPLEX(0.885057,-0.38783)</f>
        <v>0.885057-0.38783i</v>
      </c>
      <c r="E30" t="str">
        <f>COMPLEX(0.0673894,0.220681)</f>
        <v>0.0673894+0.220681i</v>
      </c>
      <c r="F30"/>
      <c r="G30" t="str">
        <f t="shared" si="0"/>
        <v>51.5403963610065+24.0272158705286i</v>
      </c>
      <c r="H30" t="str">
        <f t="shared" si="1"/>
        <v>51.5403963610065+24.0272158705286i</v>
      </c>
      <c r="N30" s="19">
        <f t="shared" si="2"/>
        <v>0.23074105615030885</v>
      </c>
      <c r="O30" s="19">
        <f t="shared" si="2"/>
        <v>0.96630119639220147</v>
      </c>
      <c r="P30" s="18">
        <f t="shared" si="3"/>
        <v>-12.73750247688362</v>
      </c>
      <c r="Q30" s="18">
        <f t="shared" si="3"/>
        <v>-0.29774965507425766</v>
      </c>
      <c r="R30" s="17">
        <f t="shared" si="5"/>
        <v>6.0142082343224393E-2</v>
      </c>
      <c r="T30" s="17">
        <f t="shared" si="4"/>
        <v>7.7373729999999998</v>
      </c>
      <c r="U30" s="17">
        <f t="shared" si="6"/>
        <v>6.0142082343224393E-2</v>
      </c>
      <c r="V30" s="17">
        <f t="shared" si="7"/>
        <v>1.5999047732759135</v>
      </c>
      <c r="X30" s="21">
        <f t="shared" si="8"/>
        <v>7.7373729999999998</v>
      </c>
      <c r="Y30" s="20">
        <f t="shared" si="9"/>
        <v>9.6699186241209711E-2</v>
      </c>
    </row>
    <row r="31" spans="1:25" x14ac:dyDescent="0.25">
      <c r="A31">
        <v>8030303</v>
      </c>
      <c r="B31" t="str">
        <f>COMPLEX(0.0733742,0.227409)</f>
        <v>0.0733742+0.227409i</v>
      </c>
      <c r="C31" t="str">
        <f>COMPLEX(0.872036,-0.401359)</f>
        <v>0.872036-0.401359i</v>
      </c>
      <c r="D31" t="str">
        <f>COMPLEX(0.872036,-0.401359)</f>
        <v>0.872036-0.401359i</v>
      </c>
      <c r="E31" t="str">
        <f>COMPLEX(0.0733742,0.227409)</f>
        <v>0.0733742+0.227409i</v>
      </c>
      <c r="F31"/>
      <c r="G31" t="str">
        <f t="shared" si="0"/>
        <v>51.787836485285+24.9803859414255i</v>
      </c>
      <c r="H31" t="str">
        <f t="shared" si="1"/>
        <v>51.787836485285+24.9803859414255i</v>
      </c>
      <c r="N31" s="19">
        <f t="shared" si="2"/>
        <v>0.23895318894427836</v>
      </c>
      <c r="O31" s="19">
        <f t="shared" si="2"/>
        <v>0.95996657867709134</v>
      </c>
      <c r="P31" s="18">
        <f t="shared" si="3"/>
        <v>-12.433743384750182</v>
      </c>
      <c r="Q31" s="18">
        <f t="shared" si="3"/>
        <v>-0.35487773397486988</v>
      </c>
      <c r="R31" s="17">
        <f t="shared" si="5"/>
        <v>9.9540417576509735E-2</v>
      </c>
      <c r="T31" s="17">
        <f t="shared" si="4"/>
        <v>8.030303</v>
      </c>
      <c r="U31" s="17">
        <f t="shared" si="6"/>
        <v>9.9540417576509735E-2</v>
      </c>
      <c r="V31" s="17">
        <f t="shared" si="7"/>
        <v>1.6279592410690307</v>
      </c>
      <c r="X31" s="21">
        <f t="shared" si="8"/>
        <v>8.030303</v>
      </c>
      <c r="Y31" s="20">
        <f t="shared" si="9"/>
        <v>9.9705417509733718E-2</v>
      </c>
    </row>
    <row r="32" spans="1:25" x14ac:dyDescent="0.25">
      <c r="A32">
        <v>8323232</v>
      </c>
      <c r="B32" t="str">
        <f>COMPLEX(0.0777532,0.233652)</f>
        <v>0.0777532+0.233652i</v>
      </c>
      <c r="C32" t="str">
        <f>COMPLEX(0.86921,-0.40947)</f>
        <v>0.86921-0.40947i</v>
      </c>
      <c r="D32" t="str">
        <f>COMPLEX(0.86921,-0.40947)</f>
        <v>0.86921-0.40947i</v>
      </c>
      <c r="E32" t="str">
        <f>COMPLEX(0.0777532,0.233652)</f>
        <v>0.0777532+0.233652i</v>
      </c>
      <c r="F32"/>
      <c r="G32" t="str">
        <f t="shared" si="0"/>
        <v>51.890815361407+25.8141234979871i</v>
      </c>
      <c r="H32" t="str">
        <f t="shared" si="1"/>
        <v>51.890815361407+25.8141234979871i</v>
      </c>
      <c r="N32" s="19">
        <f t="shared" si="2"/>
        <v>0.24624950195734407</v>
      </c>
      <c r="O32" s="19">
        <f t="shared" si="2"/>
        <v>0.96082865538034423</v>
      </c>
      <c r="P32" s="18">
        <f t="shared" si="3"/>
        <v>-12.172492783908206</v>
      </c>
      <c r="Q32" s="18">
        <f t="shared" si="3"/>
        <v>-0.34708106364374502</v>
      </c>
      <c r="R32" s="17">
        <f t="shared" si="5"/>
        <v>7.540716235177021E-2</v>
      </c>
      <c r="T32" s="17">
        <f t="shared" si="4"/>
        <v>8.3232320000000009</v>
      </c>
      <c r="U32" s="17">
        <f t="shared" si="6"/>
        <v>7.540716235177021E-2</v>
      </c>
      <c r="V32" s="17">
        <f t="shared" si="7"/>
        <v>1.6533979150841196</v>
      </c>
      <c r="X32" s="21">
        <f t="shared" si="8"/>
        <v>8.3232320000000009</v>
      </c>
      <c r="Y32" s="20">
        <f t="shared" si="9"/>
        <v>0.10259150795192321</v>
      </c>
    </row>
    <row r="33" spans="1:25" x14ac:dyDescent="0.25">
      <c r="A33">
        <v>8616161</v>
      </c>
      <c r="B33" t="str">
        <f>COMPLEX(0.0828035,0.24025)</f>
        <v>0.0828035+0.24025i</v>
      </c>
      <c r="C33" t="str">
        <f>COMPLEX(0.864957,-0.413618)</f>
        <v>0.864957-0.413618i</v>
      </c>
      <c r="D33" t="str">
        <f>COMPLEX(0.864957,-0.413618)</f>
        <v>0.864957-0.413618i</v>
      </c>
      <c r="E33" t="str">
        <f>COMPLEX(0.0828035,0.24025)</f>
        <v>0.0828035+0.24025i</v>
      </c>
      <c r="F33"/>
      <c r="G33" t="str">
        <f t="shared" si="0"/>
        <v>52.0275457899775+26.7250451523115i</v>
      </c>
      <c r="H33" t="str">
        <f t="shared" si="1"/>
        <v>52.0275457899775+26.7250451523115i</v>
      </c>
      <c r="N33" s="19">
        <f t="shared" si="2"/>
        <v>0.25411903138539227</v>
      </c>
      <c r="O33" s="19">
        <f t="shared" si="2"/>
        <v>0.95876507121035637</v>
      </c>
      <c r="P33" s="18">
        <f t="shared" si="3"/>
        <v>-11.899256174305242</v>
      </c>
      <c r="Q33" s="18">
        <f t="shared" si="3"/>
        <v>-0.36575592282433889</v>
      </c>
      <c r="R33" s="17">
        <f t="shared" si="5"/>
        <v>7.5838767778200034E-2</v>
      </c>
      <c r="T33" s="17">
        <f t="shared" si="4"/>
        <v>8.616161</v>
      </c>
      <c r="U33" s="17">
        <f t="shared" si="6"/>
        <v>7.5838767778200034E-2</v>
      </c>
      <c r="V33" s="17">
        <f t="shared" si="7"/>
        <v>1.6813929891719601</v>
      </c>
      <c r="X33" s="21">
        <f t="shared" si="8"/>
        <v>8.616161</v>
      </c>
      <c r="Y33" s="20">
        <f t="shared" si="9"/>
        <v>0.10535746803545532</v>
      </c>
    </row>
    <row r="34" spans="1:25" x14ac:dyDescent="0.25">
      <c r="A34">
        <v>8909090</v>
      </c>
      <c r="B34" t="str">
        <f>COMPLEX(0.0896212,0.245893)</f>
        <v>0.0896212+0.245893i</v>
      </c>
      <c r="C34" t="str">
        <f>COMPLEX(0.856278,-0.41547)</f>
        <v>0.856278-0.41547i</v>
      </c>
      <c r="D34" t="str">
        <f>COMPLEX(0.856278,-0.41547)</f>
        <v>0.856278-0.41547i</v>
      </c>
      <c r="E34" t="str">
        <f>COMPLEX(0.0896212,0.245893)</f>
        <v>0.0896212+0.245893i</v>
      </c>
      <c r="F34"/>
      <c r="G34" t="str">
        <f t="shared" si="0"/>
        <v>52.375687773589+27.651637970602i</v>
      </c>
      <c r="H34" t="str">
        <f t="shared" si="1"/>
        <v>52.375687773589+27.651637970602i</v>
      </c>
      <c r="N34" s="19">
        <f t="shared" si="2"/>
        <v>0.26171611898857128</v>
      </c>
      <c r="O34" s="19">
        <f t="shared" si="2"/>
        <v>0.95174961738053776</v>
      </c>
      <c r="P34" s="18">
        <f t="shared" si="3"/>
        <v>-11.643390570342584</v>
      </c>
      <c r="Q34" s="18">
        <f t="shared" si="3"/>
        <v>-0.42954578214591504</v>
      </c>
      <c r="R34" s="17">
        <f t="shared" si="5"/>
        <v>0.12139616169084227</v>
      </c>
      <c r="T34" s="17">
        <f t="shared" si="4"/>
        <v>8.9090900000000008</v>
      </c>
      <c r="U34" s="17">
        <f t="shared" si="6"/>
        <v>0.12139616169084227</v>
      </c>
      <c r="V34" s="17">
        <f t="shared" si="7"/>
        <v>1.7089850549900327</v>
      </c>
      <c r="X34" s="21">
        <f t="shared" si="8"/>
        <v>8.9090900000000008</v>
      </c>
      <c r="Y34" s="20">
        <f t="shared" si="9"/>
        <v>0.10800329776033002</v>
      </c>
    </row>
    <row r="35" spans="1:25" x14ac:dyDescent="0.25">
      <c r="A35">
        <v>9202020</v>
      </c>
      <c r="B35" t="str">
        <f>COMPLEX(0.0955513,0.251945)</f>
        <v>0.0955513+0.251945i</v>
      </c>
      <c r="C35" t="str">
        <f>COMPLEX(0.854684,-0.417705)</f>
        <v>0.854684-0.417705i</v>
      </c>
      <c r="D35" t="str">
        <f>COMPLEX(0.854684,-0.417705)</f>
        <v>0.854684-0.417705i</v>
      </c>
      <c r="E35" t="str">
        <f>COMPLEX(0.0955513,0.251945)</f>
        <v>0.0955513+0.251945i</v>
      </c>
      <c r="F35"/>
      <c r="G35" t="str">
        <f t="shared" si="0"/>
        <v>52.602934639916+28.581274281066i</v>
      </c>
      <c r="H35" t="str">
        <f t="shared" si="1"/>
        <v>52.602934639916+28.581274281066i</v>
      </c>
      <c r="N35" s="19">
        <f t="shared" si="2"/>
        <v>0.26945562520884581</v>
      </c>
      <c r="O35" s="19">
        <f t="shared" si="2"/>
        <v>0.95129501569229291</v>
      </c>
      <c r="P35" s="18">
        <f t="shared" si="3"/>
        <v>-11.390254911118934</v>
      </c>
      <c r="Q35" s="18">
        <f t="shared" si="3"/>
        <v>-0.43369557464143343</v>
      </c>
      <c r="R35" s="17">
        <f t="shared" si="5"/>
        <v>0.10633682869267735</v>
      </c>
      <c r="T35" s="17">
        <f t="shared" si="4"/>
        <v>9.2020199999999992</v>
      </c>
      <c r="U35" s="17">
        <f t="shared" si="6"/>
        <v>0.10633682869267735</v>
      </c>
      <c r="V35" s="17">
        <f t="shared" si="7"/>
        <v>1.7376844843569619</v>
      </c>
      <c r="X35" s="21">
        <f t="shared" si="8"/>
        <v>9.2020199999999992</v>
      </c>
      <c r="Y35" s="20">
        <f t="shared" si="9"/>
        <v>0.11052900554371997</v>
      </c>
    </row>
    <row r="36" spans="1:25" x14ac:dyDescent="0.25">
      <c r="A36">
        <v>9494949</v>
      </c>
      <c r="B36" t="str">
        <f>COMPLEX(0.101059,0.258564)</f>
        <v>0.101059+0.258564i</v>
      </c>
      <c r="C36" t="str">
        <f>COMPLEX(0.850206,-0.426789)</f>
        <v>0.850206-0.426789i</v>
      </c>
      <c r="D36" t="str">
        <f>COMPLEX(0.850206,-0.426789)</f>
        <v>0.850206-0.426789i</v>
      </c>
      <c r="E36" t="str">
        <f>COMPLEX(0.101059,0.258564)</f>
        <v>0.101059+0.258564i</v>
      </c>
      <c r="F36"/>
      <c r="G36" t="str">
        <f t="shared" si="0"/>
        <v>52.741954305485+29.5518512038536i</v>
      </c>
      <c r="H36" t="str">
        <f t="shared" si="1"/>
        <v>52.741954305485+29.5518512038536i</v>
      </c>
      <c r="N36" s="19">
        <f t="shared" si="2"/>
        <v>0.27761171368838167</v>
      </c>
      <c r="O36" s="19">
        <f t="shared" si="2"/>
        <v>0.95131440279068635</v>
      </c>
      <c r="P36" s="18">
        <f t="shared" si="3"/>
        <v>-11.131244259811979</v>
      </c>
      <c r="Q36" s="18">
        <f t="shared" si="3"/>
        <v>-0.43351856069898398</v>
      </c>
      <c r="R36" s="17">
        <f t="shared" si="5"/>
        <v>8.5214361953084461E-2</v>
      </c>
      <c r="T36" s="17">
        <f t="shared" si="4"/>
        <v>9.4949490000000001</v>
      </c>
      <c r="U36" s="17">
        <f t="shared" si="6"/>
        <v>8.5214361953084461E-2</v>
      </c>
      <c r="V36" s="17">
        <f t="shared" si="7"/>
        <v>1.7685941728258523</v>
      </c>
      <c r="X36" s="21">
        <f t="shared" si="8"/>
        <v>9.4949490000000001</v>
      </c>
      <c r="Y36" s="20">
        <f t="shared" si="9"/>
        <v>0.1129345741411793</v>
      </c>
    </row>
    <row r="37" spans="1:25" x14ac:dyDescent="0.25">
      <c r="A37">
        <v>9787878</v>
      </c>
      <c r="B37" t="str">
        <f>COMPLEX(0.1064,0.264039)</f>
        <v>0.1064+0.264039i</v>
      </c>
      <c r="C37" t="str">
        <f>COMPLEX(0.844221,-0.437042)</f>
        <v>0.844221-0.437042i</v>
      </c>
      <c r="D37" t="str">
        <f>COMPLEX(0.844221,-0.437042)</f>
        <v>0.844221-0.437042i</v>
      </c>
      <c r="E37" t="str">
        <f>COMPLEX(0.1064,0.264039)</f>
        <v>0.1064+0.264039i</v>
      </c>
      <c r="F37"/>
      <c r="G37" t="str">
        <f t="shared" si="0"/>
        <v>52.9211413830405+30.4109167968181i</v>
      </c>
      <c r="H37" t="str">
        <f t="shared" si="1"/>
        <v>52.9211413830405+30.4109167968181i</v>
      </c>
      <c r="N37" s="19">
        <f t="shared" si="2"/>
        <v>0.28467095658145386</v>
      </c>
      <c r="O37" s="19">
        <f t="shared" si="2"/>
        <v>0.9506391568860395</v>
      </c>
      <c r="P37" s="18">
        <f t="shared" si="3"/>
        <v>-10.913136785605062</v>
      </c>
      <c r="Q37" s="18">
        <f t="shared" si="3"/>
        <v>-0.43968602112187327</v>
      </c>
      <c r="R37" s="17">
        <f t="shared" si="5"/>
        <v>7.2663663599064524E-2</v>
      </c>
      <c r="T37" s="17">
        <f t="shared" si="4"/>
        <v>9.7878779999999992</v>
      </c>
      <c r="U37" s="17">
        <f t="shared" si="6"/>
        <v>7.2663663599064524E-2</v>
      </c>
      <c r="V37" s="17">
        <f t="shared" si="7"/>
        <v>1.7959161149700167</v>
      </c>
      <c r="X37" s="21">
        <f t="shared" si="8"/>
        <v>9.7878779999999992</v>
      </c>
      <c r="Y37" s="20">
        <f t="shared" si="9"/>
        <v>0.1152200123799812</v>
      </c>
    </row>
    <row r="38" spans="1:25" x14ac:dyDescent="0.25">
      <c r="A38">
        <v>10080808</v>
      </c>
      <c r="B38" t="str">
        <f>COMPLEX(0.111429,0.269565)</f>
        <v>0.111429+0.269565i</v>
      </c>
      <c r="C38" t="str">
        <f>COMPLEX(0.841409,-0.43762)</f>
        <v>0.841409-0.43762i</v>
      </c>
      <c r="D38" t="str">
        <f>COMPLEX(0.841409,-0.43762)</f>
        <v>0.841409-0.43762i</v>
      </c>
      <c r="E38" t="str">
        <f>COMPLEX(0.111429,0.269565)</f>
        <v>0.111429+0.269565i</v>
      </c>
      <c r="F38"/>
      <c r="G38" t="str">
        <f t="shared" si="0"/>
        <v>53.055736972869+31.2639279664669i</v>
      </c>
      <c r="H38" t="str">
        <f t="shared" si="1"/>
        <v>53.055736972869+31.2639279664669i</v>
      </c>
      <c r="N38" s="19">
        <f t="shared" si="2"/>
        <v>0.29168769474559603</v>
      </c>
      <c r="O38" s="19">
        <f t="shared" si="2"/>
        <v>0.94840938928344654</v>
      </c>
      <c r="P38" s="18">
        <f t="shared" si="3"/>
        <v>-10.701637836270093</v>
      </c>
      <c r="Q38" s="18">
        <f t="shared" si="3"/>
        <v>-0.46008310286465176</v>
      </c>
      <c r="R38" s="17">
        <f t="shared" si="5"/>
        <v>7.3906192856509401E-2</v>
      </c>
      <c r="T38" s="17">
        <f t="shared" si="4"/>
        <v>10.080807999999999</v>
      </c>
      <c r="U38" s="17">
        <f t="shared" si="6"/>
        <v>7.3906192856509401E-2</v>
      </c>
      <c r="V38" s="17">
        <f t="shared" si="7"/>
        <v>1.8236132355227987</v>
      </c>
      <c r="X38" s="21">
        <f t="shared" si="8"/>
        <v>10.080807999999999</v>
      </c>
      <c r="Y38" s="20">
        <f t="shared" si="9"/>
        <v>0.11738532744699517</v>
      </c>
    </row>
    <row r="39" spans="1:25" x14ac:dyDescent="0.25">
      <c r="A39">
        <v>10373737</v>
      </c>
      <c r="B39" t="str">
        <f>COMPLEX(0.118414,0.275368)</f>
        <v>0.118414+0.275368i</v>
      </c>
      <c r="C39" t="str">
        <f>COMPLEX(0.833302,-0.4415)</f>
        <v>0.833302-0.4415i</v>
      </c>
      <c r="D39" t="str">
        <f>COMPLEX(0.833302,-0.4415)</f>
        <v>0.833302-0.4415i</v>
      </c>
      <c r="E39" t="str">
        <f>COMPLEX(0.118414,0.275368)</f>
        <v>0.118414+0.275368i</v>
      </c>
      <c r="F39"/>
      <c r="G39" t="str">
        <f t="shared" si="0"/>
        <v>53.3486368358025+32.2814874875523i</v>
      </c>
      <c r="H39" t="str">
        <f t="shared" si="1"/>
        <v>53.3486368358025+32.2814874875523i</v>
      </c>
      <c r="N39" s="19">
        <f t="shared" ref="N39:O70" si="10">IMABS(B39)</f>
        <v>0.29974891295882961</v>
      </c>
      <c r="O39" s="19">
        <f t="shared" si="10"/>
        <v>0.94303471473960065</v>
      </c>
      <c r="P39" s="18">
        <f t="shared" ref="P39:Q70" si="11">20*LOG(N39)</f>
        <v>-10.464847663954281</v>
      </c>
      <c r="Q39" s="18">
        <f t="shared" si="11"/>
        <v>-0.50944639674120951</v>
      </c>
      <c r="R39" s="17">
        <f t="shared" si="5"/>
        <v>0.10057894236115197</v>
      </c>
      <c r="T39" s="17">
        <f t="shared" si="4"/>
        <v>10.373737</v>
      </c>
      <c r="U39" s="17">
        <f t="shared" si="6"/>
        <v>0.10057894236115197</v>
      </c>
      <c r="V39" s="17">
        <f t="shared" si="7"/>
        <v>1.8561183795526366</v>
      </c>
      <c r="X39" s="21">
        <f t="shared" si="8"/>
        <v>10.373737</v>
      </c>
      <c r="Y39" s="20">
        <f t="shared" si="9"/>
        <v>0.11943050455838167</v>
      </c>
    </row>
    <row r="40" spans="1:25" x14ac:dyDescent="0.25">
      <c r="A40">
        <v>10666666</v>
      </c>
      <c r="B40" t="str">
        <f>COMPLEX(0.122064,0.279246)</f>
        <v>0.122064+0.279246i</v>
      </c>
      <c r="C40" t="str">
        <f>COMPLEX(0.838019,-0.445066)</f>
        <v>0.838019-0.445066i</v>
      </c>
      <c r="D40" t="str">
        <f>COMPLEX(0.838019,-0.445066)</f>
        <v>0.838019-0.445066i</v>
      </c>
      <c r="E40" t="str">
        <f>COMPLEX(0.122064,0.279246)</f>
        <v>0.122064+0.279246i</v>
      </c>
      <c r="F40"/>
      <c r="G40" t="str">
        <f t="shared" si="0"/>
        <v>53.438710239185+32.9008561893481i</v>
      </c>
      <c r="H40" t="str">
        <f t="shared" si="1"/>
        <v>53.438710239185+32.9008561893481i</v>
      </c>
      <c r="N40" s="19">
        <f t="shared" si="10"/>
        <v>0.30475883680707277</v>
      </c>
      <c r="O40" s="19">
        <f t="shared" si="10"/>
        <v>0.94887279901839316</v>
      </c>
      <c r="P40" s="18">
        <f t="shared" si="11"/>
        <v>-10.320873853918691</v>
      </c>
      <c r="Q40" s="18">
        <f t="shared" si="11"/>
        <v>-0.45584005887276424</v>
      </c>
      <c r="R40" s="17">
        <f t="shared" si="5"/>
        <v>3.249730299319914E-2</v>
      </c>
      <c r="T40" s="17">
        <f t="shared" si="4"/>
        <v>10.666665999999999</v>
      </c>
      <c r="U40" s="17">
        <f t="shared" si="6"/>
        <v>3.249730299319914E-2</v>
      </c>
      <c r="V40" s="17">
        <f t="shared" si="7"/>
        <v>1.876699634433191</v>
      </c>
      <c r="X40" s="21">
        <f t="shared" si="8"/>
        <v>10.666665999999999</v>
      </c>
      <c r="Y40" s="20">
        <f t="shared" si="9"/>
        <v>0.12135555131111081</v>
      </c>
    </row>
    <row r="41" spans="1:25" x14ac:dyDescent="0.25">
      <c r="A41">
        <v>10959595</v>
      </c>
      <c r="B41" t="str">
        <f>COMPLEX(0.132052,0.28596)</f>
        <v>0.132052+0.28596i</v>
      </c>
      <c r="C41" t="str">
        <f>COMPLEX(0.820085,-0.455011)</f>
        <v>0.820085-0.455011i</v>
      </c>
      <c r="D41" t="str">
        <f>COMPLEX(0.820085,-0.455011)</f>
        <v>0.820085-0.455011i</v>
      </c>
      <c r="E41" t="str">
        <f>COMPLEX(0.132052,0.28596)</f>
        <v>0.132052+0.28596i</v>
      </c>
      <c r="F41"/>
      <c r="G41" t="str">
        <f t="shared" si="0"/>
        <v>53.9325683420505+34.242324705043i</v>
      </c>
      <c r="H41" t="str">
        <f t="shared" si="1"/>
        <v>53.9325683420505+34.242324705043i</v>
      </c>
      <c r="N41" s="19">
        <f t="shared" si="10"/>
        <v>0.31497754253914673</v>
      </c>
      <c r="O41" s="19">
        <f t="shared" si="10"/>
        <v>0.93785628821584377</v>
      </c>
      <c r="P41" s="18">
        <f t="shared" si="11"/>
        <v>-10.034408193986462</v>
      </c>
      <c r="Q41" s="18">
        <f t="shared" si="11"/>
        <v>-0.55727410697147284</v>
      </c>
      <c r="R41" s="17">
        <f t="shared" si="5"/>
        <v>0.1035055605062872</v>
      </c>
      <c r="T41" s="17">
        <f t="shared" si="4"/>
        <v>10.959595</v>
      </c>
      <c r="U41" s="17">
        <f t="shared" si="6"/>
        <v>0.1035055605062872</v>
      </c>
      <c r="V41" s="17">
        <f t="shared" si="7"/>
        <v>1.9196123108333181</v>
      </c>
      <c r="X41" s="21">
        <f t="shared" si="8"/>
        <v>10.959595</v>
      </c>
      <c r="Y41" s="20">
        <f t="shared" si="9"/>
        <v>0.12316046770518249</v>
      </c>
    </row>
    <row r="42" spans="1:25" x14ac:dyDescent="0.25">
      <c r="A42">
        <v>11252525</v>
      </c>
      <c r="B42" t="str">
        <f>COMPLEX(0.137524,0.291194)</f>
        <v>0.137524+0.291194i</v>
      </c>
      <c r="C42" t="str">
        <f>COMPLEX(0.816305,-0.457277)</f>
        <v>0.816305-0.457277i</v>
      </c>
      <c r="D42" t="str">
        <f>COMPLEX(0.816305,-0.457277)</f>
        <v>0.816305-0.457277i</v>
      </c>
      <c r="E42" t="str">
        <f>COMPLEX(0.137524,0.291194)</f>
        <v>0.137524+0.291194i</v>
      </c>
      <c r="F42"/>
      <c r="G42" t="str">
        <f t="shared" si="0"/>
        <v>54.0809563529145+35.1403981145338i</v>
      </c>
      <c r="H42" t="str">
        <f t="shared" si="1"/>
        <v>54.0809563529145+35.1403981145338i</v>
      </c>
      <c r="N42" s="19">
        <f t="shared" si="10"/>
        <v>0.32203539589927072</v>
      </c>
      <c r="O42" s="19">
        <f t="shared" si="10"/>
        <v>0.93565811478017968</v>
      </c>
      <c r="P42" s="18">
        <f t="shared" si="11"/>
        <v>-9.8419278208101488</v>
      </c>
      <c r="Q42" s="18">
        <f t="shared" si="11"/>
        <v>-0.57765623010669331</v>
      </c>
      <c r="R42" s="17">
        <f t="shared" si="5"/>
        <v>0.10215726374950329</v>
      </c>
      <c r="T42" s="17">
        <f t="shared" si="4"/>
        <v>11.252525</v>
      </c>
      <c r="U42" s="17">
        <f t="shared" si="6"/>
        <v>0.10215726374950329</v>
      </c>
      <c r="V42" s="17">
        <f t="shared" si="7"/>
        <v>1.9500065164210965</v>
      </c>
      <c r="X42" s="21">
        <f t="shared" si="8"/>
        <v>11.252525</v>
      </c>
      <c r="Y42" s="20">
        <f t="shared" si="9"/>
        <v>0.12484525928706247</v>
      </c>
    </row>
    <row r="43" spans="1:25" x14ac:dyDescent="0.25">
      <c r="A43">
        <v>11545454</v>
      </c>
      <c r="B43" t="str">
        <f>COMPLEX(0.143331,0.296687)</f>
        <v>0.143331+0.296687i</v>
      </c>
      <c r="C43" t="str">
        <f>COMPLEX(0.808359,-0.452447)</f>
        <v>0.808359-0.452447i</v>
      </c>
      <c r="D43" t="str">
        <f>COMPLEX(0.808359,-0.452447)</f>
        <v>0.808359-0.452447i</v>
      </c>
      <c r="E43" t="str">
        <f>COMPLEX(0.143331,0.296687)</f>
        <v>0.143331+0.296687i</v>
      </c>
      <c r="F43"/>
      <c r="G43" t="str">
        <f t="shared" si="0"/>
        <v>54.2296920593175+36.0974829811779i</v>
      </c>
      <c r="H43" t="str">
        <f t="shared" si="1"/>
        <v>54.2296920593175+36.0974829811779i</v>
      </c>
      <c r="N43" s="19">
        <f t="shared" si="10"/>
        <v>0.32949499469642934</v>
      </c>
      <c r="O43" s="19">
        <f t="shared" si="10"/>
        <v>0.92636524151654143</v>
      </c>
      <c r="P43" s="18">
        <f t="shared" si="11"/>
        <v>-9.6430235662996786</v>
      </c>
      <c r="Q43" s="18">
        <f t="shared" si="11"/>
        <v>-0.66435497260830156</v>
      </c>
      <c r="R43" s="17">
        <f t="shared" si="5"/>
        <v>0.16524228090301163</v>
      </c>
      <c r="T43" s="17">
        <f t="shared" si="4"/>
        <v>11.545453999999999</v>
      </c>
      <c r="U43" s="17">
        <f t="shared" si="6"/>
        <v>0.16524228090301163</v>
      </c>
      <c r="V43" s="17">
        <f t="shared" si="7"/>
        <v>1.9828263535400479</v>
      </c>
      <c r="X43" s="21">
        <f t="shared" si="8"/>
        <v>11.545453999999999</v>
      </c>
      <c r="Y43" s="20">
        <f t="shared" si="9"/>
        <v>0.12640991455371878</v>
      </c>
    </row>
    <row r="44" spans="1:25" x14ac:dyDescent="0.25">
      <c r="A44">
        <v>11838383</v>
      </c>
      <c r="B44" t="str">
        <f>COMPLEX(0.150527,0.3012)</f>
        <v>0.150527+0.3012i</v>
      </c>
      <c r="C44" t="str">
        <f>COMPLEX(0.805671,-0.461596)</f>
        <v>0.805671-0.461596i</v>
      </c>
      <c r="D44" t="str">
        <f>COMPLEX(0.805671,-0.461596)</f>
        <v>0.805671-0.461596i</v>
      </c>
      <c r="E44" t="str">
        <f>COMPLEX(0.150527,0.3012)</f>
        <v>0.150527+0.3012i</v>
      </c>
      <c r="F44"/>
      <c r="G44" t="str">
        <f t="shared" si="0"/>
        <v>54.57294123371+37.0787180988606i</v>
      </c>
      <c r="H44" t="str">
        <f t="shared" si="1"/>
        <v>54.57294123371+37.0787180988606i</v>
      </c>
      <c r="N44" s="19">
        <f t="shared" si="10"/>
        <v>0.33671919714949428</v>
      </c>
      <c r="O44" s="19">
        <f t="shared" si="10"/>
        <v>0.92853466680409946</v>
      </c>
      <c r="P44" s="18">
        <f t="shared" si="11"/>
        <v>-9.4546424552244464</v>
      </c>
      <c r="Q44" s="18">
        <f t="shared" si="11"/>
        <v>-0.64403754509312749</v>
      </c>
      <c r="R44" s="17">
        <f t="shared" si="5"/>
        <v>0.12141367496953706</v>
      </c>
      <c r="T44" s="17">
        <f t="shared" si="4"/>
        <v>11.838383</v>
      </c>
      <c r="U44" s="17">
        <f t="shared" si="6"/>
        <v>0.12141367496953706</v>
      </c>
      <c r="V44" s="17">
        <f t="shared" si="7"/>
        <v>2.0153141646868562</v>
      </c>
      <c r="X44" s="21">
        <f t="shared" si="8"/>
        <v>11.838383</v>
      </c>
      <c r="Y44" s="20">
        <f t="shared" si="9"/>
        <v>0.12785443946171771</v>
      </c>
    </row>
    <row r="45" spans="1:25" x14ac:dyDescent="0.25">
      <c r="A45">
        <v>12131313</v>
      </c>
      <c r="B45" t="str">
        <f>COMPLEX(0.156693,0.306336)</f>
        <v>0.156693+0.306336i</v>
      </c>
      <c r="C45" t="str">
        <f>COMPLEX(0.802095,-0.464261)</f>
        <v>0.802095-0.464261i</v>
      </c>
      <c r="D45" t="str">
        <f>COMPLEX(0.802095,-0.464261)</f>
        <v>0.802095-0.464261i</v>
      </c>
      <c r="E45" t="str">
        <f>COMPLEX(0.156693,0.306336)</f>
        <v>0.156693+0.306336i</v>
      </c>
      <c r="F45"/>
      <c r="G45" t="str">
        <f t="shared" si="0"/>
        <v>54.7575350639215+38.0537624629481i</v>
      </c>
      <c r="H45" t="str">
        <f t="shared" si="1"/>
        <v>54.7575350639215+38.0537624629481i</v>
      </c>
      <c r="N45" s="19">
        <f t="shared" si="10"/>
        <v>0.3440849330397947</v>
      </c>
      <c r="O45" s="19">
        <f t="shared" si="10"/>
        <v>0.92676570132153679</v>
      </c>
      <c r="P45" s="18">
        <f t="shared" si="11"/>
        <v>-9.2666868812599255</v>
      </c>
      <c r="Q45" s="18">
        <f t="shared" si="11"/>
        <v>-0.66060094784468859</v>
      </c>
      <c r="R45" s="17">
        <f t="shared" si="5"/>
        <v>0.11334414691045562</v>
      </c>
      <c r="T45" s="17">
        <f t="shared" si="4"/>
        <v>12.131313</v>
      </c>
      <c r="U45" s="17">
        <f t="shared" si="6"/>
        <v>0.11334414691045562</v>
      </c>
      <c r="V45" s="17">
        <f t="shared" si="7"/>
        <v>2.0491752678725113</v>
      </c>
      <c r="X45" s="21">
        <f t="shared" si="8"/>
        <v>12.131313</v>
      </c>
      <c r="Y45" s="20">
        <f t="shared" si="9"/>
        <v>0.12917883832722171</v>
      </c>
    </row>
    <row r="46" spans="1:25" x14ac:dyDescent="0.25">
      <c r="A46">
        <v>12424242</v>
      </c>
      <c r="B46" t="str">
        <f>COMPLEX(0.163142,0.310708)</f>
        <v>0.163142+0.310708i</v>
      </c>
      <c r="C46" t="str">
        <f>COMPLEX(0.793424,-0.470743)</f>
        <v>0.793424-0.470743i</v>
      </c>
      <c r="D46" t="str">
        <f>COMPLEX(0.793424,-0.470743)</f>
        <v>0.793424-0.470743i</v>
      </c>
      <c r="E46" t="str">
        <f>COMPLEX(0.163142,0.310708)</f>
        <v>0.163142+0.310708i</v>
      </c>
      <c r="F46"/>
      <c r="G46" t="str">
        <f t="shared" si="0"/>
        <v>55.0180315184585+38.9910146488857i</v>
      </c>
      <c r="H46" t="str">
        <f t="shared" si="1"/>
        <v>55.0180315184585+38.9910146488857i</v>
      </c>
      <c r="N46" s="19">
        <f t="shared" si="10"/>
        <v>0.3509341440042561</v>
      </c>
      <c r="O46" s="19">
        <f t="shared" si="10"/>
        <v>0.92256198481457052</v>
      </c>
      <c r="P46" s="18">
        <f t="shared" si="11"/>
        <v>-9.095487504244403</v>
      </c>
      <c r="Q46" s="18">
        <f t="shared" si="11"/>
        <v>-0.70008889885610115</v>
      </c>
      <c r="R46" s="17">
        <f t="shared" si="5"/>
        <v>0.12931831965799698</v>
      </c>
      <c r="T46" s="17">
        <f t="shared" si="4"/>
        <v>12.424242</v>
      </c>
      <c r="U46" s="17">
        <f t="shared" si="6"/>
        <v>0.12931831965799698</v>
      </c>
      <c r="V46" s="17">
        <f t="shared" si="7"/>
        <v>2.0813514245511548</v>
      </c>
      <c r="X46" s="21">
        <f t="shared" si="8"/>
        <v>12.424242</v>
      </c>
      <c r="Y46" s="20">
        <f t="shared" si="9"/>
        <v>0.13038310210780518</v>
      </c>
    </row>
    <row r="47" spans="1:25" x14ac:dyDescent="0.25">
      <c r="A47">
        <v>12717171</v>
      </c>
      <c r="B47" t="str">
        <f>COMPLEX(0.169506,0.315127)</f>
        <v>0.169506+0.315127i</v>
      </c>
      <c r="C47" t="str">
        <f>COMPLEX(0.787556,-0.471253)</f>
        <v>0.787556-0.471253i</v>
      </c>
      <c r="D47" t="str">
        <f>COMPLEX(0.787556,-0.471253)</f>
        <v>0.787556-0.471253i</v>
      </c>
      <c r="E47" t="str">
        <f>COMPLEX(0.169506,0.315127)</f>
        <v>0.169506+0.315127i</v>
      </c>
      <c r="F47"/>
      <c r="G47" t="str">
        <f t="shared" si="0"/>
        <v>55.255685628935+39.9387695097006i</v>
      </c>
      <c r="H47" t="str">
        <f t="shared" si="1"/>
        <v>55.255685628935+39.9387695097006i</v>
      </c>
      <c r="N47" s="19">
        <f t="shared" si="10"/>
        <v>0.35782301514156406</v>
      </c>
      <c r="O47" s="19">
        <f t="shared" si="10"/>
        <v>0.91778202376435769</v>
      </c>
      <c r="P47" s="18">
        <f t="shared" si="11"/>
        <v>-8.926634581827658</v>
      </c>
      <c r="Q47" s="18">
        <f t="shared" si="11"/>
        <v>-0.74520905826629313</v>
      </c>
      <c r="R47" s="17">
        <f t="shared" si="5"/>
        <v>0.15018808252959132</v>
      </c>
      <c r="T47" s="17">
        <f t="shared" si="4"/>
        <v>12.717171</v>
      </c>
      <c r="U47" s="17">
        <f t="shared" si="6"/>
        <v>0.15018808252959132</v>
      </c>
      <c r="V47" s="17">
        <f t="shared" si="7"/>
        <v>2.1144062262537919</v>
      </c>
      <c r="X47" s="21">
        <f t="shared" si="8"/>
        <v>12.717171</v>
      </c>
      <c r="Y47" s="20">
        <f t="shared" si="9"/>
        <v>0.1314672355297313</v>
      </c>
    </row>
    <row r="48" spans="1:25" x14ac:dyDescent="0.25">
      <c r="A48">
        <v>13010101</v>
      </c>
      <c r="B48" t="str">
        <f>COMPLEX(0.177182,0.31975)</f>
        <v>0.177182+0.31975i</v>
      </c>
      <c r="C48" t="str">
        <f>COMPLEX(0.787843,-0.477177)</f>
        <v>0.787843-0.477177i</v>
      </c>
      <c r="D48" t="str">
        <f>COMPLEX(0.787843,-0.477177)</f>
        <v>0.787843-0.477177i</v>
      </c>
      <c r="E48" t="str">
        <f>COMPLEX(0.177182,0.31975)</f>
        <v>0.177182+0.31975i</v>
      </c>
      <c r="F48"/>
      <c r="G48" t="str">
        <f t="shared" si="0"/>
        <v>55.5883715525635+41.0320165625109i</v>
      </c>
      <c r="H48" t="str">
        <f t="shared" si="1"/>
        <v>55.5883715525635+41.0320165625109i</v>
      </c>
      <c r="N48" s="19">
        <f t="shared" si="10"/>
        <v>0.36555919305086554</v>
      </c>
      <c r="O48" s="19">
        <f t="shared" si="10"/>
        <v>0.92108331978057223</v>
      </c>
      <c r="P48" s="18">
        <f t="shared" si="11"/>
        <v>-8.7408458004463867</v>
      </c>
      <c r="Q48" s="18">
        <f t="shared" si="11"/>
        <v>-0.7140216483050994</v>
      </c>
      <c r="R48" s="17">
        <f t="shared" si="5"/>
        <v>9.1038039618643526E-2</v>
      </c>
      <c r="T48" s="17">
        <f t="shared" si="4"/>
        <v>13.010101000000001</v>
      </c>
      <c r="U48" s="17">
        <f t="shared" si="6"/>
        <v>9.1038039618643526E-2</v>
      </c>
      <c r="V48" s="17">
        <f t="shared" si="7"/>
        <v>2.1523823469324026</v>
      </c>
      <c r="X48" s="21">
        <f t="shared" si="8"/>
        <v>13.010101000000001</v>
      </c>
      <c r="Y48" s="20">
        <f t="shared" si="9"/>
        <v>0.13243124167885933</v>
      </c>
    </row>
    <row r="49" spans="1:25" x14ac:dyDescent="0.25">
      <c r="A49">
        <v>13303030</v>
      </c>
      <c r="B49" t="str">
        <f>COMPLEX(0.184868,0.324392)</f>
        <v>0.184868+0.324392i</v>
      </c>
      <c r="C49" t="str">
        <f>COMPLEX(0.781547,-0.484091)</f>
        <v>0.781547-0.484091i</v>
      </c>
      <c r="D49" t="str">
        <f>COMPLEX(0.781547,-0.484091)</f>
        <v>0.781547-0.484091i</v>
      </c>
      <c r="E49" t="str">
        <f>COMPLEX(0.184868,0.324392)</f>
        <v>0.184868+0.324392i</v>
      </c>
      <c r="F49"/>
      <c r="G49" t="str">
        <f t="shared" si="0"/>
        <v>55.906639522232+42.1468751170312i</v>
      </c>
      <c r="H49" t="str">
        <f t="shared" si="1"/>
        <v>55.906639522232+42.1468751170312i</v>
      </c>
      <c r="N49" s="19">
        <f t="shared" si="10"/>
        <v>0.37337159384184548</v>
      </c>
      <c r="O49" s="19">
        <f t="shared" si="10"/>
        <v>0.91932573633614756</v>
      </c>
      <c r="P49" s="18">
        <f t="shared" si="11"/>
        <v>-8.5571745261862215</v>
      </c>
      <c r="Q49" s="18">
        <f t="shared" si="11"/>
        <v>-0.73061163455650791</v>
      </c>
      <c r="R49" s="17">
        <f t="shared" si="5"/>
        <v>7.8593021863154325E-2</v>
      </c>
      <c r="T49" s="17">
        <f t="shared" si="4"/>
        <v>13.30303</v>
      </c>
      <c r="U49" s="17">
        <f t="shared" si="6"/>
        <v>7.8593021863154325E-2</v>
      </c>
      <c r="V49" s="17">
        <f t="shared" si="7"/>
        <v>2.1916842268003101</v>
      </c>
      <c r="X49" s="21">
        <f t="shared" si="8"/>
        <v>13.30303</v>
      </c>
      <c r="Y49" s="20">
        <f t="shared" si="9"/>
        <v>0.13327511397336994</v>
      </c>
    </row>
    <row r="50" spans="1:25" x14ac:dyDescent="0.25">
      <c r="A50">
        <v>13595959</v>
      </c>
      <c r="B50" t="str">
        <f>COMPLEX(0.19184,0.326501)</f>
        <v>0.19184+0.326501i</v>
      </c>
      <c r="C50" t="str">
        <f>COMPLEX(0.773782,-0.486074)</f>
        <v>0.773782-0.486074i</v>
      </c>
      <c r="D50" t="str">
        <f>COMPLEX(0.773782,-0.486074)</f>
        <v>0.773782-0.486074i</v>
      </c>
      <c r="E50" t="str">
        <f>COMPLEX(0.19184,0.326501)</f>
        <v>0.19184+0.326501i</v>
      </c>
      <c r="F50"/>
      <c r="G50" t="str">
        <f t="shared" si="0"/>
        <v>56.3752647667765+42.9761808572774i</v>
      </c>
      <c r="H50" t="str">
        <f t="shared" si="1"/>
        <v>56.3752647667765+42.9761808572774i</v>
      </c>
      <c r="N50" s="19">
        <f t="shared" si="10"/>
        <v>0.37868917148632597</v>
      </c>
      <c r="O50" s="19">
        <f t="shared" si="10"/>
        <v>0.91378691006164003</v>
      </c>
      <c r="P50" s="18">
        <f t="shared" si="11"/>
        <v>-8.4343422646799802</v>
      </c>
      <c r="Q50" s="18">
        <f t="shared" si="11"/>
        <v>-0.78310134952213961</v>
      </c>
      <c r="R50" s="17">
        <f t="shared" si="5"/>
        <v>0.11085422294151012</v>
      </c>
      <c r="T50" s="17">
        <f t="shared" si="4"/>
        <v>13.595959000000001</v>
      </c>
      <c r="U50" s="17">
        <f t="shared" si="6"/>
        <v>0.11085422294151012</v>
      </c>
      <c r="V50" s="17">
        <f t="shared" si="7"/>
        <v>2.2190007130319689</v>
      </c>
      <c r="X50" s="21">
        <f t="shared" si="8"/>
        <v>13.595959000000001</v>
      </c>
      <c r="Y50" s="20">
        <f t="shared" si="9"/>
        <v>0.13399885590922331</v>
      </c>
    </row>
    <row r="51" spans="1:25" x14ac:dyDescent="0.25">
      <c r="A51">
        <v>13888888</v>
      </c>
      <c r="B51" t="str">
        <f>COMPLEX(0.198801,0.330867)</f>
        <v>0.198801+0.330867i</v>
      </c>
      <c r="C51" t="str">
        <f>COMPLEX(0.765411,-0.484374)</f>
        <v>0.765411-0.484374i</v>
      </c>
      <c r="D51" t="str">
        <f>COMPLEX(0.765411,-0.484374)</f>
        <v>0.765411-0.484374i</v>
      </c>
      <c r="E51" t="str">
        <f>COMPLEX(0.198801,0.330867)</f>
        <v>0.198801+0.330867i</v>
      </c>
      <c r="F51"/>
      <c r="G51" t="str">
        <f t="shared" si="0"/>
        <v>56.6285157502455+44.0338257046458i</v>
      </c>
      <c r="H51" t="str">
        <f t="shared" si="1"/>
        <v>56.6285157502455+44.0338257046458i</v>
      </c>
      <c r="N51" s="19">
        <f t="shared" si="10"/>
        <v>0.38599845762645224</v>
      </c>
      <c r="O51" s="19">
        <f t="shared" si="10"/>
        <v>0.90579918900217615</v>
      </c>
      <c r="P51" s="18">
        <f t="shared" si="11"/>
        <v>-8.2682886135938709</v>
      </c>
      <c r="Q51" s="18">
        <f t="shared" si="11"/>
        <v>-0.85936144987813201</v>
      </c>
      <c r="R51" s="17">
        <f t="shared" si="5"/>
        <v>0.15868354061631454</v>
      </c>
      <c r="T51" s="17">
        <f t="shared" si="4"/>
        <v>13.888888</v>
      </c>
      <c r="U51" s="17">
        <f t="shared" si="6"/>
        <v>0.15868354061631454</v>
      </c>
      <c r="V51" s="17">
        <f t="shared" si="7"/>
        <v>2.2573208078087124</v>
      </c>
      <c r="X51" s="21">
        <f t="shared" si="8"/>
        <v>13.888888</v>
      </c>
      <c r="Y51" s="20">
        <f t="shared" si="9"/>
        <v>0.13460246748641921</v>
      </c>
    </row>
    <row r="52" spans="1:25" x14ac:dyDescent="0.25">
      <c r="A52">
        <v>14181818</v>
      </c>
      <c r="B52" t="str">
        <f>COMPLEX(0.204451,0.334203)</f>
        <v>0.204451+0.334203i</v>
      </c>
      <c r="C52" t="str">
        <f>COMPLEX(0.756852,-0.489442)</f>
        <v>0.756852-0.489442i</v>
      </c>
      <c r="D52" t="str">
        <f>COMPLEX(0.756852,-0.489442)</f>
        <v>0.756852-0.489442i</v>
      </c>
      <c r="E52" t="str">
        <f>COMPLEX(0.204451,0.334203)</f>
        <v>0.204451+0.334203i</v>
      </c>
      <c r="F52"/>
      <c r="G52" t="str">
        <f t="shared" si="0"/>
        <v>56.843921245719+44.8841730830948i</v>
      </c>
      <c r="H52" t="str">
        <f t="shared" si="1"/>
        <v>56.843921245719+44.8841730830948i</v>
      </c>
      <c r="N52" s="19">
        <f t="shared" si="10"/>
        <v>0.39178036782105347</v>
      </c>
      <c r="O52" s="19">
        <f t="shared" si="10"/>
        <v>0.90132037659646858</v>
      </c>
      <c r="P52" s="18">
        <f t="shared" si="11"/>
        <v>-8.1391466072852694</v>
      </c>
      <c r="Q52" s="18">
        <f t="shared" si="11"/>
        <v>-0.90241621023875551</v>
      </c>
      <c r="R52" s="17">
        <f t="shared" si="5"/>
        <v>0.17872761392432396</v>
      </c>
      <c r="T52" s="17">
        <f t="shared" si="4"/>
        <v>14.181818</v>
      </c>
      <c r="U52" s="17">
        <f t="shared" si="6"/>
        <v>0.17872761392432396</v>
      </c>
      <c r="V52" s="17">
        <f t="shared" si="7"/>
        <v>2.2882858332523743</v>
      </c>
      <c r="X52" s="21">
        <f t="shared" si="8"/>
        <v>14.181818</v>
      </c>
      <c r="Y52" s="20">
        <f t="shared" si="9"/>
        <v>0.13508595015041319</v>
      </c>
    </row>
    <row r="53" spans="1:25" x14ac:dyDescent="0.25">
      <c r="A53">
        <v>14474747</v>
      </c>
      <c r="B53" t="str">
        <f>COMPLEX(0.212368,0.336216)</f>
        <v>0.212368+0.336216i</v>
      </c>
      <c r="C53" t="str">
        <f>COMPLEX(0.753694,-0.496474)</f>
        <v>0.753694-0.496474i</v>
      </c>
      <c r="D53" t="str">
        <f>COMPLEX(0.753694,-0.496474)</f>
        <v>0.753694-0.496474i</v>
      </c>
      <c r="E53" t="str">
        <f>COMPLEX(0.212368,0.336216)</f>
        <v>0.212368+0.336216i</v>
      </c>
      <c r="F53"/>
      <c r="G53" t="str">
        <f t="shared" si="0"/>
        <v>57.393814720751+45.8431333543482i</v>
      </c>
      <c r="H53" t="str">
        <f t="shared" si="1"/>
        <v>57.393814720751+45.8431333543482i</v>
      </c>
      <c r="N53" s="19">
        <f t="shared" si="10"/>
        <v>0.397669921014904</v>
      </c>
      <c r="O53" s="19">
        <f t="shared" si="10"/>
        <v>0.90251929525744778</v>
      </c>
      <c r="P53" s="18">
        <f t="shared" si="11"/>
        <v>-8.0095451393586554</v>
      </c>
      <c r="Q53" s="18">
        <f t="shared" si="11"/>
        <v>-0.89087008796391032</v>
      </c>
      <c r="R53" s="17">
        <f t="shared" si="5"/>
        <v>0.14326179081183488</v>
      </c>
      <c r="T53" s="17">
        <f t="shared" si="4"/>
        <v>14.474747000000001</v>
      </c>
      <c r="U53" s="17">
        <f t="shared" si="6"/>
        <v>0.14326179081183488</v>
      </c>
      <c r="V53" s="17">
        <f t="shared" si="7"/>
        <v>2.3204385266130592</v>
      </c>
      <c r="X53" s="21">
        <f t="shared" si="8"/>
        <v>14.474747000000001</v>
      </c>
      <c r="Y53" s="20">
        <f t="shared" si="9"/>
        <v>0.13544930060019369</v>
      </c>
    </row>
    <row r="54" spans="1:25" x14ac:dyDescent="0.25">
      <c r="A54">
        <v>14767676</v>
      </c>
      <c r="B54" t="str">
        <f>COMPLEX(0.219638,0.34072)</f>
        <v>0.219638+0.34072i</v>
      </c>
      <c r="C54" t="str">
        <f>COMPLEX(0.747326,-0.496443)</f>
        <v>0.747326-0.496443i</v>
      </c>
      <c r="D54" t="str">
        <f>COMPLEX(0.747326,-0.496443)</f>
        <v>0.747326-0.496443i</v>
      </c>
      <c r="E54" t="str">
        <f>COMPLEX(0.219638,0.34072)</f>
        <v>0.219638+0.34072i</v>
      </c>
      <c r="F54"/>
      <c r="G54" t="str">
        <f t="shared" si="0"/>
        <v>57.627977586087+46.9922991164762i</v>
      </c>
      <c r="H54" t="str">
        <f t="shared" si="1"/>
        <v>57.627977586087+46.9922991164762i</v>
      </c>
      <c r="N54" s="19">
        <f t="shared" si="10"/>
        <v>0.40537756406096281</v>
      </c>
      <c r="O54" s="19">
        <f t="shared" si="10"/>
        <v>0.89719106244155156</v>
      </c>
      <c r="P54" s="18">
        <f t="shared" si="11"/>
        <v>-7.842805826928009</v>
      </c>
      <c r="Q54" s="18">
        <f t="shared" si="11"/>
        <v>-0.9423012276763848</v>
      </c>
      <c r="R54" s="17">
        <f t="shared" si="5"/>
        <v>0.16264430513541481</v>
      </c>
      <c r="T54" s="17">
        <f t="shared" si="4"/>
        <v>14.767676</v>
      </c>
      <c r="U54" s="17">
        <f t="shared" si="6"/>
        <v>0.16264430513541481</v>
      </c>
      <c r="V54" s="17">
        <f t="shared" si="7"/>
        <v>2.3634788718349795</v>
      </c>
      <c r="X54" s="21">
        <f t="shared" si="8"/>
        <v>14.767676</v>
      </c>
      <c r="Y54" s="20">
        <f t="shared" si="9"/>
        <v>0.13569252069131679</v>
      </c>
    </row>
    <row r="55" spans="1:25" x14ac:dyDescent="0.25">
      <c r="A55">
        <v>15060606</v>
      </c>
      <c r="B55" t="str">
        <f>COMPLEX(0.229232,0.342739)</f>
        <v>0.229232+0.342739i</v>
      </c>
      <c r="C55" t="str">
        <f>COMPLEX(0.745802,-0.49871)</f>
        <v>0.745802-0.49871i</v>
      </c>
      <c r="D55" t="str">
        <f>COMPLEX(0.745802,-0.49871)</f>
        <v>0.745802-0.49871i</v>
      </c>
      <c r="E55" t="str">
        <f>COMPLEX(0.229232,0.342739)</f>
        <v>0.229232+0.342739i</v>
      </c>
      <c r="F55"/>
      <c r="G55" t="str">
        <f t="shared" si="0"/>
        <v>58.321887537669+48.1677176696141i</v>
      </c>
      <c r="H55" t="str">
        <f t="shared" si="1"/>
        <v>58.321887537669+48.1677176696141i</v>
      </c>
      <c r="N55" s="19">
        <f t="shared" si="10"/>
        <v>0.41233158009664983</v>
      </c>
      <c r="O55" s="19">
        <f t="shared" si="10"/>
        <v>0.89718018664257171</v>
      </c>
      <c r="P55" s="18">
        <f t="shared" si="11"/>
        <v>-7.6950680341941444</v>
      </c>
      <c r="Q55" s="18">
        <f t="shared" si="11"/>
        <v>-0.94240651914236673</v>
      </c>
      <c r="R55" s="17">
        <f t="shared" si="5"/>
        <v>0.13309675318423955</v>
      </c>
      <c r="T55" s="17">
        <f t="shared" si="4"/>
        <v>15.060606</v>
      </c>
      <c r="U55" s="17">
        <f t="shared" si="6"/>
        <v>0.13309675318423955</v>
      </c>
      <c r="V55" s="17">
        <f t="shared" si="7"/>
        <v>2.4032796935539369</v>
      </c>
      <c r="X55" s="21">
        <f t="shared" si="8"/>
        <v>15.060606</v>
      </c>
      <c r="Y55" s="20">
        <f t="shared" si="9"/>
        <v>0.13581561063893477</v>
      </c>
    </row>
    <row r="56" spans="1:25" x14ac:dyDescent="0.25">
      <c r="A56">
        <v>15353535</v>
      </c>
      <c r="B56" t="str">
        <f>COMPLEX(0.236041,0.344364)</f>
        <v>0.236041+0.344364i</v>
      </c>
      <c r="C56" t="str">
        <f>COMPLEX(0.740142,-0.50403)</f>
        <v>0.740142-0.50403i</v>
      </c>
      <c r="D56" t="str">
        <f>COMPLEX(0.740142,-0.50403)</f>
        <v>0.740142-0.50403i</v>
      </c>
      <c r="E56" t="str">
        <f>COMPLEX(0.236041,0.344364)</f>
        <v>0.236041+0.344364i</v>
      </c>
      <c r="F56"/>
      <c r="G56" t="str">
        <f t="shared" si="0"/>
        <v>58.791986701727+49.0393381170371i</v>
      </c>
      <c r="H56" t="str">
        <f t="shared" si="1"/>
        <v>58.791986701727+49.0393381170371i</v>
      </c>
      <c r="N56" s="19">
        <f t="shared" si="10"/>
        <v>0.41749481215579193</v>
      </c>
      <c r="O56" s="19">
        <f t="shared" si="10"/>
        <v>0.895464360577237</v>
      </c>
      <c r="P56" s="18">
        <f t="shared" si="11"/>
        <v>-7.5869783349182809</v>
      </c>
      <c r="Q56" s="18">
        <f t="shared" si="11"/>
        <v>-0.95903388725715955</v>
      </c>
      <c r="R56" s="17">
        <f t="shared" si="5"/>
        <v>0.12724664414453415</v>
      </c>
      <c r="T56" s="17">
        <f t="shared" si="4"/>
        <v>15.353535000000001</v>
      </c>
      <c r="U56" s="17">
        <f t="shared" si="6"/>
        <v>0.12724664414453415</v>
      </c>
      <c r="V56" s="17">
        <f t="shared" si="7"/>
        <v>2.4334458159965835</v>
      </c>
      <c r="X56" s="21">
        <f t="shared" si="8"/>
        <v>15.353535000000001</v>
      </c>
      <c r="Y56" s="20">
        <f t="shared" si="9"/>
        <v>0.13581856960264249</v>
      </c>
    </row>
    <row r="57" spans="1:25" x14ac:dyDescent="0.25">
      <c r="A57">
        <v>15646464</v>
      </c>
      <c r="B57" t="str">
        <f>COMPLEX(0.244055,0.346245)</f>
        <v>0.244055+0.346245i</v>
      </c>
      <c r="C57" t="str">
        <f>COMPLEX(0.736274,-0.503642)</f>
        <v>0.736274-0.503642i</v>
      </c>
      <c r="D57" t="str">
        <f>COMPLEX(0.736274,-0.503642)</f>
        <v>0.736274-0.503642i</v>
      </c>
      <c r="E57" t="str">
        <f>COMPLEX(0.244055,0.346245)</f>
        <v>0.244055+0.346245i</v>
      </c>
      <c r="F57"/>
      <c r="G57" t="str">
        <f t="shared" si="0"/>
        <v>59.345141674022+50.0832846026125i</v>
      </c>
      <c r="H57" t="str">
        <f t="shared" si="1"/>
        <v>59.345141674022+50.0832846026125i</v>
      </c>
      <c r="N57" s="19">
        <f t="shared" si="10"/>
        <v>0.42361355390261063</v>
      </c>
      <c r="O57" s="19">
        <f t="shared" si="10"/>
        <v>0.89205082099620314</v>
      </c>
      <c r="P57" s="18">
        <f t="shared" si="11"/>
        <v>-7.460603053871746</v>
      </c>
      <c r="Q57" s="18">
        <f t="shared" si="11"/>
        <v>-0.99220805486559027</v>
      </c>
      <c r="R57" s="17">
        <f t="shared" si="5"/>
        <v>0.13326679352746956</v>
      </c>
      <c r="T57" s="17">
        <f t="shared" si="4"/>
        <v>15.646464</v>
      </c>
      <c r="U57" s="17">
        <f t="shared" si="6"/>
        <v>0.13326679352746956</v>
      </c>
      <c r="V57" s="17">
        <f t="shared" si="7"/>
        <v>2.4698942238174513</v>
      </c>
      <c r="X57" s="21">
        <f t="shared" si="8"/>
        <v>15.646464</v>
      </c>
      <c r="Y57" s="20">
        <f t="shared" si="9"/>
        <v>0.13570139820769281</v>
      </c>
    </row>
    <row r="58" spans="1:25" x14ac:dyDescent="0.25">
      <c r="A58">
        <v>15939393</v>
      </c>
      <c r="B58" t="str">
        <f>COMPLEX(0.251337,0.348629)</f>
        <v>0.251337+0.348629i</v>
      </c>
      <c r="C58" t="str">
        <f>COMPLEX(0.72448,-0.501633)</f>
        <v>0.72448-0.501633i</v>
      </c>
      <c r="D58" t="str">
        <f>COMPLEX(0.72448,-0.501633)</f>
        <v>0.72448-0.501633i</v>
      </c>
      <c r="E58" t="str">
        <f>COMPLEX(0.251337,0.348629)</f>
        <v>0.251337+0.348629i</v>
      </c>
      <c r="F58"/>
      <c r="G58" t="str">
        <f t="shared" si="0"/>
        <v>59.768442103059+51.115738592594i</v>
      </c>
      <c r="H58" t="str">
        <f t="shared" si="1"/>
        <v>59.768442103059+51.115738592594i</v>
      </c>
      <c r="N58" s="19">
        <f t="shared" si="10"/>
        <v>0.42978188329663231</v>
      </c>
      <c r="O58" s="19">
        <f t="shared" si="10"/>
        <v>0.8811963101880308</v>
      </c>
      <c r="P58" s="18">
        <f t="shared" si="11"/>
        <v>-7.3350379076561021</v>
      </c>
      <c r="Q58" s="18">
        <f t="shared" si="11"/>
        <v>-1.0985466005645841</v>
      </c>
      <c r="R58" s="17">
        <f t="shared" si="5"/>
        <v>0.21165461288981785</v>
      </c>
      <c r="T58" s="17">
        <f t="shared" si="4"/>
        <v>15.939393000000001</v>
      </c>
      <c r="U58" s="17">
        <f t="shared" si="6"/>
        <v>0.21165461288981785</v>
      </c>
      <c r="V58" s="17">
        <f t="shared" si="7"/>
        <v>2.5074297736499607</v>
      </c>
      <c r="X58" s="21">
        <f t="shared" si="8"/>
        <v>15.939393000000001</v>
      </c>
      <c r="Y58" s="20">
        <f t="shared" si="9"/>
        <v>0.13546409645408569</v>
      </c>
    </row>
    <row r="59" spans="1:25" x14ac:dyDescent="0.25">
      <c r="A59">
        <v>16232323</v>
      </c>
      <c r="B59" t="str">
        <f>COMPLEX(0.25878,0.351457)</f>
        <v>0.25878+0.351457i</v>
      </c>
      <c r="C59" t="str">
        <f>COMPLEX(0.728146,-0.506723)</f>
        <v>0.728146-0.506723i</v>
      </c>
      <c r="D59" t="str">
        <f>COMPLEX(0.728146,-0.506723)</f>
        <v>0.728146-0.506723i</v>
      </c>
      <c r="E59" t="str">
        <f>COMPLEX(0.25878,0.351457)</f>
        <v>0.25878+0.351457i</v>
      </c>
      <c r="F59"/>
      <c r="G59" t="str">
        <f t="shared" si="0"/>
        <v>60.1483035299585+52.227938147552i</v>
      </c>
      <c r="H59" t="str">
        <f t="shared" si="1"/>
        <v>60.1483035299585+52.227938147552i</v>
      </c>
      <c r="N59" s="19">
        <f t="shared" si="10"/>
        <v>0.43645058282582239</v>
      </c>
      <c r="O59" s="19">
        <f t="shared" si="10"/>
        <v>0.88711036294533285</v>
      </c>
      <c r="P59" s="18">
        <f t="shared" si="11"/>
        <v>-7.2012984444835704</v>
      </c>
      <c r="Q59" s="18">
        <f t="shared" si="11"/>
        <v>-1.0404469486502401</v>
      </c>
      <c r="R59" s="17">
        <f t="shared" si="5"/>
        <v>0.1226738969953023</v>
      </c>
      <c r="T59" s="17">
        <f t="shared" si="4"/>
        <v>16.232323000000001</v>
      </c>
      <c r="U59" s="17">
        <f t="shared" si="6"/>
        <v>0.1226738969953023</v>
      </c>
      <c r="V59" s="17">
        <f t="shared" si="7"/>
        <v>2.5489345548943318</v>
      </c>
      <c r="X59" s="21">
        <f t="shared" si="8"/>
        <v>16.232323000000001</v>
      </c>
      <c r="Y59" s="20">
        <f t="shared" si="9"/>
        <v>0.13510666291656967</v>
      </c>
    </row>
    <row r="60" spans="1:25" x14ac:dyDescent="0.25">
      <c r="A60">
        <v>16525252</v>
      </c>
      <c r="B60" t="str">
        <f>COMPLEX(0.26596,0.3518)</f>
        <v>0.26596+0.3518i</v>
      </c>
      <c r="C60" t="str">
        <f>COMPLEX(0.723377,-0.510293)</f>
        <v>0.723377-0.510293i</v>
      </c>
      <c r="D60" t="str">
        <f>COMPLEX(0.723377,-0.510293)</f>
        <v>0.723377-0.510293i</v>
      </c>
      <c r="E60" t="str">
        <f>COMPLEX(0.26596,0.3518)</f>
        <v>0.26596+0.3518i</v>
      </c>
      <c r="F60"/>
      <c r="G60" t="str">
        <f t="shared" si="0"/>
        <v>60.7854535679745+53.0956386099035i</v>
      </c>
      <c r="H60" t="str">
        <f t="shared" si="1"/>
        <v>60.7854535679745+53.0956386099035i</v>
      </c>
      <c r="N60" s="19">
        <f t="shared" si="10"/>
        <v>0.44101923041971769</v>
      </c>
      <c r="O60" s="19">
        <f t="shared" si="10"/>
        <v>0.88525320105492988</v>
      </c>
      <c r="P60" s="18">
        <f t="shared" si="11"/>
        <v>-7.1108494585760926</v>
      </c>
      <c r="Q60" s="18">
        <f t="shared" si="11"/>
        <v>-1.0586498833658748</v>
      </c>
      <c r="R60" s="17">
        <f t="shared" si="5"/>
        <v>0.119316321169662</v>
      </c>
      <c r="T60" s="17">
        <f t="shared" si="4"/>
        <v>16.525251999999998</v>
      </c>
      <c r="U60" s="17">
        <f t="shared" si="6"/>
        <v>0.119316321169662</v>
      </c>
      <c r="V60" s="17">
        <f t="shared" si="7"/>
        <v>2.5779406177098454</v>
      </c>
      <c r="X60" s="21">
        <f t="shared" si="8"/>
        <v>16.525251999999998</v>
      </c>
      <c r="Y60" s="20">
        <f t="shared" si="9"/>
        <v>0.13462910003554718</v>
      </c>
    </row>
    <row r="61" spans="1:25" x14ac:dyDescent="0.25">
      <c r="A61">
        <v>16818181</v>
      </c>
      <c r="B61" t="str">
        <f>COMPLEX(0.274854,0.352393)</f>
        <v>0.274854+0.352393i</v>
      </c>
      <c r="C61" t="str">
        <f>COMPLEX(0.71666,-0.510748)</f>
        <v>0.71666-0.510748i</v>
      </c>
      <c r="D61" t="str">
        <f>COMPLEX(0.71666,-0.510748)</f>
        <v>0.71666-0.510748i</v>
      </c>
      <c r="E61" t="str">
        <f>COMPLEX(0.274854,0.352393)</f>
        <v>0.274854+0.352393i</v>
      </c>
      <c r="F61"/>
      <c r="G61" t="str">
        <f t="shared" si="0"/>
        <v>61.557911396903+54.212844131925i</v>
      </c>
      <c r="H61" t="str">
        <f t="shared" si="1"/>
        <v>61.557911396903+54.212844131925i</v>
      </c>
      <c r="N61" s="19">
        <f t="shared" si="10"/>
        <v>0.44690664323211843</v>
      </c>
      <c r="O61" s="19">
        <f t="shared" si="10"/>
        <v>0.880036973714173</v>
      </c>
      <c r="P61" s="18">
        <f t="shared" si="11"/>
        <v>-6.99566379076653</v>
      </c>
      <c r="Q61" s="18">
        <f t="shared" si="11"/>
        <v>-1.1099816219348537</v>
      </c>
      <c r="R61" s="17">
        <f t="shared" si="5"/>
        <v>0.14237114998397715</v>
      </c>
      <c r="T61" s="17">
        <f t="shared" si="4"/>
        <v>16.818180999999999</v>
      </c>
      <c r="U61" s="17">
        <f t="shared" si="6"/>
        <v>0.14237114998397715</v>
      </c>
      <c r="V61" s="17">
        <f t="shared" si="7"/>
        <v>2.6160260750326576</v>
      </c>
      <c r="X61" s="21">
        <f t="shared" si="8"/>
        <v>16.818180999999999</v>
      </c>
      <c r="Y61" s="20">
        <f t="shared" si="9"/>
        <v>0.13403140679586731</v>
      </c>
    </row>
    <row r="62" spans="1:25" x14ac:dyDescent="0.25">
      <c r="A62">
        <v>17111111</v>
      </c>
      <c r="B62" t="str">
        <f>COMPLEX(0.281607,0.354428)</f>
        <v>0.281607+0.354428i</v>
      </c>
      <c r="C62" t="str">
        <f>COMPLEX(0.711907,-0.513578)</f>
        <v>0.711907-0.513578i</v>
      </c>
      <c r="D62" t="str">
        <f>COMPLEX(0.711907,-0.513578)</f>
        <v>0.711907-0.513578i</v>
      </c>
      <c r="E62" t="str">
        <f>COMPLEX(0.281607,0.354428)</f>
        <v>0.281607+0.354428i</v>
      </c>
      <c r="F62"/>
      <c r="G62" t="str">
        <f t="shared" si="0"/>
        <v>61.950189972138+55.2319996595805i</v>
      </c>
      <c r="H62" t="str">
        <f t="shared" si="1"/>
        <v>61.950189972138+55.2319996595805i</v>
      </c>
      <c r="N62" s="19">
        <f t="shared" si="10"/>
        <v>0.45268279140364942</v>
      </c>
      <c r="O62" s="19">
        <f t="shared" si="10"/>
        <v>0.87782340976588213</v>
      </c>
      <c r="P62" s="18">
        <f t="shared" si="11"/>
        <v>-6.8841202952280591</v>
      </c>
      <c r="Q62" s="18">
        <f t="shared" si="11"/>
        <v>-1.1318568317124347</v>
      </c>
      <c r="R62" s="17">
        <f t="shared" si="5"/>
        <v>0.13595578368968664</v>
      </c>
      <c r="T62" s="17">
        <f t="shared" si="4"/>
        <v>17.111111000000001</v>
      </c>
      <c r="U62" s="17">
        <f t="shared" si="6"/>
        <v>0.13595578368968664</v>
      </c>
      <c r="V62" s="17">
        <f t="shared" si="7"/>
        <v>2.6541880441311156</v>
      </c>
      <c r="X62" s="21">
        <f t="shared" si="8"/>
        <v>17.111111000000001</v>
      </c>
      <c r="Y62" s="20">
        <f t="shared" si="9"/>
        <v>0.13331358054197531</v>
      </c>
    </row>
    <row r="63" spans="1:25" x14ac:dyDescent="0.25">
      <c r="A63">
        <v>17404040</v>
      </c>
      <c r="B63" t="str">
        <f>COMPLEX(0.289647,0.354929)</f>
        <v>0.289647+0.354929i</v>
      </c>
      <c r="C63" t="str">
        <f>COMPLEX(0.706068,-0.51707)</f>
        <v>0.706068-0.51707i</v>
      </c>
      <c r="D63" t="str">
        <f>COMPLEX(0.706068,-0.51707)</f>
        <v>0.706068-0.51707i</v>
      </c>
      <c r="E63" t="str">
        <f>COMPLEX(0.289647,0.354929)</f>
        <v>0.289647+0.354929i</v>
      </c>
      <c r="F63"/>
      <c r="G63" t="str">
        <f t="shared" si="0"/>
        <v>62.6514524695785+56.2864764047945i</v>
      </c>
      <c r="H63" t="str">
        <f t="shared" si="1"/>
        <v>62.6514524695785+56.2864764047945i</v>
      </c>
      <c r="N63" s="19">
        <f t="shared" si="10"/>
        <v>0.45811568369790612</v>
      </c>
      <c r="O63" s="19">
        <f t="shared" si="10"/>
        <v>0.87515336114534814</v>
      </c>
      <c r="P63" s="18">
        <f t="shared" si="11"/>
        <v>-6.7804967959185731</v>
      </c>
      <c r="Q63" s="18">
        <f t="shared" si="11"/>
        <v>-1.1583166981133632</v>
      </c>
      <c r="R63" s="17">
        <f t="shared" si="5"/>
        <v>0.13530232588225494</v>
      </c>
      <c r="T63" s="17">
        <f t="shared" si="4"/>
        <v>17.404039999999998</v>
      </c>
      <c r="U63" s="17">
        <f t="shared" si="6"/>
        <v>0.13530232588225494</v>
      </c>
      <c r="V63" s="17">
        <f t="shared" si="7"/>
        <v>2.690824664659651</v>
      </c>
      <c r="X63" s="21">
        <f t="shared" si="8"/>
        <v>17.404039999999998</v>
      </c>
      <c r="Y63" s="20">
        <f t="shared" si="9"/>
        <v>0.13247562617488001</v>
      </c>
    </row>
    <row r="64" spans="1:25" x14ac:dyDescent="0.25">
      <c r="A64">
        <v>17696969</v>
      </c>
      <c r="B64" t="str">
        <f>COMPLEX(0.29818,0.356687)</f>
        <v>0.29818+0.356687i</v>
      </c>
      <c r="C64" t="str">
        <f>COMPLEX(0.699109,-0.523657)</f>
        <v>0.699109-0.523657i</v>
      </c>
      <c r="D64" t="str">
        <f>COMPLEX(0.699109,-0.523657)</f>
        <v>0.699109-0.523657i</v>
      </c>
      <c r="E64" t="str">
        <f>COMPLEX(0.29818,0.356687)</f>
        <v>0.29818+0.356687i</v>
      </c>
      <c r="F64"/>
      <c r="G64" t="str">
        <f t="shared" si="0"/>
        <v>63.2375162539375+57.5508676869685i</v>
      </c>
      <c r="H64" t="str">
        <f t="shared" si="1"/>
        <v>63.2375162539375+57.5508676869685i</v>
      </c>
      <c r="N64" s="19">
        <f t="shared" si="10"/>
        <v>0.46490528967629524</v>
      </c>
      <c r="O64" s="19">
        <f t="shared" si="10"/>
        <v>0.87348156679462918</v>
      </c>
      <c r="P64" s="18">
        <f t="shared" si="11"/>
        <v>-6.6527102480243467</v>
      </c>
      <c r="Q64" s="18">
        <f t="shared" si="11"/>
        <v>-1.1749251112476955</v>
      </c>
      <c r="R64" s="17">
        <f t="shared" si="5"/>
        <v>0.11732716119464699</v>
      </c>
      <c r="T64" s="17">
        <f t="shared" si="4"/>
        <v>17.696968999999999</v>
      </c>
      <c r="U64" s="17">
        <f t="shared" si="6"/>
        <v>0.11732716119464699</v>
      </c>
      <c r="V64" s="17">
        <f t="shared" si="7"/>
        <v>2.7376560848267464</v>
      </c>
      <c r="X64" s="21">
        <f t="shared" si="8"/>
        <v>17.696968999999999</v>
      </c>
      <c r="Y64" s="20">
        <f t="shared" si="9"/>
        <v>0.13151754144912733</v>
      </c>
    </row>
    <row r="65" spans="1:25" x14ac:dyDescent="0.25">
      <c r="A65">
        <v>17989898</v>
      </c>
      <c r="B65" t="str">
        <f>COMPLEX(0.305058,0.360059)</f>
        <v>0.305058+0.360059i</v>
      </c>
      <c r="C65" t="str">
        <f>COMPLEX(0.688826,-0.521256)</f>
        <v>0.688826-0.521256i</v>
      </c>
      <c r="D65" t="str">
        <f>COMPLEX(0.688826,-0.521256)</f>
        <v>0.688826-0.521256i</v>
      </c>
      <c r="E65" t="str">
        <f>COMPLEX(0.305058,0.360059)</f>
        <v>0.305058+0.360059i</v>
      </c>
      <c r="F65"/>
      <c r="G65" t="str">
        <f t="shared" si="0"/>
        <v>63.4438293754405+58.7768069293435i</v>
      </c>
      <c r="H65" t="str">
        <f t="shared" si="1"/>
        <v>63.4438293754405+58.7768069293435i</v>
      </c>
      <c r="N65" s="19">
        <f t="shared" si="10"/>
        <v>0.47191404603486858</v>
      </c>
      <c r="O65" s="19">
        <f t="shared" si="10"/>
        <v>0.86382236357482667</v>
      </c>
      <c r="P65" s="18">
        <f t="shared" si="11"/>
        <v>-6.5227419227467216</v>
      </c>
      <c r="Q65" s="18">
        <f t="shared" si="11"/>
        <v>-1.2715111330818329</v>
      </c>
      <c r="R65" s="17">
        <f t="shared" si="5"/>
        <v>0.17738179241819249</v>
      </c>
      <c r="T65" s="17">
        <f t="shared" si="4"/>
        <v>17.989898</v>
      </c>
      <c r="U65" s="17">
        <f t="shared" si="6"/>
        <v>0.17738179241819249</v>
      </c>
      <c r="V65" s="17">
        <f t="shared" si="7"/>
        <v>2.7872622533945606</v>
      </c>
      <c r="X65" s="21">
        <f t="shared" si="8"/>
        <v>17.989898</v>
      </c>
      <c r="Y65" s="20">
        <f t="shared" si="9"/>
        <v>0.1304393263647172</v>
      </c>
    </row>
    <row r="66" spans="1:25" x14ac:dyDescent="0.25">
      <c r="A66">
        <v>18282828</v>
      </c>
      <c r="B66" t="str">
        <f>COMPLEX(0.312633,0.358331)</f>
        <v>0.312633+0.358331i</v>
      </c>
      <c r="C66" t="str">
        <f>COMPLEX(0.688623,-0.529186)</f>
        <v>0.688623-0.529186i</v>
      </c>
      <c r="D66" t="str">
        <f>COMPLEX(0.688623,-0.529186)</f>
        <v>0.688623-0.529186i</v>
      </c>
      <c r="E66" t="str">
        <f>COMPLEX(0.312633,0.358331)</f>
        <v>0.312633+0.358331i</v>
      </c>
      <c r="F66"/>
      <c r="G66" t="str">
        <f t="shared" si="0"/>
        <v>64.394437108232+59.6349156177555i</v>
      </c>
      <c r="H66" t="str">
        <f t="shared" si="1"/>
        <v>64.394437108232+59.6349156177555i</v>
      </c>
      <c r="N66" s="19">
        <f t="shared" si="10"/>
        <v>0.47554232014616743</v>
      </c>
      <c r="O66" s="19">
        <f t="shared" si="10"/>
        <v>0.86846960725462352</v>
      </c>
      <c r="P66" s="18">
        <f t="shared" si="11"/>
        <v>-6.4562165529495861</v>
      </c>
      <c r="Q66" s="18">
        <f t="shared" si="11"/>
        <v>-1.2249075082424452</v>
      </c>
      <c r="R66" s="17">
        <f t="shared" si="5"/>
        <v>0.11152870223686502</v>
      </c>
      <c r="T66" s="17">
        <f t="shared" si="4"/>
        <v>18.282827999999999</v>
      </c>
      <c r="U66" s="17">
        <f t="shared" si="6"/>
        <v>0.11152870223686502</v>
      </c>
      <c r="V66" s="17">
        <f t="shared" si="7"/>
        <v>2.81346308163016</v>
      </c>
      <c r="X66" s="21">
        <f t="shared" si="8"/>
        <v>18.282827999999999</v>
      </c>
      <c r="Y66" s="20">
        <f t="shared" si="9"/>
        <v>0.1292409766256912</v>
      </c>
    </row>
    <row r="67" spans="1:25" x14ac:dyDescent="0.25">
      <c r="A67">
        <v>18575757</v>
      </c>
      <c r="B67" t="str">
        <f>COMPLEX(0.319553,0.35624)</f>
        <v>0.319553+0.35624i</v>
      </c>
      <c r="C67" t="str">
        <f>COMPLEX(0.686303,-0.526994)</f>
        <v>0.686303-0.526994i</v>
      </c>
      <c r="D67" t="str">
        <f>COMPLEX(0.686303,-0.526994)</f>
        <v>0.686303-0.526994i</v>
      </c>
      <c r="E67" t="str">
        <f>COMPLEX(0.319553,0.35624)</f>
        <v>0.319553+0.35624i</v>
      </c>
      <c r="F67"/>
      <c r="G67" t="str">
        <f t="shared" si="0"/>
        <v>65.34660650783+60.388355158226i</v>
      </c>
      <c r="H67" t="str">
        <f t="shared" si="1"/>
        <v>65.34660650783+60.388355158226i</v>
      </c>
      <c r="N67" s="19">
        <f t="shared" si="10"/>
        <v>0.47856144580293969</v>
      </c>
      <c r="O67" s="19">
        <f t="shared" si="10"/>
        <v>0.86529444921656573</v>
      </c>
      <c r="P67" s="18">
        <f t="shared" si="11"/>
        <v>-6.4012458448939693</v>
      </c>
      <c r="Q67" s="18">
        <f t="shared" si="11"/>
        <v>-1.2567216446950207</v>
      </c>
      <c r="R67" s="17">
        <f t="shared" si="5"/>
        <v>0.1271468098813871</v>
      </c>
      <c r="T67" s="17">
        <f t="shared" si="4"/>
        <v>18.575756999999999</v>
      </c>
      <c r="U67" s="17">
        <f t="shared" si="6"/>
        <v>0.1271468098813871</v>
      </c>
      <c r="V67" s="17">
        <f t="shared" si="7"/>
        <v>2.8355430067492988</v>
      </c>
      <c r="X67" s="21">
        <f t="shared" si="8"/>
        <v>18.575756999999999</v>
      </c>
      <c r="Y67" s="20">
        <f t="shared" si="9"/>
        <v>0.12792250041386571</v>
      </c>
    </row>
    <row r="68" spans="1:25" x14ac:dyDescent="0.25">
      <c r="A68">
        <v>18868686</v>
      </c>
      <c r="B68" t="str">
        <f>COMPLEX(0.326762,0.358477)</f>
        <v>0.326762+0.358477i</v>
      </c>
      <c r="C68" t="str">
        <f>COMPLEX(0.672734,-0.536097)</f>
        <v>0.672734-0.536097i</v>
      </c>
      <c r="D68" t="str">
        <f>COMPLEX(0.672734,-0.536097)</f>
        <v>0.672734-0.536097i</v>
      </c>
      <c r="E68" t="str">
        <f>COMPLEX(0.326762,0.358477)</f>
        <v>0.326762+0.358477i</v>
      </c>
      <c r="F68"/>
      <c r="G68" t="str">
        <f t="shared" si="0"/>
        <v>65.725315641512+61.6199085245075i</v>
      </c>
      <c r="H68" t="str">
        <f t="shared" si="1"/>
        <v>65.725315641512+61.6199085245075i</v>
      </c>
      <c r="N68" s="19">
        <f t="shared" si="10"/>
        <v>0.48505583613951087</v>
      </c>
      <c r="O68" s="19">
        <f t="shared" si="10"/>
        <v>0.8602156870023937</v>
      </c>
      <c r="P68" s="18">
        <f t="shared" si="11"/>
        <v>-6.2841653132527595</v>
      </c>
      <c r="Q68" s="18">
        <f t="shared" si="11"/>
        <v>-1.3078528372089306</v>
      </c>
      <c r="R68" s="17">
        <f t="shared" si="5"/>
        <v>0.14288206996545241</v>
      </c>
      <c r="T68" s="17">
        <f t="shared" si="4"/>
        <v>18.868686</v>
      </c>
      <c r="U68" s="17">
        <f t="shared" si="6"/>
        <v>0.14288206996545241</v>
      </c>
      <c r="V68" s="17">
        <f t="shared" si="7"/>
        <v>2.8839162386193169</v>
      </c>
      <c r="X68" s="21">
        <f t="shared" si="8"/>
        <v>18.868686</v>
      </c>
      <c r="Y68" s="20">
        <f t="shared" si="9"/>
        <v>0.12648389384338279</v>
      </c>
    </row>
    <row r="69" spans="1:25" x14ac:dyDescent="0.25">
      <c r="A69">
        <v>19161616</v>
      </c>
      <c r="B69" t="str">
        <f>COMPLEX(0.333382,0.358522)</f>
        <v>0.333382+0.358522i</v>
      </c>
      <c r="C69" t="str">
        <f>COMPLEX(0.66584,-0.531619)</f>
        <v>0.66584-0.531619i</v>
      </c>
      <c r="D69" t="str">
        <f>COMPLEX(0.66584,-0.531619)</f>
        <v>0.66584-0.531619i</v>
      </c>
      <c r="E69" t="str">
        <f>COMPLEX(0.333382,0.358522)</f>
        <v>0.333382+0.358522i</v>
      </c>
      <c r="F69"/>
      <c r="G69" t="str">
        <f t="shared" si="0"/>
        <v>66.3549558381805+62.5782854303605i</v>
      </c>
      <c r="H69" t="str">
        <f t="shared" si="1"/>
        <v>66.3549558381805+62.5782854303605i</v>
      </c>
      <c r="N69" s="19">
        <f t="shared" si="10"/>
        <v>0.48957285709892046</v>
      </c>
      <c r="O69" s="19">
        <f t="shared" si="10"/>
        <v>0.85203384132380566</v>
      </c>
      <c r="P69" s="18">
        <f t="shared" si="11"/>
        <v>-6.2036533670428442</v>
      </c>
      <c r="Q69" s="18">
        <f t="shared" si="11"/>
        <v>-1.3908631091656827</v>
      </c>
      <c r="R69" s="17">
        <f t="shared" si="5"/>
        <v>0.2008182167386876</v>
      </c>
      <c r="T69" s="17">
        <f t="shared" si="4"/>
        <v>19.161615999999999</v>
      </c>
      <c r="U69" s="17">
        <f t="shared" si="6"/>
        <v>0.2008182167386876</v>
      </c>
      <c r="V69" s="17">
        <f t="shared" si="7"/>
        <v>2.9182869246191294</v>
      </c>
      <c r="X69" s="21">
        <f t="shared" si="8"/>
        <v>19.161615999999999</v>
      </c>
      <c r="Y69" s="20">
        <f t="shared" si="9"/>
        <v>0.12492515138798083</v>
      </c>
    </row>
    <row r="70" spans="1:25" x14ac:dyDescent="0.25">
      <c r="A70">
        <v>19454545</v>
      </c>
      <c r="B70" t="str">
        <f>COMPLEX(0.341119,0.359846)</f>
        <v>0.341119+0.359846i</v>
      </c>
      <c r="C70" t="str">
        <f>COMPLEX(0.66469,-0.53454)</f>
        <v>0.66469-0.53454i</v>
      </c>
      <c r="D70" t="str">
        <f>COMPLEX(0.66469,-0.53454)</f>
        <v>0.66469-0.53454i</v>
      </c>
      <c r="E70" t="str">
        <f>COMPLEX(0.341119,0.359846)</f>
        <v>0.341119+0.359846i</v>
      </c>
      <c r="F70"/>
      <c r="G70" t="str">
        <f t="shared" si="0"/>
        <v>66.9030222387065+63.846255910414i</v>
      </c>
      <c r="H70" t="str">
        <f t="shared" si="1"/>
        <v>66.9030222387065+63.846255910414i</v>
      </c>
      <c r="N70" s="19">
        <f t="shared" si="10"/>
        <v>0.4958339599876152</v>
      </c>
      <c r="O70" s="19">
        <f t="shared" si="10"/>
        <v>0.85296295798821187</v>
      </c>
      <c r="P70" s="18">
        <f t="shared" si="11"/>
        <v>-6.0932746288087447</v>
      </c>
      <c r="Q70" s="18">
        <f t="shared" si="11"/>
        <v>-1.3813965745539927</v>
      </c>
      <c r="R70" s="17">
        <f t="shared" si="5"/>
        <v>0.15596635060365663</v>
      </c>
      <c r="T70" s="17">
        <f t="shared" si="4"/>
        <v>19.454545</v>
      </c>
      <c r="U70" s="17">
        <f t="shared" si="6"/>
        <v>0.15596635060365663</v>
      </c>
      <c r="V70" s="17">
        <f t="shared" si="7"/>
        <v>2.9669470794797483</v>
      </c>
      <c r="X70" s="21">
        <f t="shared" si="8"/>
        <v>19.454545</v>
      </c>
      <c r="Y70" s="20">
        <f t="shared" si="9"/>
        <v>0.1232462836900825</v>
      </c>
    </row>
    <row r="71" spans="1:25" x14ac:dyDescent="0.25">
      <c r="A71">
        <v>19747474</v>
      </c>
      <c r="B71" t="str">
        <f>COMPLEX(0.348598,0.359599)</f>
        <v>0.348598+0.359599i</v>
      </c>
      <c r="C71" t="str">
        <f>COMPLEX(0.659236,-0.539738)</f>
        <v>0.659236-0.539738i</v>
      </c>
      <c r="D71" t="str">
        <f>COMPLEX(0.659236,-0.539738)</f>
        <v>0.659236-0.539738i</v>
      </c>
      <c r="E71" t="str">
        <f>COMPLEX(0.348598,0.359599)</f>
        <v>0.348598+0.359599i</v>
      </c>
      <c r="F71"/>
      <c r="G71" t="str">
        <f t="shared" ref="G71:G106" si="12">IMPRODUCT($B$4,(IMDIV(IMSUM($E$4,$B71),IMSUB($E$4,$B71))))</f>
        <v>67.65889365286+64.952242238548i</v>
      </c>
      <c r="H71" t="str">
        <f t="shared" ref="H71:H106" si="13">IMPRODUCT($B$4,(IMDIV(IMSUM($E$4,$E71),IMSUB($E$4,$E71))))</f>
        <v>67.65889365286+64.952242238548i</v>
      </c>
      <c r="N71" s="19">
        <f t="shared" ref="N71:O106" si="14">IMABS(B71)</f>
        <v>0.50083131531983904</v>
      </c>
      <c r="O71" s="19">
        <f t="shared" si="14"/>
        <v>0.85200305887948558</v>
      </c>
      <c r="P71" s="18">
        <f t="shared" ref="P71:Q106" si="15">20*LOG(N71)</f>
        <v>-6.0061704791229564</v>
      </c>
      <c r="Q71" s="18">
        <f t="shared" si="15"/>
        <v>-1.3911769203444795</v>
      </c>
      <c r="R71" s="17">
        <f t="shared" si="5"/>
        <v>0.13696906944269063</v>
      </c>
      <c r="T71" s="17">
        <f t="shared" ref="T71:T106" si="16">A71/1000000</f>
        <v>19.747474</v>
      </c>
      <c r="U71" s="17">
        <f t="shared" si="6"/>
        <v>0.13696906944269063</v>
      </c>
      <c r="V71" s="17">
        <f t="shared" si="7"/>
        <v>3.006661598336215</v>
      </c>
      <c r="X71" s="21">
        <f t="shared" si="8"/>
        <v>19.747474</v>
      </c>
      <c r="Y71" s="20">
        <f t="shared" si="9"/>
        <v>0.1214472856335268</v>
      </c>
    </row>
    <row r="72" spans="1:25" x14ac:dyDescent="0.25">
      <c r="A72">
        <v>20040404</v>
      </c>
      <c r="B72" t="str">
        <f>COMPLEX(0.355406,0.359409)</f>
        <v>0.355406+0.359409i</v>
      </c>
      <c r="C72" t="str">
        <f>COMPLEX(0.659717,-0.538041)</f>
        <v>0.659717-0.538041i</v>
      </c>
      <c r="D72" t="str">
        <f>COMPLEX(0.659717,-0.538041)</f>
        <v>0.659717-0.538041i</v>
      </c>
      <c r="E72" t="str">
        <f>COMPLEX(0.355406,0.359409)</f>
        <v>0.355406+0.359409i</v>
      </c>
      <c r="F72"/>
      <c r="G72" t="str">
        <f t="shared" si="12"/>
        <v>68.34442847981+65.985802994598i</v>
      </c>
      <c r="H72" t="str">
        <f t="shared" si="13"/>
        <v>68.34442847981+65.985802994598i</v>
      </c>
      <c r="N72" s="19">
        <f t="shared" si="14"/>
        <v>0.5054584593386483</v>
      </c>
      <c r="O72" s="19">
        <f t="shared" si="14"/>
        <v>0.85130173133266906</v>
      </c>
      <c r="P72" s="18">
        <f t="shared" si="15"/>
        <v>-5.926290614370239</v>
      </c>
      <c r="Q72" s="18">
        <f t="shared" si="15"/>
        <v>-1.3983296672292835</v>
      </c>
      <c r="R72" s="17">
        <f t="shared" ref="R72:R106" si="17">-10*LOG(O72^2/(1-N72^2))</f>
        <v>0.11704520566572749</v>
      </c>
      <c r="T72" s="17">
        <f t="shared" si="16"/>
        <v>20.040403999999999</v>
      </c>
      <c r="U72" s="17">
        <f t="shared" ref="U72:U106" si="18">R72</f>
        <v>0.11704520566572749</v>
      </c>
      <c r="V72" s="17">
        <f t="shared" ref="V72:V106" si="19">(1+N72)/(1-N72)</f>
        <v>3.0441496528793008</v>
      </c>
      <c r="X72" s="21">
        <f t="shared" ref="X72:X106" si="20">T72</f>
        <v>20.040403999999999</v>
      </c>
      <c r="Y72" s="20">
        <f t="shared" ref="Y72:Y106" si="21">-0.0007*X72^2+0.0213*X72-0.0262</f>
        <v>0.11952815046174881</v>
      </c>
    </row>
    <row r="73" spans="1:25" x14ac:dyDescent="0.25">
      <c r="A73">
        <v>20333333</v>
      </c>
      <c r="B73" t="str">
        <f>COMPLEX(0.362787,0.359307)</f>
        <v>0.362787+0.359307i</v>
      </c>
      <c r="C73" t="str">
        <f>COMPLEX(0.653064,-0.539762)</f>
        <v>0.653064-0.539762i</v>
      </c>
      <c r="D73" t="str">
        <f>COMPLEX(0.653064,-0.539762)</f>
        <v>0.653064-0.539762i</v>
      </c>
      <c r="E73" t="str">
        <f>COMPLEX(0.362787,0.359307)</f>
        <v>0.362787+0.359307i</v>
      </c>
      <c r="F73"/>
      <c r="G73" t="str">
        <f t="shared" si="12"/>
        <v>69.073645161076+67.142375032981i</v>
      </c>
      <c r="H73" t="str">
        <f t="shared" si="13"/>
        <v>69.073645161076+67.142375032981i</v>
      </c>
      <c r="N73" s="19">
        <f t="shared" si="14"/>
        <v>0.51060349354269008</v>
      </c>
      <c r="O73" s="19">
        <f t="shared" si="14"/>
        <v>0.8472517953595613</v>
      </c>
      <c r="P73" s="18">
        <f t="shared" si="15"/>
        <v>-5.8383243616842471</v>
      </c>
      <c r="Q73" s="18">
        <f t="shared" si="15"/>
        <v>-1.4397500440536568</v>
      </c>
      <c r="R73" s="17">
        <f t="shared" si="17"/>
        <v>0.12786353980237428</v>
      </c>
      <c r="T73" s="17">
        <f t="shared" si="16"/>
        <v>20.333333</v>
      </c>
      <c r="U73" s="17">
        <f t="shared" si="18"/>
        <v>0.12786353980237428</v>
      </c>
      <c r="V73" s="17">
        <f t="shared" si="19"/>
        <v>3.0866658703344463</v>
      </c>
      <c r="X73" s="21">
        <f t="shared" si="20"/>
        <v>20.333333</v>
      </c>
      <c r="Y73" s="20">
        <f t="shared" si="21"/>
        <v>0.11748889127777773</v>
      </c>
    </row>
    <row r="74" spans="1:25" x14ac:dyDescent="0.25">
      <c r="A74">
        <v>20626262</v>
      </c>
      <c r="B74" t="str">
        <f>COMPLEX(0.369863,0.360436)</f>
        <v>0.369863+0.360436i</v>
      </c>
      <c r="C74" t="str">
        <f>COMPLEX(0.653964,-0.538864)</f>
        <v>0.653964-0.538864i</v>
      </c>
      <c r="D74" t="str">
        <f>COMPLEX(0.653964,-0.538864)</f>
        <v>0.653964-0.538864i</v>
      </c>
      <c r="E74" t="str">
        <f>COMPLEX(0.369863,0.360436)</f>
        <v>0.369863+0.360436i</v>
      </c>
      <c r="F74"/>
      <c r="G74" t="str">
        <f t="shared" si="12"/>
        <v>69.573594849806+68.3956476659595i</v>
      </c>
      <c r="H74" t="str">
        <f t="shared" si="13"/>
        <v>69.573594849806+68.3956476659595i</v>
      </c>
      <c r="N74" s="19">
        <f t="shared" si="14"/>
        <v>0.51644239646353585</v>
      </c>
      <c r="O74" s="19">
        <f t="shared" si="14"/>
        <v>0.84737437050692055</v>
      </c>
      <c r="P74" s="18">
        <f t="shared" si="15"/>
        <v>-5.7395622454488446</v>
      </c>
      <c r="Q74" s="18">
        <f t="shared" si="15"/>
        <v>-1.4384935141762907</v>
      </c>
      <c r="R74" s="17">
        <f t="shared" si="17"/>
        <v>9.1234858747825692E-2</v>
      </c>
      <c r="T74" s="17">
        <f t="shared" si="16"/>
        <v>20.626262000000001</v>
      </c>
      <c r="U74" s="17">
        <f t="shared" si="18"/>
        <v>9.1234858747825692E-2</v>
      </c>
      <c r="V74" s="17">
        <f t="shared" si="19"/>
        <v>3.136011894701153</v>
      </c>
      <c r="X74" s="21">
        <f t="shared" si="20"/>
        <v>20.626262000000001</v>
      </c>
      <c r="Y74" s="20">
        <f t="shared" si="21"/>
        <v>0.11532950173514916</v>
      </c>
    </row>
    <row r="75" spans="1:25" x14ac:dyDescent="0.25">
      <c r="A75">
        <v>20919191</v>
      </c>
      <c r="B75" t="str">
        <f>COMPLEX(0.376736,0.359832)</f>
        <v>0.376736+0.359832i</v>
      </c>
      <c r="C75" t="str">
        <f>COMPLEX(0.647704,-0.541339)</f>
        <v>0.647704-0.541339i</v>
      </c>
      <c r="D75" t="str">
        <f>COMPLEX(0.647704,-0.541339)</f>
        <v>0.647704-0.541339i</v>
      </c>
      <c r="E75" t="str">
        <f>COMPLEX(0.376736,0.359832)</f>
        <v>0.376736+0.359832i</v>
      </c>
      <c r="F75"/>
      <c r="G75" t="str">
        <f t="shared" si="12"/>
        <v>70.3358519319665+69.4740756282785i</v>
      </c>
      <c r="H75" t="str">
        <f t="shared" si="13"/>
        <v>70.3358519319665+69.4740756282785i</v>
      </c>
      <c r="N75" s="19">
        <f t="shared" si="14"/>
        <v>0.5209693675447723</v>
      </c>
      <c r="O75" s="19">
        <f t="shared" si="14"/>
        <v>0.84413765733854085</v>
      </c>
      <c r="P75" s="18">
        <f t="shared" si="15"/>
        <v>-5.6637562402429467</v>
      </c>
      <c r="Q75" s="18">
        <f t="shared" si="15"/>
        <v>-1.4717345047464281</v>
      </c>
      <c r="R75" s="17">
        <f t="shared" si="17"/>
        <v>9.6572039131730139E-2</v>
      </c>
      <c r="T75" s="17">
        <f t="shared" si="16"/>
        <v>20.919191000000001</v>
      </c>
      <c r="U75" s="17">
        <f t="shared" si="18"/>
        <v>9.6572039131730139E-2</v>
      </c>
      <c r="V75" s="17">
        <f t="shared" si="19"/>
        <v>3.1750983433965025</v>
      </c>
      <c r="X75" s="21">
        <f t="shared" si="20"/>
        <v>20.919191000000001</v>
      </c>
      <c r="Y75" s="20">
        <f t="shared" si="21"/>
        <v>0.11304998183386333</v>
      </c>
    </row>
    <row r="76" spans="1:25" x14ac:dyDescent="0.25">
      <c r="A76">
        <v>21212121</v>
      </c>
      <c r="B76" t="str">
        <f>COMPLEX(0.383903,0.360366)</f>
        <v>0.383903+0.360366i</v>
      </c>
      <c r="C76" t="str">
        <f>COMPLEX(0.643457,-0.544948)</f>
        <v>0.643457-0.544948i</v>
      </c>
      <c r="D76" t="str">
        <f>COMPLEX(0.643457,-0.544948)</f>
        <v>0.643457-0.544948i</v>
      </c>
      <c r="E76" t="str">
        <f>COMPLEX(0.383903,0.360366)</f>
        <v>0.383903+0.360366i</v>
      </c>
      <c r="F76"/>
      <c r="G76" t="str">
        <f t="shared" si="12"/>
        <v>70.9363236020255+70.7377883534045i</v>
      </c>
      <c r="H76" t="str">
        <f t="shared" si="13"/>
        <v>70.9363236020255+70.7377883534045i</v>
      </c>
      <c r="N76" s="19">
        <f t="shared" si="14"/>
        <v>0.52654075565429881</v>
      </c>
      <c r="O76" s="19">
        <f t="shared" si="14"/>
        <v>0.84321126270526059</v>
      </c>
      <c r="P76" s="18">
        <f t="shared" si="15"/>
        <v>-5.5713601525997571</v>
      </c>
      <c r="Q76" s="18">
        <f t="shared" si="15"/>
        <v>-1.481272025123948</v>
      </c>
      <c r="R76" s="17">
        <f t="shared" si="17"/>
        <v>7.1182067356808779E-2</v>
      </c>
      <c r="T76" s="17">
        <f t="shared" si="16"/>
        <v>21.212121</v>
      </c>
      <c r="U76" s="17">
        <f t="shared" si="18"/>
        <v>7.1182067356808779E-2</v>
      </c>
      <c r="V76" s="17">
        <f t="shared" si="19"/>
        <v>3.2242284291310179</v>
      </c>
      <c r="X76" s="21">
        <f t="shared" si="20"/>
        <v>21.212121</v>
      </c>
      <c r="Y76" s="20">
        <f t="shared" si="21"/>
        <v>0.11065032317695128</v>
      </c>
    </row>
    <row r="77" spans="1:25" x14ac:dyDescent="0.25">
      <c r="A77">
        <v>21505050</v>
      </c>
      <c r="B77" t="str">
        <f>COMPLEX(0.389854,0.358764)</f>
        <v>0.389854+0.358764i</v>
      </c>
      <c r="C77" t="str">
        <f>COMPLEX(0.636706,-0.544042)</f>
        <v>0.636706-0.544042i</v>
      </c>
      <c r="D77" t="str">
        <f>COMPLEX(0.636706,-0.544042)</f>
        <v>0.636706-0.544042i</v>
      </c>
      <c r="E77" t="str">
        <f>COMPLEX(0.389854,0.358764)</f>
        <v>0.389854+0.358764i</v>
      </c>
      <c r="F77"/>
      <c r="G77" t="str">
        <f t="shared" si="12"/>
        <v>71.788120655815+71.6110460757965i</v>
      </c>
      <c r="H77" t="str">
        <f t="shared" si="13"/>
        <v>71.788120655815+71.6110460757965i</v>
      </c>
      <c r="N77" s="19">
        <f t="shared" si="14"/>
        <v>0.52980916282374724</v>
      </c>
      <c r="O77" s="19">
        <f t="shared" si="14"/>
        <v>0.83748207634551797</v>
      </c>
      <c r="P77" s="18">
        <f t="shared" si="15"/>
        <v>-5.517610700716066</v>
      </c>
      <c r="Q77" s="18">
        <f t="shared" si="15"/>
        <v>-1.5404895778231544</v>
      </c>
      <c r="R77" s="17">
        <f t="shared" si="17"/>
        <v>0.10960377168514752</v>
      </c>
      <c r="T77" s="17">
        <f t="shared" si="16"/>
        <v>21.505050000000001</v>
      </c>
      <c r="U77" s="17">
        <f t="shared" si="18"/>
        <v>0.10960377168514752</v>
      </c>
      <c r="V77" s="17">
        <f t="shared" si="19"/>
        <v>3.2535920351214598</v>
      </c>
      <c r="X77" s="21">
        <f t="shared" si="20"/>
        <v>21.505050000000001</v>
      </c>
      <c r="Y77" s="20">
        <f t="shared" si="21"/>
        <v>0.10813054214824996</v>
      </c>
    </row>
    <row r="78" spans="1:25" x14ac:dyDescent="0.25">
      <c r="A78">
        <v>21797979</v>
      </c>
      <c r="B78" t="str">
        <f>COMPLEX(0.396423,0.359456)</f>
        <v>0.396423+0.359456i</v>
      </c>
      <c r="C78" t="str">
        <f>COMPLEX(0.637979,-0.545015)</f>
        <v>0.637979-0.545015i</v>
      </c>
      <c r="D78" t="str">
        <f>COMPLEX(0.637979,-0.545015)</f>
        <v>0.637979-0.545015i</v>
      </c>
      <c r="E78" t="str">
        <f>COMPLEX(0.396423,0.359456)</f>
        <v>0.396423+0.359456i</v>
      </c>
      <c r="F78"/>
      <c r="G78" t="str">
        <f t="shared" si="12"/>
        <v>72.301947121214+72.836056881563i</v>
      </c>
      <c r="H78" t="str">
        <f t="shared" si="13"/>
        <v>72.301947121214+72.836056881563i</v>
      </c>
      <c r="N78" s="19">
        <f t="shared" si="14"/>
        <v>0.53512597663073691</v>
      </c>
      <c r="O78" s="19">
        <f t="shared" si="14"/>
        <v>0.83908197136275076</v>
      </c>
      <c r="P78" s="18">
        <f t="shared" si="15"/>
        <v>-5.4308793309703773</v>
      </c>
      <c r="Q78" s="18">
        <f t="shared" si="15"/>
        <v>-1.523912202459091</v>
      </c>
      <c r="R78" s="17">
        <f t="shared" si="17"/>
        <v>5.870519893248452E-2</v>
      </c>
      <c r="T78" s="17">
        <f t="shared" si="16"/>
        <v>21.797979000000002</v>
      </c>
      <c r="U78" s="17">
        <f t="shared" si="18"/>
        <v>5.870519893248452E-2</v>
      </c>
      <c r="V78" s="17">
        <f t="shared" si="19"/>
        <v>3.3022408210822771</v>
      </c>
      <c r="X78" s="21">
        <f t="shared" si="20"/>
        <v>21.797979000000002</v>
      </c>
      <c r="Y78" s="20">
        <f t="shared" si="21"/>
        <v>0.10549063076089127</v>
      </c>
    </row>
    <row r="79" spans="1:25" x14ac:dyDescent="0.25">
      <c r="A79">
        <v>22090909</v>
      </c>
      <c r="B79" t="str">
        <f>COMPLEX(0.401216,0.35913)</f>
        <v>0.401216+0.35913i</v>
      </c>
      <c r="C79" t="str">
        <f>COMPLEX(0.629765,-0.54478)</f>
        <v>0.629765-0.54478i</v>
      </c>
      <c r="D79" t="str">
        <f>COMPLEX(0.629765,-0.54478)</f>
        <v>0.629765-0.54478i</v>
      </c>
      <c r="E79" t="str">
        <f>COMPLEX(0.401216,0.35913)</f>
        <v>0.401216+0.35913i</v>
      </c>
      <c r="F79"/>
      <c r="G79" t="str">
        <f t="shared" si="12"/>
        <v>72.8232959306305+73.6651785411225i</v>
      </c>
      <c r="H79" t="str">
        <f t="shared" si="13"/>
        <v>72.8232959306305+73.6651785411225i</v>
      </c>
      <c r="N79" s="19">
        <f t="shared" si="14"/>
        <v>0.53846878791254005</v>
      </c>
      <c r="O79" s="19">
        <f t="shared" si="14"/>
        <v>0.83269994813558135</v>
      </c>
      <c r="P79" s="18">
        <f t="shared" si="15"/>
        <v>-5.3767893061948815</v>
      </c>
      <c r="Q79" s="18">
        <f t="shared" si="15"/>
        <v>-1.5902292478315587</v>
      </c>
      <c r="R79" s="17">
        <f t="shared" si="17"/>
        <v>0.10312691090585341</v>
      </c>
      <c r="T79" s="17">
        <f t="shared" si="16"/>
        <v>22.090909</v>
      </c>
      <c r="U79" s="17">
        <f t="shared" si="18"/>
        <v>0.10312691090585341</v>
      </c>
      <c r="V79" s="17">
        <f t="shared" si="19"/>
        <v>3.3334013986924051</v>
      </c>
      <c r="X79" s="21">
        <f t="shared" si="20"/>
        <v>22.090909</v>
      </c>
      <c r="Y79" s="20">
        <f t="shared" si="21"/>
        <v>0.10273057938760327</v>
      </c>
    </row>
    <row r="80" spans="1:25" x14ac:dyDescent="0.25">
      <c r="A80">
        <v>22383838</v>
      </c>
      <c r="B80" t="str">
        <f>COMPLEX(0.408221,0.359475)</f>
        <v>0.408221+0.359475i</v>
      </c>
      <c r="C80" t="str">
        <f>COMPLEX(0.625496,-0.548311)</f>
        <v>0.625496-0.548311i</v>
      </c>
      <c r="D80" t="str">
        <f>COMPLEX(0.625496,-0.548311)</f>
        <v>0.625496-0.548311i</v>
      </c>
      <c r="E80" t="str">
        <f>COMPLEX(0.408221,0.359475)</f>
        <v>0.408221+0.359475i</v>
      </c>
      <c r="F80"/>
      <c r="G80" t="str">
        <f t="shared" si="12"/>
        <v>73.4352441163105+74.9804984271335i</v>
      </c>
      <c r="H80" t="str">
        <f t="shared" si="13"/>
        <v>73.4352441163105+74.9804984271335i</v>
      </c>
      <c r="N80" s="19">
        <f t="shared" si="14"/>
        <v>0.54393626507707682</v>
      </c>
      <c r="O80" s="19">
        <f t="shared" si="14"/>
        <v>0.83179937409029103</v>
      </c>
      <c r="P80" s="18">
        <f t="shared" si="15"/>
        <v>-5.2890397026147866</v>
      </c>
      <c r="Q80" s="18">
        <f t="shared" si="15"/>
        <v>-1.5996282153494517</v>
      </c>
      <c r="R80" s="17">
        <f t="shared" si="17"/>
        <v>7.6177294561793979E-2</v>
      </c>
      <c r="T80" s="17">
        <f t="shared" si="16"/>
        <v>22.383838000000001</v>
      </c>
      <c r="U80" s="17">
        <f t="shared" si="18"/>
        <v>7.6177294561793979E-2</v>
      </c>
      <c r="V80" s="17">
        <f t="shared" si="19"/>
        <v>3.385351973530649</v>
      </c>
      <c r="X80" s="21">
        <f t="shared" si="20"/>
        <v>22.383838000000001</v>
      </c>
      <c r="Y80" s="20">
        <f t="shared" si="21"/>
        <v>9.9850406872829145E-2</v>
      </c>
    </row>
    <row r="81" spans="1:25" x14ac:dyDescent="0.25">
      <c r="A81">
        <v>22676767</v>
      </c>
      <c r="B81" t="str">
        <f>COMPLEX(0.414421,0.359878)</f>
        <v>0.414421+0.359878i</v>
      </c>
      <c r="C81" t="str">
        <f>COMPLEX(0.620293,-0.550929)</f>
        <v>0.620293-0.550929i</v>
      </c>
      <c r="D81" t="str">
        <f>COMPLEX(0.620293,-0.550929)</f>
        <v>0.620293-0.550929i</v>
      </c>
      <c r="E81" t="str">
        <f>COMPLEX(0.414421,0.359878)</f>
        <v>0.414421+0.359878i</v>
      </c>
      <c r="F81"/>
      <c r="G81" t="str">
        <f t="shared" si="12"/>
        <v>73.954377870661+76.1783697833045i</v>
      </c>
      <c r="H81" t="str">
        <f t="shared" si="13"/>
        <v>73.954377870661+76.1783697833045i</v>
      </c>
      <c r="N81" s="19">
        <f t="shared" si="14"/>
        <v>0.54886878224672231</v>
      </c>
      <c r="O81" s="19">
        <f t="shared" si="14"/>
        <v>0.82963013981532763</v>
      </c>
      <c r="P81" s="18">
        <f t="shared" si="15"/>
        <v>-5.2106293936056689</v>
      </c>
      <c r="Q81" s="18">
        <f t="shared" si="15"/>
        <v>-1.6223095750583991</v>
      </c>
      <c r="R81" s="17">
        <f t="shared" si="17"/>
        <v>6.5484648790898034E-2</v>
      </c>
      <c r="T81" s="17">
        <f t="shared" si="16"/>
        <v>22.676767000000002</v>
      </c>
      <c r="U81" s="17">
        <f t="shared" si="18"/>
        <v>6.5484648790898034E-2</v>
      </c>
      <c r="V81" s="17">
        <f t="shared" si="19"/>
        <v>3.4332999386750349</v>
      </c>
      <c r="X81" s="21">
        <f t="shared" si="20"/>
        <v>22.676767000000002</v>
      </c>
      <c r="Y81" s="20">
        <f t="shared" si="21"/>
        <v>9.6850103999397696E-2</v>
      </c>
    </row>
    <row r="82" spans="1:25" x14ac:dyDescent="0.25">
      <c r="A82">
        <v>22969696</v>
      </c>
      <c r="B82" t="str">
        <f>COMPLEX(0.420983,0.35865)</f>
        <v>0.420983+0.35865i</v>
      </c>
      <c r="C82" t="str">
        <f>COMPLEX(0.615133,-0.552839)</f>
        <v>0.615133-0.552839i</v>
      </c>
      <c r="D82" t="str">
        <f>COMPLEX(0.615133,-0.552839)</f>
        <v>0.615133-0.552839i</v>
      </c>
      <c r="E82" t="str">
        <f>COMPLEX(0.420983,0.35865)</f>
        <v>0.420983+0.35865i</v>
      </c>
      <c r="F82"/>
      <c r="G82" t="str">
        <f t="shared" si="12"/>
        <v>74.8176000650545+77.3135024763205i</v>
      </c>
      <c r="H82" t="str">
        <f t="shared" si="13"/>
        <v>74.8176000650545+77.3135024763205i</v>
      </c>
      <c r="N82" s="19">
        <f t="shared" si="14"/>
        <v>0.55304295383722235</v>
      </c>
      <c r="O82" s="19">
        <f t="shared" si="14"/>
        <v>0.82705475490441394</v>
      </c>
      <c r="P82" s="18">
        <f t="shared" si="15"/>
        <v>-5.1448227305053642</v>
      </c>
      <c r="Q82" s="18">
        <f t="shared" si="15"/>
        <v>-1.6493147432740689</v>
      </c>
      <c r="R82" s="17">
        <f t="shared" si="17"/>
        <v>6.3807300843655601E-2</v>
      </c>
      <c r="T82" s="17">
        <f t="shared" si="16"/>
        <v>22.969695999999999</v>
      </c>
      <c r="U82" s="17">
        <f t="shared" si="18"/>
        <v>6.3807300843655601E-2</v>
      </c>
      <c r="V82" s="17">
        <f t="shared" si="19"/>
        <v>3.4747029209415761</v>
      </c>
      <c r="X82" s="21">
        <f t="shared" si="20"/>
        <v>22.969695999999999</v>
      </c>
      <c r="Y82" s="20">
        <f t="shared" si="21"/>
        <v>9.372967076730887E-2</v>
      </c>
    </row>
    <row r="83" spans="1:25" x14ac:dyDescent="0.25">
      <c r="A83">
        <v>23262626</v>
      </c>
      <c r="B83" t="str">
        <f>COMPLEX(0.427228,0.360886)</f>
        <v>0.427228+0.360886i</v>
      </c>
      <c r="C83" t="str">
        <f>COMPLEX(0.608789,-0.556611)</f>
        <v>0.608789-0.556611i</v>
      </c>
      <c r="D83" t="str">
        <f>COMPLEX(0.608789,-0.556611)</f>
        <v>0.608789-0.556611i</v>
      </c>
      <c r="E83" t="str">
        <f>COMPLEX(0.427228,0.360886)</f>
        <v>0.427228+0.360886i</v>
      </c>
      <c r="F83"/>
      <c r="G83" t="str">
        <f t="shared" si="12"/>
        <v>74.975761584765+78.7433790326335i</v>
      </c>
      <c r="H83" t="str">
        <f t="shared" si="13"/>
        <v>74.975761584765+78.7433790326335i</v>
      </c>
      <c r="N83" s="19">
        <f t="shared" si="14"/>
        <v>0.55925170449449679</v>
      </c>
      <c r="O83" s="19">
        <f t="shared" si="14"/>
        <v>0.82488778136301666</v>
      </c>
      <c r="P83" s="18">
        <f t="shared" si="15"/>
        <v>-5.0478536716207953</v>
      </c>
      <c r="Q83" s="18">
        <f t="shared" si="15"/>
        <v>-1.6721025865700612</v>
      </c>
      <c r="R83" s="17">
        <f t="shared" si="17"/>
        <v>4.3171275678058965E-2</v>
      </c>
      <c r="T83" s="17">
        <f t="shared" si="16"/>
        <v>23.262626000000001</v>
      </c>
      <c r="U83" s="17">
        <f t="shared" si="18"/>
        <v>4.3171275678058965E-2</v>
      </c>
      <c r="V83" s="17">
        <f t="shared" si="19"/>
        <v>3.5377373444091464</v>
      </c>
      <c r="X83" s="21">
        <f t="shared" si="20"/>
        <v>23.262626000000001</v>
      </c>
      <c r="Y83" s="20">
        <f t="shared" si="21"/>
        <v>9.0489095908886819E-2</v>
      </c>
    </row>
    <row r="84" spans="1:25" x14ac:dyDescent="0.25">
      <c r="A84">
        <v>23555555</v>
      </c>
      <c r="B84" t="str">
        <f>COMPLEX(0.430228,0.359193)</f>
        <v>0.430228+0.359193i</v>
      </c>
      <c r="C84" t="str">
        <f>COMPLEX(0.601589,-0.558358)</f>
        <v>0.601589-0.558358i</v>
      </c>
      <c r="D84" t="str">
        <f>COMPLEX(0.601589,-0.558358)</f>
        <v>0.601589-0.558358i</v>
      </c>
      <c r="E84" t="str">
        <f>COMPLEX(0.430228,0.359193)</f>
        <v>0.430228+0.359193i</v>
      </c>
      <c r="F84"/>
      <c r="G84" t="str">
        <f t="shared" si="12"/>
        <v>75.594569167528+79.1767410174455i</v>
      </c>
      <c r="H84" t="str">
        <f t="shared" si="13"/>
        <v>75.594569167528+79.1767410174455i</v>
      </c>
      <c r="N84" s="19">
        <f t="shared" si="14"/>
        <v>0.56046029585778867</v>
      </c>
      <c r="O84" s="19">
        <f t="shared" si="14"/>
        <v>0.82077584094867229</v>
      </c>
      <c r="P84" s="18">
        <f t="shared" si="15"/>
        <v>-5.0291029655953778</v>
      </c>
      <c r="Q84" s="18">
        <f t="shared" si="15"/>
        <v>-1.7155087049057329</v>
      </c>
      <c r="R84" s="17">
        <f t="shared" si="17"/>
        <v>7.8017050188569886E-2</v>
      </c>
      <c r="T84" s="17">
        <f t="shared" si="16"/>
        <v>23.555554999999998</v>
      </c>
      <c r="U84" s="17">
        <f t="shared" si="18"/>
        <v>7.8017050188569886E-2</v>
      </c>
      <c r="V84" s="17">
        <f t="shared" si="19"/>
        <v>3.5502146476235237</v>
      </c>
      <c r="X84" s="21">
        <f t="shared" si="20"/>
        <v>23.555554999999998</v>
      </c>
      <c r="Y84" s="20">
        <f t="shared" si="21"/>
        <v>8.7128401549382506E-2</v>
      </c>
    </row>
    <row r="85" spans="1:25" x14ac:dyDescent="0.25">
      <c r="A85">
        <v>23848484</v>
      </c>
      <c r="B85" t="str">
        <f>COMPLEX(0.436004,0.359792)</f>
        <v>0.436004+0.359792i</v>
      </c>
      <c r="C85" t="str">
        <f>COMPLEX(0.599949,-0.559098)</f>
        <v>0.599949-0.559098i</v>
      </c>
      <c r="D85" t="str">
        <f>COMPLEX(0.599949,-0.559098)</f>
        <v>0.599949-0.559098i</v>
      </c>
      <c r="E85" t="str">
        <f>COMPLEX(0.436004,0.359792)</f>
        <v>0.436004+0.359792i</v>
      </c>
      <c r="F85"/>
      <c r="G85" t="str">
        <f t="shared" si="12"/>
        <v>76.020862451997+80.3929427572695i</v>
      </c>
      <c r="H85" t="str">
        <f t="shared" si="13"/>
        <v>76.020862451997+80.3929427572695i</v>
      </c>
      <c r="N85" s="19">
        <f t="shared" si="14"/>
        <v>0.56528733514912577</v>
      </c>
      <c r="O85" s="19">
        <f t="shared" si="14"/>
        <v>0.82007888413554464</v>
      </c>
      <c r="P85" s="18">
        <f t="shared" si="15"/>
        <v>-4.954614889646491</v>
      </c>
      <c r="Q85" s="18">
        <f t="shared" si="15"/>
        <v>-1.7228874084958039</v>
      </c>
      <c r="R85" s="17">
        <f t="shared" si="17"/>
        <v>5.0851052415908447E-2</v>
      </c>
      <c r="T85" s="17">
        <f t="shared" si="16"/>
        <v>23.848483999999999</v>
      </c>
      <c r="U85" s="17">
        <f t="shared" si="18"/>
        <v>5.0851052415908447E-2</v>
      </c>
      <c r="V85" s="17">
        <f t="shared" si="19"/>
        <v>3.6007401249422744</v>
      </c>
      <c r="X85" s="21">
        <f t="shared" si="20"/>
        <v>23.848483999999999</v>
      </c>
      <c r="Y85" s="20">
        <f t="shared" si="21"/>
        <v>8.364757683122076E-2</v>
      </c>
    </row>
    <row r="86" spans="1:25" x14ac:dyDescent="0.25">
      <c r="A86">
        <v>24141414</v>
      </c>
      <c r="B86" t="str">
        <f>COMPLEX(0.442918,0.358721)</f>
        <v>0.442918+0.358721i</v>
      </c>
      <c r="C86" t="str">
        <f>COMPLEX(0.593606,-0.562292)</f>
        <v>0.593606-0.562292i</v>
      </c>
      <c r="D86" t="str">
        <f>COMPLEX(0.593606,-0.562292)</f>
        <v>0.593606-0.562292i</v>
      </c>
      <c r="E86" t="str">
        <f>COMPLEX(0.442918,0.358721)</f>
        <v>0.442918+0.358721i</v>
      </c>
      <c r="F86"/>
      <c r="G86" t="str">
        <f t="shared" si="12"/>
        <v>76.8918479302875+81.70928262159i</v>
      </c>
      <c r="H86" t="str">
        <f t="shared" si="13"/>
        <v>76.8918479302875+81.70928262159i</v>
      </c>
      <c r="N86" s="19">
        <f t="shared" si="14"/>
        <v>0.56996237644690195</v>
      </c>
      <c r="O86" s="19">
        <f t="shared" si="14"/>
        <v>0.81764318409682835</v>
      </c>
      <c r="P86" s="18">
        <f t="shared" si="15"/>
        <v>-4.8830762283320981</v>
      </c>
      <c r="Q86" s="18">
        <f t="shared" si="15"/>
        <v>-1.7487235839210025</v>
      </c>
      <c r="R86" s="17">
        <f t="shared" si="17"/>
        <v>4.2680564465367457E-2</v>
      </c>
      <c r="T86" s="17">
        <f t="shared" si="16"/>
        <v>24.141414000000001</v>
      </c>
      <c r="U86" s="17">
        <f t="shared" si="18"/>
        <v>4.2680564465367457E-2</v>
      </c>
      <c r="V86" s="17">
        <f t="shared" si="19"/>
        <v>3.6507558652087426</v>
      </c>
      <c r="X86" s="21">
        <f t="shared" si="20"/>
        <v>24.141414000000001</v>
      </c>
      <c r="Y86" s="20">
        <f t="shared" si="21"/>
        <v>8.0046609256422818E-2</v>
      </c>
    </row>
    <row r="87" spans="1:25" x14ac:dyDescent="0.25">
      <c r="A87">
        <v>24434343</v>
      </c>
      <c r="B87" t="str">
        <f>COMPLEX(0.448707,0.358987)</f>
        <v>0.448707+0.358987i</v>
      </c>
      <c r="C87" t="str">
        <f>COMPLEX(0.586208,-0.566644)</f>
        <v>0.586208-0.566644i</v>
      </c>
      <c r="D87" t="str">
        <f>COMPLEX(0.586208,-0.566644)</f>
        <v>0.586208-0.566644i</v>
      </c>
      <c r="E87" t="str">
        <f>COMPLEX(0.448707,0.358987)</f>
        <v>0.448707+0.358987i</v>
      </c>
      <c r="F87"/>
      <c r="G87" t="str">
        <f t="shared" si="12"/>
        <v>77.379518547059+82.946076269158i</v>
      </c>
      <c r="H87" t="str">
        <f t="shared" si="13"/>
        <v>77.379518547059+82.946076269158i</v>
      </c>
      <c r="N87" s="19">
        <f t="shared" si="14"/>
        <v>0.57463870215814739</v>
      </c>
      <c r="O87" s="19">
        <f t="shared" si="14"/>
        <v>0.81530683917160907</v>
      </c>
      <c r="P87" s="18">
        <f t="shared" si="15"/>
        <v>-4.8121025488622475</v>
      </c>
      <c r="Q87" s="18">
        <f t="shared" si="15"/>
        <v>-1.7735782919461571</v>
      </c>
      <c r="R87" s="17">
        <f t="shared" si="17"/>
        <v>3.296723117858661E-2</v>
      </c>
      <c r="T87" s="17">
        <f t="shared" si="16"/>
        <v>24.434342999999998</v>
      </c>
      <c r="U87" s="17">
        <f t="shared" si="18"/>
        <v>3.296723117858661E-2</v>
      </c>
      <c r="V87" s="17">
        <f t="shared" si="19"/>
        <v>3.7018852212163198</v>
      </c>
      <c r="X87" s="21">
        <f t="shared" si="20"/>
        <v>24.434342999999998</v>
      </c>
      <c r="Y87" s="20">
        <f t="shared" si="21"/>
        <v>7.6325523410845808E-2</v>
      </c>
    </row>
    <row r="88" spans="1:25" x14ac:dyDescent="0.25">
      <c r="A88">
        <v>24727272</v>
      </c>
      <c r="B88" t="str">
        <f>COMPLEX(0.453737,0.357691)</f>
        <v>0.453737+0.357691i</v>
      </c>
      <c r="C88" t="str">
        <f>COMPLEX(0.578606,-0.573301)</f>
        <v>0.578606-0.573301i</v>
      </c>
      <c r="D88" t="str">
        <f>COMPLEX(0.578606,-0.573301)</f>
        <v>0.578606-0.573301i</v>
      </c>
      <c r="E88" t="str">
        <f>COMPLEX(0.453737,0.357691)</f>
        <v>0.453737+0.357691i</v>
      </c>
      <c r="F88"/>
      <c r="G88" t="str">
        <f t="shared" si="12"/>
        <v>78.1266507813515+83.8968589207625i</v>
      </c>
      <c r="H88" t="str">
        <f t="shared" si="13"/>
        <v>78.1266507813515+83.8968589207625i</v>
      </c>
      <c r="N88" s="19">
        <f t="shared" si="14"/>
        <v>0.5777716821115414</v>
      </c>
      <c r="O88" s="19">
        <f t="shared" si="14"/>
        <v>0.81452988885430089</v>
      </c>
      <c r="P88" s="18">
        <f t="shared" si="15"/>
        <v>-4.764874954373493</v>
      </c>
      <c r="Q88" s="18">
        <f t="shared" si="15"/>
        <v>-1.78185949595334</v>
      </c>
      <c r="R88" s="17">
        <f t="shared" si="17"/>
        <v>1.7774637475544398E-2</v>
      </c>
      <c r="T88" s="17">
        <f t="shared" si="16"/>
        <v>24.727271999999999</v>
      </c>
      <c r="U88" s="17">
        <f t="shared" si="18"/>
        <v>1.7774637475544398E-2</v>
      </c>
      <c r="V88" s="17">
        <f t="shared" si="19"/>
        <v>3.7367737199671818</v>
      </c>
      <c r="X88" s="21">
        <f t="shared" si="20"/>
        <v>24.727271999999999</v>
      </c>
      <c r="Y88" s="20">
        <f t="shared" si="21"/>
        <v>7.2484307206611198E-2</v>
      </c>
    </row>
    <row r="89" spans="1:25" x14ac:dyDescent="0.25">
      <c r="A89">
        <v>25020202</v>
      </c>
      <c r="B89" t="str">
        <f>COMPLEX(0.458447,0.357602)</f>
        <v>0.458447+0.357602i</v>
      </c>
      <c r="C89" t="str">
        <f>COMPLEX(0.574226,-0.572329)</f>
        <v>0.574226-0.572329i</v>
      </c>
      <c r="D89" t="str">
        <f>COMPLEX(0.574226,-0.572329)</f>
        <v>0.574226-0.572329i</v>
      </c>
      <c r="E89" t="str">
        <f>COMPLEX(0.458447,0.357602)</f>
        <v>0.458447+0.357602i</v>
      </c>
      <c r="F89"/>
      <c r="G89" t="str">
        <f t="shared" si="12"/>
        <v>78.5864015473075+84.909056668729i</v>
      </c>
      <c r="H89" t="str">
        <f t="shared" si="13"/>
        <v>78.5864015473075+84.909056668729i</v>
      </c>
      <c r="N89" s="19">
        <f t="shared" si="14"/>
        <v>0.58142311805861313</v>
      </c>
      <c r="O89" s="19">
        <f t="shared" si="14"/>
        <v>0.81073792517496057</v>
      </c>
      <c r="P89" s="18">
        <f t="shared" si="15"/>
        <v>-4.7101540833832543</v>
      </c>
      <c r="Q89" s="18">
        <f t="shared" si="15"/>
        <v>-1.8223902165024608</v>
      </c>
      <c r="R89" s="17">
        <f t="shared" si="17"/>
        <v>3.062343420024756E-2</v>
      </c>
      <c r="T89" s="17">
        <f t="shared" si="16"/>
        <v>25.020202000000001</v>
      </c>
      <c r="U89" s="17">
        <f t="shared" si="18"/>
        <v>3.062343420024756E-2</v>
      </c>
      <c r="V89" s="17">
        <f t="shared" si="19"/>
        <v>3.7780947450415074</v>
      </c>
      <c r="X89" s="21">
        <f t="shared" si="20"/>
        <v>25.020202000000001</v>
      </c>
      <c r="Y89" s="20">
        <f t="shared" si="21"/>
        <v>6.8522946915437144E-2</v>
      </c>
    </row>
    <row r="90" spans="1:25" x14ac:dyDescent="0.25">
      <c r="A90">
        <v>25313131</v>
      </c>
      <c r="B90" t="str">
        <f>COMPLEX(0.466361,0.357378)</f>
        <v>0.466361+0.357378i</v>
      </c>
      <c r="C90" t="str">
        <f>COMPLEX(0.565127,-0.580119)</f>
        <v>0.565127-0.580119i</v>
      </c>
      <c r="D90" t="str">
        <f>COMPLEX(0.565127,-0.580119)</f>
        <v>0.565127-0.580119i</v>
      </c>
      <c r="E90" t="str">
        <f>COMPLEX(0.466361,0.357378)</f>
        <v>0.466361+0.357378i</v>
      </c>
      <c r="F90"/>
      <c r="G90" t="str">
        <f t="shared" si="12"/>
        <v>79.3702866064605+86.6392716552645i</v>
      </c>
      <c r="H90" t="str">
        <f t="shared" si="13"/>
        <v>79.3702866064605+86.6392716552645i</v>
      </c>
      <c r="N90" s="19">
        <f t="shared" si="14"/>
        <v>0.587547119135989</v>
      </c>
      <c r="O90" s="19">
        <f t="shared" si="14"/>
        <v>0.80988059631651876</v>
      </c>
      <c r="P90" s="18">
        <f t="shared" si="15"/>
        <v>-4.6191459765227227</v>
      </c>
      <c r="Q90" s="18">
        <f t="shared" si="15"/>
        <v>-1.8315801207814308</v>
      </c>
      <c r="R90" s="17">
        <f t="shared" si="17"/>
        <v>-7.4102233281283757E-3</v>
      </c>
      <c r="T90" s="17">
        <f t="shared" si="16"/>
        <v>25.313130999999998</v>
      </c>
      <c r="U90" s="17">
        <f t="shared" si="18"/>
        <v>-7.4102233281283757E-3</v>
      </c>
      <c r="V90" s="17">
        <f t="shared" si="19"/>
        <v>3.8490387454934902</v>
      </c>
      <c r="X90" s="21">
        <f t="shared" si="20"/>
        <v>25.313130999999998</v>
      </c>
      <c r="Y90" s="20">
        <f t="shared" si="21"/>
        <v>6.444146958378727E-2</v>
      </c>
    </row>
    <row r="91" spans="1:25" x14ac:dyDescent="0.25">
      <c r="A91">
        <v>25606060</v>
      </c>
      <c r="B91" t="str">
        <f>COMPLEX(0.470951,0.356029)</f>
        <v>0.470951+0.356029i</v>
      </c>
      <c r="C91" t="str">
        <f>COMPLEX(0.561922,-0.577976)</f>
        <v>0.561922-0.577976i</v>
      </c>
      <c r="D91" t="str">
        <f>COMPLEX(0.561922,-0.577976)</f>
        <v>0.561922-0.577976i</v>
      </c>
      <c r="E91" t="str">
        <f>COMPLEX(0.470951,0.356029)</f>
        <v>0.470951+0.356029i</v>
      </c>
      <c r="F91"/>
      <c r="G91" t="str">
        <f t="shared" si="12"/>
        <v>80.099510461005+87.551812043726i</v>
      </c>
      <c r="H91" t="str">
        <f t="shared" si="13"/>
        <v>80.099510461005+87.551812043726i</v>
      </c>
      <c r="N91" s="19">
        <f t="shared" si="14"/>
        <v>0.59038249740486048</v>
      </c>
      <c r="O91" s="19">
        <f t="shared" si="14"/>
        <v>0.80610954011226044</v>
      </c>
      <c r="P91" s="18">
        <f t="shared" si="15"/>
        <v>-4.5773305234686399</v>
      </c>
      <c r="Q91" s="18">
        <f t="shared" si="15"/>
        <v>-1.8721187809231774</v>
      </c>
      <c r="R91" s="17">
        <f t="shared" si="17"/>
        <v>1.091971027068944E-2</v>
      </c>
      <c r="T91" s="17">
        <f t="shared" si="16"/>
        <v>25.606059999999999</v>
      </c>
      <c r="U91" s="17">
        <f t="shared" si="18"/>
        <v>1.091971027068944E-2</v>
      </c>
      <c r="V91" s="17">
        <f t="shared" si="19"/>
        <v>3.882603861722123</v>
      </c>
      <c r="X91" s="21">
        <f t="shared" si="20"/>
        <v>25.606059999999999</v>
      </c>
      <c r="Y91" s="20">
        <f t="shared" si="21"/>
        <v>6.0239861893479962E-2</v>
      </c>
    </row>
    <row r="92" spans="1:25" x14ac:dyDescent="0.25">
      <c r="A92">
        <v>25898989</v>
      </c>
      <c r="B92" t="str">
        <f>COMPLEX(0.474965,0.356095)</f>
        <v>0.474965+0.356095i</v>
      </c>
      <c r="C92" t="str">
        <f>COMPLEX(0.554146,-0.586384)</f>
        <v>0.554146-0.586384i</v>
      </c>
      <c r="D92" t="str">
        <f>COMPLEX(0.554146,-0.586384)</f>
        <v>0.554146-0.586384i</v>
      </c>
      <c r="E92" t="str">
        <f>COMPLEX(0.474965,0.356095)</f>
        <v>0.474965+0.356095i</v>
      </c>
      <c r="F92"/>
      <c r="G92" t="str">
        <f t="shared" si="12"/>
        <v>80.4546924217245+88.4784132446675i</v>
      </c>
      <c r="H92" t="str">
        <f t="shared" si="13"/>
        <v>80.4546924217245+88.4784132446675i</v>
      </c>
      <c r="N92" s="19">
        <f t="shared" si="14"/>
        <v>0.59362900893571569</v>
      </c>
      <c r="O92" s="19">
        <f t="shared" si="14"/>
        <v>0.80679860236120882</v>
      </c>
      <c r="P92" s="18">
        <f t="shared" si="15"/>
        <v>-4.5296976898609786</v>
      </c>
      <c r="Q92" s="18">
        <f t="shared" si="15"/>
        <v>-1.8646972559712751</v>
      </c>
      <c r="R92" s="17">
        <f t="shared" si="17"/>
        <v>-2.2203496412572851E-2</v>
      </c>
      <c r="T92" s="17">
        <f t="shared" si="16"/>
        <v>25.898989</v>
      </c>
      <c r="U92" s="17">
        <f t="shared" si="18"/>
        <v>-2.2203496412572851E-2</v>
      </c>
      <c r="V92" s="17">
        <f t="shared" si="19"/>
        <v>3.9216111483794807</v>
      </c>
      <c r="X92" s="21">
        <f t="shared" si="20"/>
        <v>25.898989</v>
      </c>
      <c r="Y92" s="20">
        <f t="shared" si="21"/>
        <v>5.5918123844515277E-2</v>
      </c>
    </row>
    <row r="93" spans="1:25" x14ac:dyDescent="0.25">
      <c r="A93">
        <v>26191919</v>
      </c>
      <c r="B93" t="str">
        <f>COMPLEX(0.481079,0.35277)</f>
        <v>0.481079+0.35277i</v>
      </c>
      <c r="C93" t="str">
        <f>COMPLEX(0.547299,-0.58346)</f>
        <v>0.547299-0.58346i</v>
      </c>
      <c r="D93" t="str">
        <f>COMPLEX(0.547299,-0.58346)</f>
        <v>0.547299-0.58346i</v>
      </c>
      <c r="E93" t="str">
        <f>COMPLEX(0.481079,0.35277)</f>
        <v>0.481079+0.35277i</v>
      </c>
      <c r="F93"/>
      <c r="G93" t="str">
        <f t="shared" si="12"/>
        <v>81.7976017637695+89.5979156253165i</v>
      </c>
      <c r="H93" t="str">
        <f t="shared" si="13"/>
        <v>81.7976017637695+89.5979156253165i</v>
      </c>
      <c r="N93" s="19">
        <f t="shared" si="14"/>
        <v>0.5965598688656486</v>
      </c>
      <c r="O93" s="19">
        <f t="shared" si="14"/>
        <v>0.79997610401873875</v>
      </c>
      <c r="P93" s="18">
        <f t="shared" si="15"/>
        <v>-4.4869193076591953</v>
      </c>
      <c r="Q93" s="18">
        <f t="shared" si="15"/>
        <v>-1.9384597113560837</v>
      </c>
      <c r="R93" s="17">
        <f t="shared" si="17"/>
        <v>2.8102760946089548E-2</v>
      </c>
      <c r="T93" s="17">
        <f t="shared" si="16"/>
        <v>26.191918999999999</v>
      </c>
      <c r="U93" s="17">
        <f t="shared" si="18"/>
        <v>2.8102760946089548E-2</v>
      </c>
      <c r="V93" s="17">
        <f t="shared" si="19"/>
        <v>3.957365035492642</v>
      </c>
      <c r="X93" s="21">
        <f t="shared" si="20"/>
        <v>26.191918999999999</v>
      </c>
      <c r="Y93" s="20">
        <f t="shared" si="21"/>
        <v>5.1476240068207335E-2</v>
      </c>
    </row>
    <row r="94" spans="1:25" x14ac:dyDescent="0.25">
      <c r="A94">
        <v>26484848</v>
      </c>
      <c r="B94" t="str">
        <f>COMPLEX(0.487497,0.352609)</f>
        <v>0.487497+0.352609i</v>
      </c>
      <c r="C94" t="str">
        <f>COMPLEX(0.540006,-0.590217)</f>
        <v>0.540006-0.590217i</v>
      </c>
      <c r="D94" t="str">
        <f>COMPLEX(0.540006,-0.590217)</f>
        <v>0.540006-0.590217i</v>
      </c>
      <c r="E94" t="str">
        <f>COMPLEX(0.487497,0.352609)</f>
        <v>0.487497+0.352609i</v>
      </c>
      <c r="F94"/>
      <c r="G94" t="str">
        <f t="shared" si="12"/>
        <v>82.4323055872255+91.1152185271225i</v>
      </c>
      <c r="H94" t="str">
        <f t="shared" si="13"/>
        <v>82.4323055872255+91.1152185271225i</v>
      </c>
      <c r="N94" s="19">
        <f t="shared" si="14"/>
        <v>0.60165308267306339</v>
      </c>
      <c r="O94" s="19">
        <f t="shared" si="14"/>
        <v>0.79997661661138564</v>
      </c>
      <c r="P94" s="18">
        <f t="shared" si="15"/>
        <v>-4.4130770754897499</v>
      </c>
      <c r="Q94" s="18">
        <f t="shared" si="15"/>
        <v>-1.9384541457876734</v>
      </c>
      <c r="R94" s="17">
        <f t="shared" si="17"/>
        <v>-1.3246708181795746E-2</v>
      </c>
      <c r="T94" s="17">
        <f t="shared" si="16"/>
        <v>26.484848</v>
      </c>
      <c r="U94" s="17">
        <f t="shared" si="18"/>
        <v>-1.3246708181795746E-2</v>
      </c>
      <c r="V94" s="17">
        <f t="shared" si="19"/>
        <v>4.0207492841184287</v>
      </c>
      <c r="X94" s="21">
        <f t="shared" si="20"/>
        <v>26.484848</v>
      </c>
      <c r="Y94" s="20">
        <f t="shared" si="21"/>
        <v>4.6914240891827164E-2</v>
      </c>
    </row>
    <row r="95" spans="1:25" x14ac:dyDescent="0.25">
      <c r="A95">
        <v>26777777</v>
      </c>
      <c r="B95" t="str">
        <f>COMPLEX(0.491481,0.352871)</f>
        <v>0.491481+0.352871i</v>
      </c>
      <c r="C95" t="str">
        <f>COMPLEX(0.535109,-0.592601)</f>
        <v>0.535109-0.592601i</v>
      </c>
      <c r="D95" t="str">
        <f>COMPLEX(0.535109,-0.592601)</f>
        <v>0.535109-0.592601i</v>
      </c>
      <c r="E95" t="str">
        <f>COMPLEX(0.491481,0.352871)</f>
        <v>0.491481+0.352871i</v>
      </c>
      <c r="F95"/>
      <c r="G95" t="str">
        <f t="shared" si="12"/>
        <v>82.73463037586+92.107083030054i</v>
      </c>
      <c r="H95" t="str">
        <f t="shared" si="13"/>
        <v>82.73463037586+92.107083030054i</v>
      </c>
      <c r="N95" s="19">
        <f t="shared" si="14"/>
        <v>0.60503844175556309</v>
      </c>
      <c r="O95" s="19">
        <f t="shared" si="14"/>
        <v>0.79844698451556573</v>
      </c>
      <c r="P95" s="18">
        <f t="shared" si="15"/>
        <v>-4.364340622258525</v>
      </c>
      <c r="Q95" s="18">
        <f t="shared" si="15"/>
        <v>-1.9550782992567663</v>
      </c>
      <c r="R95" s="17">
        <f t="shared" si="17"/>
        <v>-2.4519039227415274E-2</v>
      </c>
      <c r="T95" s="17">
        <f t="shared" si="16"/>
        <v>26.777777</v>
      </c>
      <c r="U95" s="17">
        <f t="shared" si="18"/>
        <v>-2.4519039227415274E-2</v>
      </c>
      <c r="V95" s="17">
        <f t="shared" si="19"/>
        <v>4.0637839512528569</v>
      </c>
      <c r="X95" s="21">
        <f t="shared" si="20"/>
        <v>26.777777</v>
      </c>
      <c r="Y95" s="20">
        <f t="shared" si="21"/>
        <v>4.2232111356789725E-2</v>
      </c>
    </row>
    <row r="96" spans="1:25" x14ac:dyDescent="0.25">
      <c r="A96">
        <v>27070707</v>
      </c>
      <c r="B96" t="str">
        <f>COMPLEX(0.495554,0.350231)</f>
        <v>0.495554+0.350231i</v>
      </c>
      <c r="C96" t="str">
        <f>COMPLEX(0.526041,-0.598639)</f>
        <v>0.526041-0.598639i</v>
      </c>
      <c r="D96" t="str">
        <f>COMPLEX(0.526041,-0.598639)</f>
        <v>0.526041-0.598639i</v>
      </c>
      <c r="E96" t="str">
        <f>COMPLEX(0.495554,0.350231)</f>
        <v>0.495554+0.350231i</v>
      </c>
      <c r="F96"/>
      <c r="G96" t="str">
        <f t="shared" si="12"/>
        <v>83.76006068968+92.868056869134i</v>
      </c>
      <c r="H96" t="str">
        <f t="shared" si="13"/>
        <v>83.76006068968+92.868056869134i</v>
      </c>
      <c r="N96" s="19">
        <f t="shared" si="14"/>
        <v>0.60682412631420646</v>
      </c>
      <c r="O96" s="19">
        <f t="shared" si="14"/>
        <v>0.79692395245845138</v>
      </c>
      <c r="P96" s="18">
        <f t="shared" si="15"/>
        <v>-4.3387432143695124</v>
      </c>
      <c r="Q96" s="18">
        <f t="shared" si="15"/>
        <v>-1.9716623952504269</v>
      </c>
      <c r="R96" s="17">
        <f t="shared" si="17"/>
        <v>-2.2785559586146337E-2</v>
      </c>
      <c r="T96" s="17">
        <f t="shared" si="16"/>
        <v>27.070706999999999</v>
      </c>
      <c r="U96" s="17">
        <f t="shared" si="18"/>
        <v>-2.2785559586146337E-2</v>
      </c>
      <c r="V96" s="17">
        <f t="shared" si="19"/>
        <v>4.0867821091135914</v>
      </c>
      <c r="X96" s="21">
        <f t="shared" si="20"/>
        <v>27.070706999999999</v>
      </c>
      <c r="Y96" s="20">
        <f t="shared" si="21"/>
        <v>3.7429834864105671E-2</v>
      </c>
    </row>
    <row r="97" spans="1:25" x14ac:dyDescent="0.25">
      <c r="A97">
        <v>27363636</v>
      </c>
      <c r="B97" t="str">
        <f>COMPLEX(0.501993,0.348009)</f>
        <v>0.501993+0.348009i</v>
      </c>
      <c r="C97" t="str">
        <f>COMPLEX(0.519421,-0.600204)</f>
        <v>0.519421-0.600204i</v>
      </c>
      <c r="D97" t="str">
        <f>COMPLEX(0.519421,-0.600204)</f>
        <v>0.519421-0.600204i</v>
      </c>
      <c r="E97" t="str">
        <f>COMPLEX(0.501993,0.348009)</f>
        <v>0.501993+0.348009i</v>
      </c>
      <c r="F97"/>
      <c r="G97" t="str">
        <f t="shared" si="12"/>
        <v>84.9169192272125+94.280405984942i</v>
      </c>
      <c r="H97" t="str">
        <f t="shared" si="13"/>
        <v>84.9169192272125+94.280405984942i</v>
      </c>
      <c r="N97" s="19">
        <f t="shared" si="14"/>
        <v>0.61082504543445171</v>
      </c>
      <c r="O97" s="19">
        <f t="shared" si="14"/>
        <v>0.79375249092963485</v>
      </c>
      <c r="P97" s="18">
        <f t="shared" si="15"/>
        <v>-4.2816632806757386</v>
      </c>
      <c r="Q97" s="18">
        <f t="shared" si="15"/>
        <v>-2.0062979761650834</v>
      </c>
      <c r="R97" s="17">
        <f t="shared" si="17"/>
        <v>-2.1769455122575193E-2</v>
      </c>
      <c r="T97" s="17">
        <f t="shared" si="16"/>
        <v>27.363636</v>
      </c>
      <c r="U97" s="17">
        <f t="shared" si="18"/>
        <v>-2.1769455122575193E-2</v>
      </c>
      <c r="V97" s="17">
        <f t="shared" si="19"/>
        <v>4.1390768510082587</v>
      </c>
      <c r="X97" s="21">
        <f t="shared" si="20"/>
        <v>27.363636</v>
      </c>
      <c r="Y97" s="20">
        <f t="shared" si="21"/>
        <v>3.2507444201652747E-2</v>
      </c>
    </row>
    <row r="98" spans="1:25" x14ac:dyDescent="0.25">
      <c r="A98">
        <v>27656565</v>
      </c>
      <c r="B98" t="str">
        <f>COMPLEX(0.506489,0.346124)</f>
        <v>0.506489+0.346124i</v>
      </c>
      <c r="C98" t="str">
        <f>COMPLEX(0.516,-0.601327)</f>
        <v>0.516-0.601327i</v>
      </c>
      <c r="D98" t="str">
        <f>COMPLEX(0.516,-0.601327)</f>
        <v>0.516-0.601327i</v>
      </c>
      <c r="E98" t="str">
        <f>COMPLEX(0.506489,0.346124)</f>
        <v>0.506489+0.346124i</v>
      </c>
      <c r="F98"/>
      <c r="G98" t="str">
        <f t="shared" si="12"/>
        <v>85.820642181729+95.2578239482175i</v>
      </c>
      <c r="H98" t="str">
        <f t="shared" si="13"/>
        <v>85.820642181729+95.2578239482175i</v>
      </c>
      <c r="N98" s="19">
        <f t="shared" si="14"/>
        <v>0.6134598034891936</v>
      </c>
      <c r="O98" s="19">
        <f t="shared" si="14"/>
        <v>0.79236996468127185</v>
      </c>
      <c r="P98" s="18">
        <f t="shared" si="15"/>
        <v>-4.244277776742968</v>
      </c>
      <c r="Q98" s="18">
        <f t="shared" si="15"/>
        <v>-2.0214399009435819</v>
      </c>
      <c r="R98" s="17">
        <f t="shared" si="17"/>
        <v>-2.9031966075923267E-2</v>
      </c>
      <c r="T98" s="17">
        <f t="shared" si="16"/>
        <v>27.656565000000001</v>
      </c>
      <c r="U98" s="17">
        <f t="shared" si="18"/>
        <v>-2.9031966075923267E-2</v>
      </c>
      <c r="V98" s="17">
        <f t="shared" si="19"/>
        <v>4.1741061293326229</v>
      </c>
      <c r="X98" s="21">
        <f t="shared" si="20"/>
        <v>27.656565000000001</v>
      </c>
      <c r="Y98" s="20">
        <f t="shared" si="21"/>
        <v>2.74649231805425E-2</v>
      </c>
    </row>
    <row r="99" spans="1:25" x14ac:dyDescent="0.25">
      <c r="A99">
        <v>27949494</v>
      </c>
      <c r="B99" t="str">
        <f>COMPLEX(0.511386,0.344185)</f>
        <v>0.511386+0.344185i</v>
      </c>
      <c r="C99" t="str">
        <f>COMPLEX(0.506285,-0.605517)</f>
        <v>0.506285-0.605517i</v>
      </c>
      <c r="D99" t="str">
        <f>COMPLEX(0.506285,-0.605517)</f>
        <v>0.506285-0.605517i</v>
      </c>
      <c r="E99" t="str">
        <f>COMPLEX(0.511386,0.344185)</f>
        <v>0.511386+0.344185i</v>
      </c>
      <c r="F99"/>
      <c r="G99" t="str">
        <f t="shared" si="12"/>
        <v>86.7873701388875+96.3545068116205i</v>
      </c>
      <c r="H99" t="str">
        <f t="shared" si="13"/>
        <v>86.7873701388875+96.3545068116205i</v>
      </c>
      <c r="N99" s="19">
        <f t="shared" si="14"/>
        <v>0.61642433049077494</v>
      </c>
      <c r="O99" s="19">
        <f t="shared" si="14"/>
        <v>0.78928786796326722</v>
      </c>
      <c r="P99" s="18">
        <f t="shared" si="15"/>
        <v>-4.2024045571077622</v>
      </c>
      <c r="Q99" s="18">
        <f t="shared" si="15"/>
        <v>-2.0552914524978023</v>
      </c>
      <c r="R99" s="17">
        <f t="shared" si="17"/>
        <v>-2.0644241611886098E-2</v>
      </c>
      <c r="T99" s="17">
        <f t="shared" si="16"/>
        <v>27.949494000000001</v>
      </c>
      <c r="U99" s="17">
        <f t="shared" si="18"/>
        <v>-2.0644241611886098E-2</v>
      </c>
      <c r="V99" s="17">
        <f t="shared" si="19"/>
        <v>4.2140950508121309</v>
      </c>
      <c r="X99" s="21">
        <f t="shared" si="20"/>
        <v>27.949494000000001</v>
      </c>
      <c r="Y99" s="20">
        <f t="shared" si="21"/>
        <v>2.230227180077482E-2</v>
      </c>
    </row>
    <row r="100" spans="1:25" x14ac:dyDescent="0.25">
      <c r="A100">
        <v>28242424</v>
      </c>
      <c r="B100" t="str">
        <f>COMPLEX(0.514022,0.34254)</f>
        <v>0.514022+0.34254i</v>
      </c>
      <c r="C100" t="str">
        <f>COMPLEX(0.50021,-0.607779)</f>
        <v>0.50021-0.607779i</v>
      </c>
      <c r="D100" t="str">
        <f>COMPLEX(0.50021,-0.607779)</f>
        <v>0.50021-0.607779i</v>
      </c>
      <c r="E100" t="str">
        <f>COMPLEX(0.514022,0.34254)</f>
        <v>0.514022+0.34254i</v>
      </c>
      <c r="F100"/>
      <c r="G100" t="str">
        <f t="shared" si="12"/>
        <v>87.472880799643+96.8973093208125i</v>
      </c>
      <c r="H100" t="str">
        <f t="shared" si="13"/>
        <v>87.472880799643+96.8973093208125i</v>
      </c>
      <c r="N100" s="19">
        <f t="shared" si="14"/>
        <v>0.61769917280501518</v>
      </c>
      <c r="O100" s="19">
        <f t="shared" si="14"/>
        <v>0.78715014891760005</v>
      </c>
      <c r="P100" s="18">
        <f t="shared" si="15"/>
        <v>-4.184459604991563</v>
      </c>
      <c r="Q100" s="18">
        <f t="shared" si="15"/>
        <v>-2.0788483610350457</v>
      </c>
      <c r="R100" s="17">
        <f t="shared" si="17"/>
        <v>-8.1216276024464532E-3</v>
      </c>
      <c r="T100" s="17">
        <f t="shared" si="16"/>
        <v>28.242424</v>
      </c>
      <c r="U100" s="17">
        <f t="shared" si="18"/>
        <v>-8.1216276024464532E-3</v>
      </c>
      <c r="V100" s="17">
        <f t="shared" si="19"/>
        <v>4.2314822718914504</v>
      </c>
      <c r="X100" s="21">
        <f t="shared" si="20"/>
        <v>28.242424</v>
      </c>
      <c r="Y100" s="20">
        <f t="shared" si="21"/>
        <v>1.7019471822956822E-2</v>
      </c>
    </row>
    <row r="101" spans="1:25" x14ac:dyDescent="0.25">
      <c r="A101">
        <v>28535353</v>
      </c>
      <c r="B101" t="str">
        <f>COMPLEX(0.518697,0.341149)</f>
        <v>0.518697+0.341149i</v>
      </c>
      <c r="C101" t="str">
        <f>COMPLEX(0.493439,-0.608469)</f>
        <v>0.493439-0.608469i</v>
      </c>
      <c r="D101" t="str">
        <f>COMPLEX(0.493439,-0.608469)</f>
        <v>0.493439-0.608469i</v>
      </c>
      <c r="E101" t="str">
        <f>COMPLEX(0.518697,0.341149)</f>
        <v>0.518697+0.341149i</v>
      </c>
      <c r="F101"/>
      <c r="G101" t="str">
        <f t="shared" si="12"/>
        <v>88.291464510977+98.0214019577175i</v>
      </c>
      <c r="H101" t="str">
        <f t="shared" si="13"/>
        <v>88.291464510977+98.0214019577175i</v>
      </c>
      <c r="N101" s="19">
        <f t="shared" si="14"/>
        <v>0.62082945968276981</v>
      </c>
      <c r="O101" s="19">
        <f t="shared" si="14"/>
        <v>0.78340064506100582</v>
      </c>
      <c r="P101" s="18">
        <f t="shared" si="15"/>
        <v>-4.1405536612181955</v>
      </c>
      <c r="Q101" s="18">
        <f t="shared" si="15"/>
        <v>-2.1203215036997456</v>
      </c>
      <c r="R101" s="17">
        <f t="shared" si="17"/>
        <v>6.0405949217791702E-3</v>
      </c>
      <c r="T101" s="17">
        <f t="shared" si="16"/>
        <v>28.535353000000001</v>
      </c>
      <c r="U101" s="17">
        <f t="shared" si="18"/>
        <v>6.0405949217791702E-3</v>
      </c>
      <c r="V101" s="17">
        <f t="shared" si="19"/>
        <v>4.274671387515272</v>
      </c>
      <c r="X101" s="21">
        <f t="shared" si="20"/>
        <v>28.535353000000001</v>
      </c>
      <c r="Y101" s="20">
        <f t="shared" si="21"/>
        <v>1.1616559315773656E-2</v>
      </c>
    </row>
    <row r="102" spans="1:25" x14ac:dyDescent="0.25">
      <c r="A102">
        <v>28828282</v>
      </c>
      <c r="B102" t="str">
        <f>COMPLEX(0.524036,0.337979)</f>
        <v>0.524036+0.337979i</v>
      </c>
      <c r="C102" t="str">
        <f>COMPLEX(0.483357,-0.613519)</f>
        <v>0.483357-0.613519i</v>
      </c>
      <c r="D102" t="str">
        <f>COMPLEX(0.483357,-0.613519)</f>
        <v>0.483357-0.613519i</v>
      </c>
      <c r="E102" t="str">
        <f>COMPLEX(0.524036,0.337979)</f>
        <v>0.524036+0.337979i</v>
      </c>
      <c r="F102"/>
      <c r="G102" t="str">
        <f t="shared" si="12"/>
        <v>89.672464651152+99.1805261119155i</v>
      </c>
      <c r="H102" t="str">
        <f t="shared" si="13"/>
        <v>89.672464651152+99.1805261119155i</v>
      </c>
      <c r="N102" s="19">
        <f t="shared" si="14"/>
        <v>0.62357319837930802</v>
      </c>
      <c r="O102" s="19">
        <f t="shared" si="14"/>
        <v>0.7810502882721444</v>
      </c>
      <c r="P102" s="18">
        <f t="shared" si="15"/>
        <v>-4.1022511873711789</v>
      </c>
      <c r="Q102" s="18">
        <f t="shared" si="15"/>
        <v>-2.1464200595603904</v>
      </c>
      <c r="R102" s="17">
        <f t="shared" si="17"/>
        <v>7.9441707486741509E-3</v>
      </c>
      <c r="T102" s="17">
        <f t="shared" si="16"/>
        <v>28.828282000000002</v>
      </c>
      <c r="U102" s="17">
        <f t="shared" si="18"/>
        <v>7.9441707486741509E-3</v>
      </c>
      <c r="V102" s="17">
        <f t="shared" si="19"/>
        <v>4.3131179591598485</v>
      </c>
      <c r="X102" s="21">
        <f t="shared" si="20"/>
        <v>28.828282000000002</v>
      </c>
      <c r="Y102" s="20">
        <f t="shared" si="21"/>
        <v>6.0935164499330563E-3</v>
      </c>
    </row>
    <row r="103" spans="1:25" x14ac:dyDescent="0.25">
      <c r="A103">
        <v>29121212</v>
      </c>
      <c r="B103" t="str">
        <f>COMPLEX(0.528823,0.334954)</f>
        <v>0.528823+0.334954i</v>
      </c>
      <c r="C103" t="str">
        <f>COMPLEX(0.478286,-0.6166)</f>
        <v>0.478286-0.6166i</v>
      </c>
      <c r="D103" t="str">
        <f>COMPLEX(0.478286,-0.6166)</f>
        <v>0.478286-0.6166i</v>
      </c>
      <c r="E103" t="str">
        <f>COMPLEX(0.528823,0.334954)</f>
        <v>0.528823+0.334954i</v>
      </c>
      <c r="F103"/>
      <c r="G103" t="str">
        <f t="shared" si="12"/>
        <v>90.985713459238+100.225029375427i</v>
      </c>
      <c r="H103" t="str">
        <f t="shared" si="13"/>
        <v>90.985713459238+100.225029375427i</v>
      </c>
      <c r="N103" s="19">
        <f t="shared" si="14"/>
        <v>0.62597759340490777</v>
      </c>
      <c r="O103" s="19">
        <f t="shared" si="14"/>
        <v>0.78035444369594009</v>
      </c>
      <c r="P103" s="18">
        <f t="shared" si="15"/>
        <v>-4.0688242378605519</v>
      </c>
      <c r="Q103" s="18">
        <f t="shared" si="15"/>
        <v>-2.1541618442117878</v>
      </c>
      <c r="R103" s="17">
        <f t="shared" si="17"/>
        <v>-5.7163872439227369E-3</v>
      </c>
      <c r="T103" s="17">
        <f t="shared" si="16"/>
        <v>29.121212</v>
      </c>
      <c r="U103" s="17">
        <f t="shared" si="18"/>
        <v>-5.7163872439227369E-3</v>
      </c>
      <c r="V103" s="17">
        <f t="shared" si="19"/>
        <v>4.3472732241016576</v>
      </c>
      <c r="X103" s="21">
        <f t="shared" si="20"/>
        <v>29.121212</v>
      </c>
      <c r="Y103" s="20">
        <f t="shared" si="21"/>
        <v>4.5032375573916816E-4</v>
      </c>
    </row>
    <row r="104" spans="1:25" x14ac:dyDescent="0.25">
      <c r="A104">
        <v>29414141</v>
      </c>
      <c r="B104" t="str">
        <f>COMPLEX(0.53337,0.333394)</f>
        <v>0.53337+0.333394i</v>
      </c>
      <c r="C104" t="str">
        <f>COMPLEX(0.470562,-0.620648)</f>
        <v>0.470562-0.620648i</v>
      </c>
      <c r="D104" t="str">
        <f>COMPLEX(0.470562,-0.620648)</f>
        <v>0.470562-0.620648i</v>
      </c>
      <c r="E104" t="str">
        <f>COMPLEX(0.53337,0.333394)</f>
        <v>0.53337+0.333394i</v>
      </c>
      <c r="F104"/>
      <c r="G104" t="str">
        <f t="shared" si="12"/>
        <v>91.878056896122+101.367877977896i</v>
      </c>
      <c r="H104" t="str">
        <f t="shared" si="13"/>
        <v>91.878056896122+101.367877977896i</v>
      </c>
      <c r="N104" s="19">
        <f t="shared" si="14"/>
        <v>0.62899532282521786</v>
      </c>
      <c r="O104" s="19">
        <f t="shared" si="14"/>
        <v>0.77886618603454594</v>
      </c>
      <c r="P104" s="18">
        <f t="shared" si="15"/>
        <v>-4.0270516786542707</v>
      </c>
      <c r="Q104" s="18">
        <f t="shared" si="15"/>
        <v>-2.1707430072352238</v>
      </c>
      <c r="R104" s="17">
        <f t="shared" si="17"/>
        <v>-1.626477208345185E-2</v>
      </c>
      <c r="T104" s="17">
        <f t="shared" si="16"/>
        <v>29.414141000000001</v>
      </c>
      <c r="U104" s="17">
        <f t="shared" si="18"/>
        <v>-1.626477208345185E-2</v>
      </c>
      <c r="V104" s="17">
        <f t="shared" si="19"/>
        <v>4.3907676184302931</v>
      </c>
      <c r="X104" s="21">
        <f t="shared" si="20"/>
        <v>29.414141000000001</v>
      </c>
      <c r="Y104" s="20">
        <f t="shared" si="21"/>
        <v>-5.3129802375166957E-3</v>
      </c>
    </row>
    <row r="105" spans="1:25" x14ac:dyDescent="0.25">
      <c r="A105">
        <v>29707070</v>
      </c>
      <c r="B105" t="str">
        <f>COMPLEX(0.537826,0.328798)</f>
        <v>0.537826+0.328798i</v>
      </c>
      <c r="C105" t="str">
        <f>COMPLEX(0.462101,-0.625123)</f>
        <v>0.462101-0.625123i</v>
      </c>
      <c r="D105" t="str">
        <f>COMPLEX(0.462101,-0.625123)</f>
        <v>0.462101-0.625123i</v>
      </c>
      <c r="E105" t="str">
        <f>COMPLEX(0.537826,0.328798)</f>
        <v>0.537826+0.328798i</v>
      </c>
      <c r="F105"/>
      <c r="G105" t="str">
        <f t="shared" si="12"/>
        <v>93.6603740012775+102.202295349526i</v>
      </c>
      <c r="H105" t="str">
        <f t="shared" si="13"/>
        <v>93.6603740012775+102.202295349526i</v>
      </c>
      <c r="N105" s="19">
        <f t="shared" si="14"/>
        <v>0.63036888492374044</v>
      </c>
      <c r="O105" s="19">
        <f t="shared" si="14"/>
        <v>0.77737770699319642</v>
      </c>
      <c r="P105" s="18">
        <f t="shared" si="15"/>
        <v>-4.0081046362400166</v>
      </c>
      <c r="Q105" s="18">
        <f t="shared" si="15"/>
        <v>-2.1873583574153694</v>
      </c>
      <c r="R105" s="17">
        <f t="shared" si="17"/>
        <v>-1.2097634473611783E-2</v>
      </c>
      <c r="T105" s="17">
        <f t="shared" si="16"/>
        <v>29.707070000000002</v>
      </c>
      <c r="U105" s="17">
        <f t="shared" si="18"/>
        <v>-1.2097634473611783E-2</v>
      </c>
      <c r="V105" s="17">
        <f t="shared" si="19"/>
        <v>4.4107998986702581</v>
      </c>
      <c r="X105" s="21">
        <f t="shared" si="20"/>
        <v>29.707070000000002</v>
      </c>
      <c r="Y105" s="20">
        <f t="shared" si="21"/>
        <v>-1.1196414589429993E-2</v>
      </c>
    </row>
    <row r="106" spans="1:25" x14ac:dyDescent="0.25">
      <c r="A106">
        <v>30000000</v>
      </c>
      <c r="B106" t="str">
        <f>COMPLEX(0.542993,0.324615)</f>
        <v>0.542993+0.324615i</v>
      </c>
      <c r="C106" t="str">
        <f>COMPLEX(0.455376,-0.625432)</f>
        <v>0.455376-0.625432i</v>
      </c>
      <c r="D106" t="str">
        <f>COMPLEX(0.455376,-0.625432)</f>
        <v>0.455376-0.625432i</v>
      </c>
      <c r="E106" t="str">
        <f>COMPLEX(0.542993,0.324615)</f>
        <v>0.542993+0.324615i</v>
      </c>
      <c r="F106"/>
      <c r="G106" t="str">
        <f t="shared" si="12"/>
        <v>95.43696308694+103.304806649498i</v>
      </c>
      <c r="H106" t="str">
        <f t="shared" si="13"/>
        <v>95.43696308694+103.304806649498i</v>
      </c>
      <c r="M106" s="16">
        <f>IMARGUMENT(B106)*180/PI()</f>
        <v>30.872053789617638</v>
      </c>
      <c r="N106" s="19">
        <f t="shared" si="14"/>
        <v>0.63262650614244731</v>
      </c>
      <c r="O106" s="19">
        <f t="shared" si="14"/>
        <v>0.77364881438544197</v>
      </c>
      <c r="P106" s="18">
        <f t="shared" si="15"/>
        <v>-3.9770523144748102</v>
      </c>
      <c r="Q106" s="18">
        <f t="shared" si="15"/>
        <v>-2.229122713625042</v>
      </c>
      <c r="R106" s="17">
        <f t="shared" si="17"/>
        <v>9.0693305606921355E-3</v>
      </c>
      <c r="T106" s="17">
        <f t="shared" si="16"/>
        <v>30</v>
      </c>
      <c r="U106" s="17">
        <f t="shared" si="18"/>
        <v>9.0693305606921355E-3</v>
      </c>
      <c r="V106" s="17">
        <f t="shared" si="19"/>
        <v>4.4440509003501765</v>
      </c>
      <c r="X106" s="21">
        <f t="shared" si="20"/>
        <v>30</v>
      </c>
      <c r="Y106" s="20">
        <f t="shared" si="21"/>
        <v>-1.7199999999999993E-2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06"/>
  <sheetViews>
    <sheetView topLeftCell="A22" workbookViewId="0">
      <selection activeCell="Y7" sqref="Y7:Y106"/>
    </sheetView>
  </sheetViews>
  <sheetFormatPr defaultRowHeight="15" x14ac:dyDescent="0.25"/>
  <cols>
    <col min="1" max="1" width="9.140625" style="16"/>
    <col min="2" max="2" width="22.42578125" style="16" customWidth="1"/>
    <col min="3" max="3" width="19.5703125" style="16" customWidth="1"/>
    <col min="4" max="15" width="9.140625" style="16"/>
    <col min="16" max="16" width="10.28515625" style="16" bestFit="1" customWidth="1"/>
    <col min="17" max="17" width="9.28515625" style="16" bestFit="1" customWidth="1"/>
    <col min="18" max="18" width="10.28515625" style="16" bestFit="1" customWidth="1"/>
    <col min="19" max="19" width="9.140625" style="16"/>
    <col min="20" max="20" width="11.5703125" style="16" bestFit="1" customWidth="1"/>
    <col min="21" max="16384" width="9.140625" style="16"/>
  </cols>
  <sheetData>
    <row r="1" spans="1:25" x14ac:dyDescent="0.25">
      <c r="A1" s="16" t="s">
        <v>48</v>
      </c>
    </row>
    <row r="2" spans="1:25" x14ac:dyDescent="0.25">
      <c r="A2" s="16" t="s">
        <v>47</v>
      </c>
      <c r="S2" s="16">
        <f>10^(-0.03)</f>
        <v>0.93325430079699101</v>
      </c>
    </row>
    <row r="3" spans="1:25" x14ac:dyDescent="0.25">
      <c r="A3" s="16" t="s">
        <v>46</v>
      </c>
      <c r="B3" s="16" t="s">
        <v>45</v>
      </c>
    </row>
    <row r="4" spans="1:25" x14ac:dyDescent="0.25">
      <c r="A4" s="16" t="s">
        <v>44</v>
      </c>
      <c r="B4" s="16" t="str">
        <f>COMPLEX(50,0)</f>
        <v>50</v>
      </c>
      <c r="D4" s="16" t="s">
        <v>43</v>
      </c>
      <c r="E4" s="16" t="str">
        <f>COMPLEX(1,0)</f>
        <v>1</v>
      </c>
    </row>
    <row r="6" spans="1:25" x14ac:dyDescent="0.25">
      <c r="A6" s="16" t="s">
        <v>42</v>
      </c>
      <c r="B6" s="16" t="s">
        <v>41</v>
      </c>
      <c r="C6" s="16" t="s">
        <v>40</v>
      </c>
      <c r="D6" s="16" t="s">
        <v>39</v>
      </c>
      <c r="E6" s="16" t="s">
        <v>38</v>
      </c>
      <c r="G6" s="16" t="s">
        <v>37</v>
      </c>
      <c r="H6" s="16" t="s">
        <v>36</v>
      </c>
      <c r="P6" s="16" t="s">
        <v>35</v>
      </c>
      <c r="Q6" s="16" t="s">
        <v>34</v>
      </c>
      <c r="R6" s="16" t="s">
        <v>33</v>
      </c>
    </row>
    <row r="7" spans="1:25" x14ac:dyDescent="0.25">
      <c r="A7">
        <v>1000000</v>
      </c>
      <c r="B7" t="str">
        <f>COMPLEX(-0.0128112,0.00915673)</f>
        <v>-0.0128112+0.00915673i</v>
      </c>
      <c r="C7" t="str">
        <f>COMPLEX(0.983104,-0.0123587)</f>
        <v>0.983104-0.0123587i</v>
      </c>
      <c r="D7" t="str">
        <f>COMPLEX(0.991803,-0.0740563)</f>
        <v>0.991803-0.0740563i</v>
      </c>
      <c r="E7" t="str">
        <f>COMPLEX(-0.0128995,0.00932604)</f>
        <v>-0.0128995+0.00932604i</v>
      </c>
      <c r="F7"/>
      <c r="G7" t="str">
        <f t="shared" ref="G7:G70" si="0">IMPRODUCT($B$4,(IMDIV(IMSUM($E$4,$B7),IMSUB($E$4,$B7))))</f>
        <v>48.7270153326219+0.892581581944075i</v>
      </c>
      <c r="H7" t="str">
        <f t="shared" ref="H7:H70" si="1">IMPRODUCT($B$4,(IMDIV(IMSUM($E$4,$E7),IMSUB($E$4,$E7))))</f>
        <v>48.7181090868563+0.908924364231975i</v>
      </c>
      <c r="N7" s="19">
        <f t="shared" ref="N7:O38" si="2">IMABS(B7)</f>
        <v>1.5747144177053186E-2</v>
      </c>
      <c r="O7" s="19">
        <f t="shared" si="2"/>
        <v>0.98318167816619229</v>
      </c>
      <c r="P7" s="18">
        <f t="shared" ref="P7:Q38" si="3">20*LOG(N7)</f>
        <v>-36.055963923969763</v>
      </c>
      <c r="Q7" s="18">
        <f t="shared" si="3"/>
        <v>-0.1473244646261388</v>
      </c>
      <c r="R7" s="17">
        <f>-10*LOG(O7^2/(1-N7^2))</f>
        <v>0.14624739997926112</v>
      </c>
      <c r="T7" s="17">
        <f t="shared" ref="T7:T70" si="4">A7/1000000</f>
        <v>1</v>
      </c>
      <c r="U7" s="17">
        <f>R7</f>
        <v>0.14624739997926112</v>
      </c>
      <c r="V7" s="17">
        <f>(1+N7)/(1-N7)</f>
        <v>1.0319981681209078</v>
      </c>
      <c r="X7" s="21">
        <f>T7</f>
        <v>1</v>
      </c>
      <c r="Y7" s="20">
        <f>-0.0003*X7^2+0.0137*X7-0.024</f>
        <v>-1.06E-2</v>
      </c>
    </row>
    <row r="8" spans="1:25" x14ac:dyDescent="0.25">
      <c r="A8">
        <v>1292929</v>
      </c>
      <c r="B8" t="str">
        <f>COMPLEX(-0.0161431,0.010672)</f>
        <v>-0.0161431+0.010672i</v>
      </c>
      <c r="C8" t="str">
        <f>COMPLEX(0.990361,-0.0390865)</f>
        <v>0.990361-0.0390865i</v>
      </c>
      <c r="D8" t="str">
        <f>COMPLEX(0.998667,-0.0634664)</f>
        <v>0.998667-0.0634664i</v>
      </c>
      <c r="E8" t="str">
        <f>COMPLEX(-0.0155148,0.00862901)</f>
        <v>-0.0155148+0.00862901i</v>
      </c>
      <c r="F8"/>
      <c r="G8" t="str">
        <f t="shared" si="0"/>
        <v>48.4004822298958+1.03344690955186i</v>
      </c>
      <c r="H8" t="str">
        <f t="shared" si="1"/>
        <v>48.4651137707774+0.836675596829485i</v>
      </c>
      <c r="N8" s="19">
        <f t="shared" si="2"/>
        <v>1.9351776704220208E-2</v>
      </c>
      <c r="O8" s="19">
        <f t="shared" si="2"/>
        <v>0.99113201179421595</v>
      </c>
      <c r="P8" s="18">
        <f t="shared" si="3"/>
        <v>-34.265583116863681</v>
      </c>
      <c r="Q8" s="18">
        <f t="shared" si="3"/>
        <v>-7.7369933997904455E-2</v>
      </c>
      <c r="R8" s="17">
        <f t="shared" ref="R8:R71" si="5">-10*LOG(O8^2/(1-N8^2))</f>
        <v>7.5743234502134202E-2</v>
      </c>
      <c r="T8" s="17">
        <f t="shared" si="4"/>
        <v>1.292929</v>
      </c>
      <c r="U8" s="17">
        <f t="shared" ref="U8:U71" si="6">R8</f>
        <v>7.5743234502134202E-2</v>
      </c>
      <c r="V8" s="17">
        <f t="shared" ref="V8:V71" si="7">(1+N8)/(1-N8)</f>
        <v>1.0394673160966577</v>
      </c>
      <c r="X8" s="21">
        <f t="shared" ref="X8:X71" si="8">T8</f>
        <v>1.292929</v>
      </c>
      <c r="Y8" s="20">
        <f t="shared" ref="Y8:Y71" si="9">-0.0003*X8^2+0.0137*X8-0.024</f>
        <v>-6.7883723197123026E-3</v>
      </c>
    </row>
    <row r="9" spans="1:25" x14ac:dyDescent="0.25">
      <c r="A9">
        <v>1585858</v>
      </c>
      <c r="B9" t="str">
        <f>COMPLEX(-0.016977,0.0139149)</f>
        <v>-0.016977+0.0139149i</v>
      </c>
      <c r="C9" t="str">
        <f>COMPLEX(1.00306,-0.070002)</f>
        <v>1.00306-0.070002i</v>
      </c>
      <c r="D9" t="str">
        <f>COMPLEX(0.999222,-0.0697341)</f>
        <v>0.999222-0.0697341i</v>
      </c>
      <c r="E9" t="str">
        <f>COMPLEX(-0.0168117,0.012691)</f>
        <v>-0.0168117+0.012691i</v>
      </c>
      <c r="F9"/>
      <c r="G9" t="str">
        <f t="shared" si="0"/>
        <v>48.3122353029777+1.34516800578322i</v>
      </c>
      <c r="H9" t="str">
        <f t="shared" si="1"/>
        <v>48.3313080141803+1.22728980204296i</v>
      </c>
      <c r="N9" s="19">
        <f t="shared" si="2"/>
        <v>2.1950921871529677E-2</v>
      </c>
      <c r="O9" s="19">
        <f t="shared" si="2"/>
        <v>1.0054996984604223</v>
      </c>
      <c r="P9" s="18">
        <f t="shared" si="3"/>
        <v>-33.17094471999873</v>
      </c>
      <c r="Q9" s="18">
        <f t="shared" si="3"/>
        <v>4.7638893841802608E-2</v>
      </c>
      <c r="R9" s="17">
        <f t="shared" si="5"/>
        <v>-4.9732015594846461E-2</v>
      </c>
      <c r="T9" s="17">
        <f t="shared" si="4"/>
        <v>1.585858</v>
      </c>
      <c r="U9" s="17">
        <f t="shared" si="6"/>
        <v>-4.9732015594846461E-2</v>
      </c>
      <c r="V9" s="17">
        <f t="shared" si="7"/>
        <v>1.0448871582467691</v>
      </c>
      <c r="X9" s="21">
        <f t="shared" si="8"/>
        <v>1.585858</v>
      </c>
      <c r="Y9" s="20">
        <f t="shared" si="9"/>
        <v>-3.0282290788491983E-3</v>
      </c>
    </row>
    <row r="10" spans="1:25" x14ac:dyDescent="0.25">
      <c r="A10">
        <v>1878787</v>
      </c>
      <c r="B10" t="str">
        <f>COMPLEX(-0.0187601,0.0330152)</f>
        <v>-0.0187601+0.0330152i</v>
      </c>
      <c r="C10" t="str">
        <f>COMPLEX(0.968075,-0.0673284)</f>
        <v>0.968075-0.0673284i</v>
      </c>
      <c r="D10" t="str">
        <f>COMPLEX(0.968734,-0.0829046)</f>
        <v>0.968734-0.0829046i</v>
      </c>
      <c r="E10" t="str">
        <f>COMPLEX(-0.0184466,0.0292476)</f>
        <v>-0.0184466+0.0292476i</v>
      </c>
      <c r="F10"/>
      <c r="G10" t="str">
        <f t="shared" si="0"/>
        <v>48.0555552592083+3.17770961779306i</v>
      </c>
      <c r="H10" t="str">
        <f t="shared" si="1"/>
        <v>48.1078403619127+2.81744656201816i</v>
      </c>
      <c r="N10" s="19">
        <f t="shared" si="2"/>
        <v>3.7972948042652679E-2</v>
      </c>
      <c r="O10" s="19">
        <f t="shared" si="2"/>
        <v>0.97041347840575676</v>
      </c>
      <c r="P10" s="18">
        <f t="shared" si="3"/>
        <v>-28.410513699049616</v>
      </c>
      <c r="Q10" s="18">
        <f t="shared" si="3"/>
        <v>-0.26086360069047848</v>
      </c>
      <c r="R10" s="17">
        <f t="shared" si="5"/>
        <v>0.25459679478494474</v>
      </c>
      <c r="T10" s="17">
        <f t="shared" si="4"/>
        <v>1.878787</v>
      </c>
      <c r="U10" s="17">
        <f t="shared" si="6"/>
        <v>0.25459679478494474</v>
      </c>
      <c r="V10" s="17">
        <f t="shared" si="7"/>
        <v>1.0789436179895204</v>
      </c>
      <c r="X10" s="21">
        <f t="shared" si="8"/>
        <v>1.878787</v>
      </c>
      <c r="Y10" s="20">
        <f t="shared" si="9"/>
        <v>6.8042972258930065E-4</v>
      </c>
    </row>
    <row r="11" spans="1:25" x14ac:dyDescent="0.25">
      <c r="A11">
        <v>2171717</v>
      </c>
      <c r="B11" t="str">
        <f>COMPLEX(-0.0172267,0.0571182)</f>
        <v>-0.0172267+0.0571182i</v>
      </c>
      <c r="C11" t="str">
        <f>COMPLEX(0.980869,-0.106657)</f>
        <v>0.980869-0.106657i</v>
      </c>
      <c r="D11" t="str">
        <f>COMPLEX(0.977481,-0.102852)</f>
        <v>0.977481-0.102852i</v>
      </c>
      <c r="E11" t="str">
        <f>COMPLEX(-0.0176469,0.0548162)</f>
        <v>-0.0176469+0.0548162i</v>
      </c>
      <c r="F11"/>
      <c r="G11" t="str">
        <f t="shared" si="0"/>
        <v>47.9975245961696+5.5026497135682i</v>
      </c>
      <c r="H11" t="str">
        <f t="shared" si="1"/>
        <v>47.981616941922+5.2778423543685i</v>
      </c>
      <c r="N11" s="19">
        <f t="shared" si="2"/>
        <v>5.9659433152939027E-2</v>
      </c>
      <c r="O11" s="19">
        <f t="shared" si="2"/>
        <v>0.98665075422360049</v>
      </c>
      <c r="P11" s="18">
        <f t="shared" si="3"/>
        <v>-24.486417547042038</v>
      </c>
      <c r="Q11" s="18">
        <f t="shared" si="3"/>
        <v>-0.11673095582144606</v>
      </c>
      <c r="R11" s="17">
        <f t="shared" si="5"/>
        <v>0.10124576412078193</v>
      </c>
      <c r="T11" s="17">
        <f t="shared" si="4"/>
        <v>2.1717170000000001</v>
      </c>
      <c r="U11" s="17">
        <f t="shared" si="6"/>
        <v>0.10124576412078193</v>
      </c>
      <c r="V11" s="17">
        <f t="shared" si="7"/>
        <v>1.1268889916192293</v>
      </c>
      <c r="X11" s="21">
        <f t="shared" si="8"/>
        <v>2.1717170000000001</v>
      </c>
      <c r="Y11" s="20">
        <f t="shared" si="9"/>
        <v>4.3376164815733011E-3</v>
      </c>
    </row>
    <row r="12" spans="1:25" x14ac:dyDescent="0.25">
      <c r="A12">
        <v>2464646</v>
      </c>
      <c r="B12" t="str">
        <f>COMPLEX(-0.0151271,0.069517)</f>
        <v>-0.0151271+0.069517i</v>
      </c>
      <c r="C12" t="str">
        <f>COMPLEX(0.968706,-0.245401)</f>
        <v>0.968706-0.245401i</v>
      </c>
      <c r="D12" t="str">
        <f>COMPLEX(0.970629,-0.123631)</f>
        <v>0.970629-0.123631i</v>
      </c>
      <c r="E12" t="str">
        <f>COMPLEX(-0.0147376,0.0688822)</f>
        <v>-0.0147376+0.0688822i</v>
      </c>
      <c r="F12"/>
      <c r="G12" t="str">
        <f t="shared" si="0"/>
        <v>48.0500108743877+6.71457062465855i</v>
      </c>
      <c r="H12" t="str">
        <f t="shared" si="1"/>
        <v>48.0956257953294+6.65890621886785i</v>
      </c>
      <c r="N12" s="19">
        <f t="shared" si="2"/>
        <v>7.1143815215449324E-2</v>
      </c>
      <c r="O12" s="19">
        <f t="shared" si="2"/>
        <v>0.99930624196839668</v>
      </c>
      <c r="P12" s="18">
        <f t="shared" si="3"/>
        <v>-22.957256974011724</v>
      </c>
      <c r="Q12" s="18">
        <f t="shared" si="3"/>
        <v>-6.0279969255253706E-3</v>
      </c>
      <c r="R12" s="17">
        <f t="shared" si="5"/>
        <v>-1.6009385949376932E-2</v>
      </c>
      <c r="T12" s="17">
        <f t="shared" si="4"/>
        <v>2.4646460000000001</v>
      </c>
      <c r="U12" s="17">
        <f t="shared" si="6"/>
        <v>-1.6009385949376932E-2</v>
      </c>
      <c r="V12" s="17">
        <f t="shared" si="7"/>
        <v>1.1531858567146243</v>
      </c>
      <c r="X12" s="21">
        <f t="shared" si="8"/>
        <v>2.4646460000000001</v>
      </c>
      <c r="Y12" s="20">
        <f t="shared" si="9"/>
        <v>7.9433062284052017E-3</v>
      </c>
    </row>
    <row r="13" spans="1:25" x14ac:dyDescent="0.25">
      <c r="A13">
        <v>2757575</v>
      </c>
      <c r="B13" t="str">
        <f>COMPLEX(-0.0124216,0.0795349)</f>
        <v>-0.0124216+0.0795349i</v>
      </c>
      <c r="C13" t="str">
        <f>COMPLEX(1.00033,-0.134389)</f>
        <v>1.00033-0.134389i</v>
      </c>
      <c r="D13" t="str">
        <f>COMPLEX(0.974159,-0.142309)</f>
        <v>0.974159-0.142309i</v>
      </c>
      <c r="E13" t="str">
        <f>COMPLEX(-0.0128553,0.0793692)</f>
        <v>-0.0128553+0.0793692i</v>
      </c>
      <c r="F13"/>
      <c r="G13" t="str">
        <f t="shared" si="0"/>
        <v>48.1672384858011+7.7119270235289i</v>
      </c>
      <c r="H13" t="str">
        <f t="shared" si="1"/>
        <v>48.1282222011584+7.68950756690335i</v>
      </c>
      <c r="N13" s="19">
        <f t="shared" si="2"/>
        <v>8.0499046358140175E-2</v>
      </c>
      <c r="O13" s="19">
        <f t="shared" si="2"/>
        <v>1.0093168542241826</v>
      </c>
      <c r="P13" s="18">
        <f t="shared" si="3"/>
        <v>-21.884185290493718</v>
      </c>
      <c r="Q13" s="18">
        <f t="shared" si="3"/>
        <v>8.0550508866365861E-2</v>
      </c>
      <c r="R13" s="17">
        <f t="shared" si="5"/>
        <v>-0.10878478978776546</v>
      </c>
      <c r="T13" s="17">
        <f t="shared" si="4"/>
        <v>2.7575750000000001</v>
      </c>
      <c r="U13" s="17">
        <f t="shared" si="6"/>
        <v>-0.10878478978776546</v>
      </c>
      <c r="V13" s="17">
        <f t="shared" si="7"/>
        <v>1.1750929045572127</v>
      </c>
      <c r="X13" s="21">
        <f t="shared" si="8"/>
        <v>2.7575750000000001</v>
      </c>
      <c r="Y13" s="20">
        <f t="shared" si="9"/>
        <v>1.14975115358125E-2</v>
      </c>
    </row>
    <row r="14" spans="1:25" x14ac:dyDescent="0.25">
      <c r="A14">
        <v>3050505</v>
      </c>
      <c r="B14" t="str">
        <f>COMPLEX(-0.00967439,0.0880481)</f>
        <v>-0.00967439+0.0880481i</v>
      </c>
      <c r="C14" t="str">
        <f>COMPLEX(0.990145,-0.1614)</f>
        <v>0.990145-0.1614i</v>
      </c>
      <c r="D14" t="str">
        <f>COMPLEX(0.973824,-0.154974)</f>
        <v>0.973824-0.154974i</v>
      </c>
      <c r="E14" t="str">
        <f>COMPLEX(-0.00937451,0.0876789)</f>
        <v>-0.00937451+0.0876789i</v>
      </c>
      <c r="F14"/>
      <c r="G14" t="str">
        <f t="shared" si="0"/>
        <v>48.2943399807303+8.57170386985585i</v>
      </c>
      <c r="H14" t="str">
        <f t="shared" si="1"/>
        <v>48.3293159496666+8.5413354258562i</v>
      </c>
      <c r="N14" s="19">
        <f t="shared" si="2"/>
        <v>8.857799803270619E-2</v>
      </c>
      <c r="O14" s="19">
        <f t="shared" si="2"/>
        <v>1.003213377614653</v>
      </c>
      <c r="P14" s="18">
        <f t="shared" si="3"/>
        <v>-21.053482790163564</v>
      </c>
      <c r="Q14" s="18">
        <f t="shared" si="3"/>
        <v>2.7866294802368644E-2</v>
      </c>
      <c r="R14" s="17">
        <f t="shared" si="5"/>
        <v>-6.2075688662428991E-2</v>
      </c>
      <c r="T14" s="17">
        <f t="shared" si="4"/>
        <v>3.0505049999999998</v>
      </c>
      <c r="U14" s="17">
        <f t="shared" si="6"/>
        <v>-6.2075688662428991E-2</v>
      </c>
      <c r="V14" s="17">
        <f t="shared" si="7"/>
        <v>1.1943731835341074</v>
      </c>
      <c r="X14" s="21">
        <f t="shared" si="8"/>
        <v>3.0505049999999998</v>
      </c>
      <c r="Y14" s="20">
        <f t="shared" si="9"/>
        <v>1.5000244273492495E-2</v>
      </c>
    </row>
    <row r="15" spans="1:25" x14ac:dyDescent="0.25">
      <c r="A15">
        <v>3343434</v>
      </c>
      <c r="B15" t="str">
        <f>COMPLEX(-0.00535122,0.0956813)</f>
        <v>-0.00535122+0.0956813i</v>
      </c>
      <c r="C15" t="str">
        <f>COMPLEX(0.972702,-0.162625)</f>
        <v>0.972702-0.162625i</v>
      </c>
      <c r="D15" t="str">
        <f>COMPLEX(0.97042,-0.164819)</f>
        <v>0.97042-0.164819i</v>
      </c>
      <c r="E15" t="str">
        <f>COMPLEX(-0.00639954,0.0955765)</f>
        <v>-0.00639954+0.0955765i</v>
      </c>
      <c r="F15"/>
      <c r="G15" t="str">
        <f t="shared" si="0"/>
        <v>48.5748635715793+9.38156825815695i</v>
      </c>
      <c r="H15" t="str">
        <f t="shared" si="1"/>
        <v>48.4759546010237+9.3521376956559i</v>
      </c>
      <c r="N15" s="19">
        <f t="shared" si="2"/>
        <v>9.5830823460817657E-2</v>
      </c>
      <c r="O15" s="19">
        <f t="shared" si="2"/>
        <v>0.9862028551109554</v>
      </c>
      <c r="P15" s="18">
        <f t="shared" si="3"/>
        <v>-20.369895600083655</v>
      </c>
      <c r="Q15" s="18">
        <f t="shared" si="3"/>
        <v>-0.12067488993785108</v>
      </c>
      <c r="R15" s="17">
        <f t="shared" si="5"/>
        <v>8.0606987637967337E-2</v>
      </c>
      <c r="T15" s="17">
        <f t="shared" si="4"/>
        <v>3.3434339999999998</v>
      </c>
      <c r="U15" s="17">
        <f t="shared" si="6"/>
        <v>8.0606987637967337E-2</v>
      </c>
      <c r="V15" s="17">
        <f t="shared" si="7"/>
        <v>1.2119754266068254</v>
      </c>
      <c r="X15" s="21">
        <f t="shared" si="8"/>
        <v>3.3434339999999998</v>
      </c>
      <c r="Y15" s="20">
        <f t="shared" si="9"/>
        <v>1.8451480526293203E-2</v>
      </c>
    </row>
    <row r="16" spans="1:25" x14ac:dyDescent="0.25">
      <c r="A16">
        <v>3636363</v>
      </c>
      <c r="B16" t="str">
        <f>COMPLEX(-0.00173322,0.102203)</f>
        <v>-0.00173322+0.102203i</v>
      </c>
      <c r="C16" t="str">
        <f>COMPLEX(0.9642,-0.17814)</f>
        <v>0.9642-0.17814i</v>
      </c>
      <c r="D16" t="str">
        <f>COMPLEX(0.963577,-0.181479)</f>
        <v>0.963577-0.181479i</v>
      </c>
      <c r="E16" t="str">
        <f>COMPLEX(-0.00270492,0.101503)</f>
        <v>-0.00270492+0.101503i</v>
      </c>
      <c r="F16"/>
      <c r="G16" t="str">
        <f t="shared" si="0"/>
        <v>48.7985503227656+10.0800373163602i</v>
      </c>
      <c r="H16" t="str">
        <f t="shared" si="1"/>
        <v>48.7186335406118+9.99320663577945i</v>
      </c>
      <c r="N16" s="19">
        <f t="shared" si="2"/>
        <v>0.10221769543757284</v>
      </c>
      <c r="O16" s="19">
        <f t="shared" si="2"/>
        <v>0.9805179751539489</v>
      </c>
      <c r="P16" s="18">
        <f t="shared" si="3"/>
        <v>-19.809478294269468</v>
      </c>
      <c r="Q16" s="18">
        <f t="shared" si="3"/>
        <v>-0.17088880609191309</v>
      </c>
      <c r="R16" s="17">
        <f t="shared" si="5"/>
        <v>0.12527300823492094</v>
      </c>
      <c r="T16" s="17">
        <f t="shared" si="4"/>
        <v>3.6363629999999998</v>
      </c>
      <c r="U16" s="17">
        <f t="shared" si="6"/>
        <v>0.12527300823492094</v>
      </c>
      <c r="V16" s="17">
        <f t="shared" si="7"/>
        <v>1.2277115396864344</v>
      </c>
      <c r="X16" s="21">
        <f t="shared" si="8"/>
        <v>3.6363629999999998</v>
      </c>
      <c r="Y16" s="20">
        <f t="shared" si="9"/>
        <v>2.1851232339669305E-2</v>
      </c>
    </row>
    <row r="17" spans="1:25" x14ac:dyDescent="0.25">
      <c r="A17">
        <v>3929292</v>
      </c>
      <c r="B17" t="str">
        <f>COMPLEX(0.000135447,0.10899)</f>
        <v>0.000135447+0.10899i</v>
      </c>
      <c r="C17" t="str">
        <f>COMPLEX(0.972788,-0.19646)</f>
        <v>0.972788-0.19646i</v>
      </c>
      <c r="D17" t="str">
        <f>COMPLEX(0.962727,-0.189006)</f>
        <v>0.962727-0.189006i</v>
      </c>
      <c r="E17" t="str">
        <f>COMPLEX(-0.000938737,0.108685)</f>
        <v>-0.000938737+0.108685i</v>
      </c>
      <c r="F17"/>
      <c r="G17" t="str">
        <f t="shared" si="0"/>
        <v>48.8391360990821+10.7739367408487i</v>
      </c>
      <c r="H17" t="str">
        <f t="shared" si="1"/>
        <v>48.742018014986+10.7217113608011i</v>
      </c>
      <c r="N17" s="19">
        <f t="shared" si="2"/>
        <v>0.10899008416314675</v>
      </c>
      <c r="O17" s="19">
        <f t="shared" si="2"/>
        <v>0.99242784349493152</v>
      </c>
      <c r="P17" s="18">
        <f t="shared" si="3"/>
        <v>-19.252260241025894</v>
      </c>
      <c r="Q17" s="18">
        <f t="shared" si="3"/>
        <v>-6.602119378911353E-2</v>
      </c>
      <c r="R17" s="17">
        <f t="shared" si="5"/>
        <v>1.4123196023360573E-2</v>
      </c>
      <c r="T17" s="17">
        <f t="shared" si="4"/>
        <v>3.9292919999999998</v>
      </c>
      <c r="U17" s="17">
        <f t="shared" si="6"/>
        <v>1.4123196023360573E-2</v>
      </c>
      <c r="V17" s="17">
        <f t="shared" si="7"/>
        <v>1.2446439309506028</v>
      </c>
      <c r="X17" s="21">
        <f t="shared" si="8"/>
        <v>3.9292919999999998</v>
      </c>
      <c r="Y17" s="20">
        <f t="shared" si="9"/>
        <v>2.5199499713620795E-2</v>
      </c>
    </row>
    <row r="18" spans="1:25" x14ac:dyDescent="0.25">
      <c r="A18">
        <v>4222222</v>
      </c>
      <c r="B18" t="str">
        <f>COMPLEX(0.0016214,0.11542)</f>
        <v>0.0016214+0.11542i</v>
      </c>
      <c r="C18" t="str">
        <f>COMPLEX(0.955245,-0.209618)</f>
        <v>0.955245-0.209618i</v>
      </c>
      <c r="D18" t="str">
        <f>COMPLEX(0.959796,-0.206316)</f>
        <v>0.959796-0.206316i</v>
      </c>
      <c r="E18" t="str">
        <f>COMPLEX(0.00167835,0.114959)</f>
        <v>0.00167835+0.114959i</v>
      </c>
      <c r="F18"/>
      <c r="G18" t="str">
        <f t="shared" si="0"/>
        <v>48.8413802136269+11.4267995169937i</v>
      </c>
      <c r="H18" t="str">
        <f t="shared" si="1"/>
        <v>48.8572654383582+11.3836381065443i</v>
      </c>
      <c r="N18" s="19">
        <f t="shared" si="2"/>
        <v>0.11543138801019419</v>
      </c>
      <c r="O18" s="19">
        <f t="shared" si="2"/>
        <v>0.97797378080856545</v>
      </c>
      <c r="P18" s="18">
        <f t="shared" si="3"/>
        <v>-18.753521642305053</v>
      </c>
      <c r="Q18" s="18">
        <f t="shared" si="3"/>
        <v>-0.19345576729086872</v>
      </c>
      <c r="R18" s="17">
        <f t="shared" si="5"/>
        <v>0.13519962826723864</v>
      </c>
      <c r="T18" s="17">
        <f t="shared" si="4"/>
        <v>4.2222220000000004</v>
      </c>
      <c r="U18" s="17">
        <f t="shared" si="6"/>
        <v>0.13519962826723864</v>
      </c>
      <c r="V18" s="17">
        <f t="shared" si="7"/>
        <v>1.2609891114054688</v>
      </c>
      <c r="X18" s="21">
        <f t="shared" si="8"/>
        <v>4.2222220000000004</v>
      </c>
      <c r="Y18" s="20">
        <f t="shared" si="9"/>
        <v>2.8496293814814812E-2</v>
      </c>
    </row>
    <row r="19" spans="1:25" x14ac:dyDescent="0.25">
      <c r="A19">
        <v>4515151</v>
      </c>
      <c r="B19" t="str">
        <f>COMPLEX(0.00690153,0.12178)</f>
        <v>0.00690153+0.12178i</v>
      </c>
      <c r="C19" t="str">
        <f>COMPLEX(0.959065,-0.227522)</f>
        <v>0.959065-0.227522i</v>
      </c>
      <c r="D19" t="str">
        <f>COMPLEX(0.948016,-0.225405)</f>
        <v>0.948016-0.225405i</v>
      </c>
      <c r="E19" t="str">
        <f>COMPLEX(0.00564858,0.121721)</f>
        <v>0.00564858+0.121721i</v>
      </c>
      <c r="F19"/>
      <c r="G19" t="str">
        <f t="shared" si="0"/>
        <v>49.203209549907+12.1649234430778i</v>
      </c>
      <c r="H19" t="str">
        <f t="shared" si="1"/>
        <v>49.0833220629223+12.1290328572377i</v>
      </c>
      <c r="N19" s="19">
        <f t="shared" si="2"/>
        <v>0.12197540537477586</v>
      </c>
      <c r="O19" s="19">
        <f t="shared" si="2"/>
        <v>0.98568348606893064</v>
      </c>
      <c r="P19" s="18">
        <f t="shared" si="3"/>
        <v>-18.274554597458305</v>
      </c>
      <c r="Q19" s="18">
        <f t="shared" si="3"/>
        <v>-0.12525038923571929</v>
      </c>
      <c r="R19" s="17">
        <f t="shared" si="5"/>
        <v>6.0150570920967983E-2</v>
      </c>
      <c r="T19" s="17">
        <f t="shared" si="4"/>
        <v>4.5151510000000004</v>
      </c>
      <c r="U19" s="17">
        <f t="shared" si="6"/>
        <v>6.0150570920967983E-2</v>
      </c>
      <c r="V19" s="17">
        <f t="shared" si="7"/>
        <v>1.2778405209180725</v>
      </c>
      <c r="X19" s="21">
        <f t="shared" si="8"/>
        <v>4.5151510000000004</v>
      </c>
      <c r="Y19" s="20">
        <f t="shared" si="9"/>
        <v>3.1741592134159703E-2</v>
      </c>
    </row>
    <row r="20" spans="1:25" x14ac:dyDescent="0.25">
      <c r="A20">
        <v>4808080</v>
      </c>
      <c r="B20" t="str">
        <f>COMPLEX(0.0091551,0.128647)</f>
        <v>0.0091551+0.128647i</v>
      </c>
      <c r="C20" t="str">
        <f>COMPLEX(0.965036,-0.225682)</f>
        <v>0.965036-0.225682i</v>
      </c>
      <c r="D20" t="str">
        <f>COMPLEX(0.950991,-0.227853)</f>
        <v>0.950991-0.227853i</v>
      </c>
      <c r="E20" t="str">
        <f>COMPLEX(0.00807257,0.127791)</f>
        <v>0.00807257+0.127791i</v>
      </c>
      <c r="F20"/>
      <c r="G20" t="str">
        <f t="shared" si="0"/>
        <v>49.2508675576638+12.8863017397483i</v>
      </c>
      <c r="H20" t="str">
        <f t="shared" si="1"/>
        <v>49.1678948905644+12.7758987932818i</v>
      </c>
      <c r="N20" s="19">
        <f t="shared" si="2"/>
        <v>0.12897234767580995</v>
      </c>
      <c r="O20" s="19">
        <f t="shared" si="2"/>
        <v>0.99107358274751722</v>
      </c>
      <c r="P20" s="18">
        <f t="shared" si="3"/>
        <v>-17.790067893106141</v>
      </c>
      <c r="Q20" s="18">
        <f t="shared" si="3"/>
        <v>-7.7881998188245719E-2</v>
      </c>
      <c r="R20" s="17">
        <f t="shared" si="5"/>
        <v>5.0344722208299367E-3</v>
      </c>
      <c r="T20" s="17">
        <f t="shared" si="4"/>
        <v>4.8080800000000004</v>
      </c>
      <c r="U20" s="17">
        <f t="shared" si="6"/>
        <v>5.0344722208299367E-3</v>
      </c>
      <c r="V20" s="17">
        <f t="shared" si="7"/>
        <v>1.2961383541192271</v>
      </c>
      <c r="X20" s="21">
        <f t="shared" si="8"/>
        <v>4.8080800000000004</v>
      </c>
      <c r="Y20" s="20">
        <f t="shared" si="9"/>
        <v>3.4935406014080003E-2</v>
      </c>
    </row>
    <row r="21" spans="1:25" x14ac:dyDescent="0.25">
      <c r="A21">
        <v>5101010</v>
      </c>
      <c r="B21" t="str">
        <f>COMPLEX(0.0125516,0.135001)</f>
        <v>0.0125516+0.135001i</v>
      </c>
      <c r="C21" t="str">
        <f>COMPLEX(0.958148,-0.23574)</f>
        <v>0.958148-0.23574i</v>
      </c>
      <c r="D21" t="str">
        <f>COMPLEX(0.948586,-0.242985)</f>
        <v>0.948586-0.242985i</v>
      </c>
      <c r="E21" t="str">
        <f>COMPLEX(0.0122235,0.134246)</f>
        <v>0.0122235+0.134246i</v>
      </c>
      <c r="F21"/>
      <c r="G21" t="str">
        <f t="shared" si="0"/>
        <v>49.4129334188262+13.5914397395094i</v>
      </c>
      <c r="H21" t="str">
        <f t="shared" si="1"/>
        <v>49.4014535163395+13.5093794281951i</v>
      </c>
      <c r="N21" s="19">
        <f t="shared" si="2"/>
        <v>0.13558323149844159</v>
      </c>
      <c r="O21" s="19">
        <f t="shared" si="2"/>
        <v>0.98672232036373841</v>
      </c>
      <c r="P21" s="18">
        <f t="shared" si="3"/>
        <v>-17.35588038607737</v>
      </c>
      <c r="Q21" s="18">
        <f t="shared" si="3"/>
        <v>-0.11610095270309218</v>
      </c>
      <c r="R21" s="17">
        <f t="shared" si="5"/>
        <v>3.5522492068880349E-2</v>
      </c>
      <c r="T21" s="17">
        <f t="shared" si="4"/>
        <v>5.1010099999999996</v>
      </c>
      <c r="U21" s="17">
        <f t="shared" si="6"/>
        <v>3.5522492068880349E-2</v>
      </c>
      <c r="V21" s="17">
        <f t="shared" si="7"/>
        <v>1.3136987537469249</v>
      </c>
      <c r="X21" s="21">
        <f t="shared" si="8"/>
        <v>5.1010099999999996</v>
      </c>
      <c r="Y21" s="20">
        <f t="shared" si="9"/>
        <v>3.8077746093969994E-2</v>
      </c>
    </row>
    <row r="22" spans="1:25" x14ac:dyDescent="0.25">
      <c r="A22">
        <v>5393939</v>
      </c>
      <c r="B22" t="str">
        <f>COMPLEX(0.0168703,0.141728)</f>
        <v>0.0168703+0.141728i</v>
      </c>
      <c r="C22" t="str">
        <f>COMPLEX(0.947071,-0.253565)</f>
        <v>0.947071-0.253565i</v>
      </c>
      <c r="D22" t="str">
        <f>COMPLEX(0.947766,-0.250954)</f>
        <v>0.947766-0.250954i</v>
      </c>
      <c r="E22" t="str">
        <f>COMPLEX(0.0148378,0.140689)</f>
        <v>0.0148378+0.140689i</v>
      </c>
      <c r="F22"/>
      <c r="G22" t="str">
        <f t="shared" si="0"/>
        <v>49.6451425508949+14.3648460253547i</v>
      </c>
      <c r="H22" t="str">
        <f t="shared" si="1"/>
        <v>49.4773748695026+14.2061605622053i</v>
      </c>
      <c r="N22" s="19">
        <f t="shared" si="2"/>
        <v>0.14272852905460071</v>
      </c>
      <c r="O22" s="19">
        <f t="shared" si="2"/>
        <v>0.98042780879879177</v>
      </c>
      <c r="P22" s="18">
        <f t="shared" si="3"/>
        <v>-16.909784199567451</v>
      </c>
      <c r="Q22" s="18">
        <f t="shared" si="3"/>
        <v>-0.17168757882384927</v>
      </c>
      <c r="R22" s="17">
        <f t="shared" si="5"/>
        <v>8.2301990011749579E-2</v>
      </c>
      <c r="T22" s="17">
        <f t="shared" si="4"/>
        <v>5.3939389999999996</v>
      </c>
      <c r="U22" s="17">
        <f t="shared" si="6"/>
        <v>8.2301990011749579E-2</v>
      </c>
      <c r="V22" s="17">
        <f t="shared" si="7"/>
        <v>1.3329832705086981</v>
      </c>
      <c r="X22" s="21">
        <f t="shared" si="8"/>
        <v>5.3939389999999996</v>
      </c>
      <c r="Y22" s="20">
        <f t="shared" si="9"/>
        <v>4.1168590919283689E-2</v>
      </c>
    </row>
    <row r="23" spans="1:25" x14ac:dyDescent="0.25">
      <c r="A23">
        <v>5686868</v>
      </c>
      <c r="B23" t="str">
        <f>COMPLEX(0.0178169,0.147886)</f>
        <v>0.0178169+0.147886i</v>
      </c>
      <c r="C23" t="str">
        <f>COMPLEX(0.94069,-0.258273)</f>
        <v>0.94069-0.258273i</v>
      </c>
      <c r="D23" t="str">
        <f>COMPLEX(0.938064,-0.260792)</f>
        <v>0.938064-0.260792i</v>
      </c>
      <c r="E23" t="str">
        <f>COMPLEX(0.0167276,0.146605)</f>
        <v>0.0167276+0.146605i</v>
      </c>
      <c r="F23"/>
      <c r="G23" t="str">
        <f t="shared" si="0"/>
        <v>49.5569617764196+14.9901590133933i</v>
      </c>
      <c r="H23" t="str">
        <f t="shared" si="1"/>
        <v>49.4895124371381+14.833793738995i</v>
      </c>
      <c r="N23" s="19">
        <f t="shared" si="2"/>
        <v>0.14895539910191238</v>
      </c>
      <c r="O23" s="19">
        <f t="shared" si="2"/>
        <v>0.97550121405818857</v>
      </c>
      <c r="P23" s="18">
        <f t="shared" si="3"/>
        <v>-16.538875010754925</v>
      </c>
      <c r="Q23" s="18">
        <f t="shared" si="3"/>
        <v>-0.21544371537503582</v>
      </c>
      <c r="R23" s="17">
        <f t="shared" si="5"/>
        <v>0.1179986268315051</v>
      </c>
      <c r="T23" s="17">
        <f t="shared" si="4"/>
        <v>5.6868679999999996</v>
      </c>
      <c r="U23" s="17">
        <f t="shared" si="6"/>
        <v>0.1179986268315051</v>
      </c>
      <c r="V23" s="17">
        <f t="shared" si="7"/>
        <v>1.3500530969698255</v>
      </c>
      <c r="X23" s="21">
        <f t="shared" si="8"/>
        <v>5.6868679999999996</v>
      </c>
      <c r="Y23" s="20">
        <f t="shared" si="9"/>
        <v>4.4207951305172792E-2</v>
      </c>
    </row>
    <row r="24" spans="1:25" x14ac:dyDescent="0.25">
      <c r="A24">
        <v>5979797</v>
      </c>
      <c r="B24" t="str">
        <f>COMPLEX(0.0230575,0.153972)</f>
        <v>0.0230575+0.153972i</v>
      </c>
      <c r="C24" t="str">
        <f>COMPLEX(0.937926,-0.272537)</f>
        <v>0.937926-0.272537i</v>
      </c>
      <c r="D24" t="str">
        <f>COMPLEX(0.931528,-0.267924)</f>
        <v>0.931528-0.267924i</v>
      </c>
      <c r="E24" t="str">
        <f>COMPLEX(0.022189,0.153216)</f>
        <v>0.022189+0.153216i</v>
      </c>
      <c r="F24"/>
      <c r="G24" t="str">
        <f t="shared" si="0"/>
        <v>49.8792049821963+15.7415620156957i</v>
      </c>
      <c r="H24" t="str">
        <f t="shared" si="1"/>
        <v>49.8184449315546+15.6408373996949i</v>
      </c>
      <c r="N24" s="19">
        <f t="shared" si="2"/>
        <v>0.15568887272457849</v>
      </c>
      <c r="O24" s="19">
        <f t="shared" si="2"/>
        <v>0.97671981542559072</v>
      </c>
      <c r="P24" s="18">
        <f t="shared" si="3"/>
        <v>-16.154848517681003</v>
      </c>
      <c r="Q24" s="18">
        <f t="shared" si="3"/>
        <v>-0.2046000268736495</v>
      </c>
      <c r="R24" s="17">
        <f t="shared" si="5"/>
        <v>9.8034474123026849E-2</v>
      </c>
      <c r="T24" s="17">
        <f t="shared" si="4"/>
        <v>5.9797969999999996</v>
      </c>
      <c r="U24" s="17">
        <f t="shared" si="6"/>
        <v>9.8034474123026849E-2</v>
      </c>
      <c r="V24" s="17">
        <f t="shared" si="7"/>
        <v>1.3687950275557399</v>
      </c>
      <c r="X24" s="21">
        <f t="shared" si="8"/>
        <v>5.9797969999999996</v>
      </c>
      <c r="Y24" s="20">
        <f t="shared" si="9"/>
        <v>4.7195827251637297E-2</v>
      </c>
    </row>
    <row r="25" spans="1:25" x14ac:dyDescent="0.25">
      <c r="A25">
        <v>6272727</v>
      </c>
      <c r="B25" t="str">
        <f>COMPLEX(0.0262701,0.159331)</f>
        <v>0.0262701+0.159331i</v>
      </c>
      <c r="C25" t="str">
        <f>COMPLEX(0.928735,-0.291412)</f>
        <v>0.928735-0.291412i</v>
      </c>
      <c r="D25" t="str">
        <f>COMPLEX(0.930933,-0.284312)</f>
        <v>0.930933-0.284312i</v>
      </c>
      <c r="E25" t="str">
        <f>COMPLEX(0.0250563,0.159282)</f>
        <v>0.0250563+0.159282i</v>
      </c>
      <c r="F25"/>
      <c r="G25" t="str">
        <f t="shared" si="0"/>
        <v>50.01988773175+16.3662107245422i</v>
      </c>
      <c r="H25" t="str">
        <f t="shared" si="1"/>
        <v>49.9034442835444+16.3217839269812i</v>
      </c>
      <c r="N25" s="19">
        <f t="shared" si="2"/>
        <v>0.16148215293031612</v>
      </c>
      <c r="O25" s="19">
        <f t="shared" si="2"/>
        <v>0.97338052886268489</v>
      </c>
      <c r="P25" s="18">
        <f t="shared" si="3"/>
        <v>-15.837509381478794</v>
      </c>
      <c r="Q25" s="18">
        <f t="shared" si="3"/>
        <v>-0.23434690937581101</v>
      </c>
      <c r="R25" s="17">
        <f t="shared" si="5"/>
        <v>0.11959542448355705</v>
      </c>
      <c r="T25" s="17">
        <f t="shared" si="4"/>
        <v>6.2727269999999997</v>
      </c>
      <c r="U25" s="17">
        <f t="shared" si="6"/>
        <v>0.11959542448355705</v>
      </c>
      <c r="V25" s="17">
        <f t="shared" si="7"/>
        <v>1.3851609205329087</v>
      </c>
      <c r="X25" s="21">
        <f t="shared" si="8"/>
        <v>6.2727269999999997</v>
      </c>
      <c r="Y25" s="20">
        <f t="shared" si="9"/>
        <v>5.0132228695041296E-2</v>
      </c>
    </row>
    <row r="26" spans="1:25" x14ac:dyDescent="0.25">
      <c r="A26">
        <v>6565656</v>
      </c>
      <c r="B26" t="str">
        <f>COMPLEX(0.029667,0.166383)</f>
        <v>0.029667+0.166383i</v>
      </c>
      <c r="C26" t="str">
        <f>COMPLEX(0.934945,-0.287154)</f>
        <v>0.934945-0.287154i</v>
      </c>
      <c r="D26" t="str">
        <f>COMPLEX(0.923313,-0.287107)</f>
        <v>0.923313-0.287107i</v>
      </c>
      <c r="E26" t="str">
        <f>COMPLEX(0.0287868,0.165217)</f>
        <v>0.0287868+0.165217i</v>
      </c>
      <c r="F26"/>
      <c r="G26" t="str">
        <f t="shared" si="0"/>
        <v>50.113860184572+17.1665236564042i</v>
      </c>
      <c r="H26" t="str">
        <f t="shared" si="1"/>
        <v>50.0681533020425+17.0229977147177i</v>
      </c>
      <c r="N26" s="19">
        <f t="shared" si="2"/>
        <v>0.16900719978154777</v>
      </c>
      <c r="O26" s="19">
        <f t="shared" si="2"/>
        <v>0.97804886009902392</v>
      </c>
      <c r="P26" s="18">
        <f t="shared" si="3"/>
        <v>-15.441895877100009</v>
      </c>
      <c r="Q26" s="18">
        <f t="shared" si="3"/>
        <v>-0.19278897497700864</v>
      </c>
      <c r="R26" s="17">
        <f t="shared" si="5"/>
        <v>6.6933444794869942E-2</v>
      </c>
      <c r="T26" s="17">
        <f t="shared" si="4"/>
        <v>6.5656559999999997</v>
      </c>
      <c r="U26" s="17">
        <f t="shared" si="6"/>
        <v>6.6933444794869942E-2</v>
      </c>
      <c r="V26" s="17">
        <f t="shared" si="7"/>
        <v>1.4067597209918523</v>
      </c>
      <c r="X26" s="21">
        <f t="shared" si="8"/>
        <v>6.5656559999999997</v>
      </c>
      <c r="Y26" s="20">
        <f t="shared" si="9"/>
        <v>5.3017135586899196E-2</v>
      </c>
    </row>
    <row r="27" spans="1:25" x14ac:dyDescent="0.25">
      <c r="A27">
        <v>6858585</v>
      </c>
      <c r="B27" t="str">
        <f>COMPLEX(0.0343532,0.172897)</f>
        <v>0.0343532+0.172897i</v>
      </c>
      <c r="C27" t="str">
        <f>COMPLEX(0.874264,-0.284986)</f>
        <v>0.874264-0.284986i</v>
      </c>
      <c r="D27" t="str">
        <f>COMPLEX(0.917488,-0.297214)</f>
        <v>0.917488-0.297214i</v>
      </c>
      <c r="E27" t="str">
        <f>COMPLEX(0.0336802,0.17091)</f>
        <v>0.0336802+0.17091i</v>
      </c>
      <c r="F27"/>
      <c r="G27" t="str">
        <f t="shared" si="0"/>
        <v>50.3407935485095+17.9658050771324i</v>
      </c>
      <c r="H27" t="str">
        <f t="shared" si="1"/>
        <v>50.3463832618935+17.7479550385806i</v>
      </c>
      <c r="N27" s="19">
        <f t="shared" si="2"/>
        <v>0.17627681344760007</v>
      </c>
      <c r="O27" s="19">
        <f t="shared" si="2"/>
        <v>0.91954040797128656</v>
      </c>
      <c r="P27" s="18">
        <f t="shared" si="3"/>
        <v>-15.076096176474946</v>
      </c>
      <c r="Q27" s="18">
        <f t="shared" si="3"/>
        <v>-0.72858363034806317</v>
      </c>
      <c r="R27" s="17">
        <f t="shared" si="5"/>
        <v>0.59149190289594289</v>
      </c>
      <c r="T27" s="17">
        <f t="shared" si="4"/>
        <v>6.8585849999999997</v>
      </c>
      <c r="U27" s="17">
        <f t="shared" si="6"/>
        <v>0.59149190289594289</v>
      </c>
      <c r="V27" s="17">
        <f t="shared" si="7"/>
        <v>1.4280001251036447</v>
      </c>
      <c r="X27" s="21">
        <f t="shared" si="8"/>
        <v>6.8585849999999997</v>
      </c>
      <c r="Y27" s="20">
        <f t="shared" si="9"/>
        <v>5.5850558039332497E-2</v>
      </c>
    </row>
    <row r="28" spans="1:25" x14ac:dyDescent="0.25">
      <c r="A28">
        <v>7151515</v>
      </c>
      <c r="B28" t="str">
        <f>COMPLEX(0.0374403,0.178596)</f>
        <v>0.0374403+0.178596i</v>
      </c>
      <c r="C28" t="str">
        <f>COMPLEX(0.920089,-0.31285)</f>
        <v>0.920089-0.31285i</v>
      </c>
      <c r="D28" t="str">
        <f>COMPLEX(0.916559,-0.311745)</f>
        <v>0.916559-0.311745i</v>
      </c>
      <c r="E28" t="str">
        <f>COMPLEX(0.0369904,0.177592)</f>
        <v>0.0369904+0.177592i</v>
      </c>
      <c r="F28"/>
      <c r="G28" t="str">
        <f t="shared" si="0"/>
        <v>50.4321698867255+18.6344637253042i</v>
      </c>
      <c r="H28" t="str">
        <f t="shared" si="1"/>
        <v>50.425808676152+18.5198779061135i</v>
      </c>
      <c r="N28" s="19">
        <f t="shared" si="2"/>
        <v>0.18247823782602132</v>
      </c>
      <c r="O28" s="19">
        <f t="shared" si="2"/>
        <v>0.97182245828186131</v>
      </c>
      <c r="P28" s="18">
        <f t="shared" si="3"/>
        <v>-14.775778432985271</v>
      </c>
      <c r="Q28" s="18">
        <f t="shared" si="3"/>
        <v>-0.24826137701436865</v>
      </c>
      <c r="R28" s="17">
        <f t="shared" si="5"/>
        <v>0.10118616755970478</v>
      </c>
      <c r="T28" s="17">
        <f t="shared" si="4"/>
        <v>7.1515149999999998</v>
      </c>
      <c r="U28" s="17">
        <f t="shared" si="6"/>
        <v>0.10118616755970478</v>
      </c>
      <c r="V28" s="17">
        <f t="shared" si="7"/>
        <v>1.4464180558099631</v>
      </c>
      <c r="X28" s="21">
        <f t="shared" si="8"/>
        <v>7.1515149999999998</v>
      </c>
      <c r="Y28" s="20">
        <f t="shared" si="9"/>
        <v>5.8632505461432498E-2</v>
      </c>
    </row>
    <row r="29" spans="1:25" x14ac:dyDescent="0.25">
      <c r="A29">
        <v>7444444</v>
      </c>
      <c r="B29" t="str">
        <f>COMPLEX(0.0422279,0.184519)</f>
        <v>0.0422279+0.184519i</v>
      </c>
      <c r="C29" t="str">
        <f>COMPLEX(0.92131,-0.324787)</f>
        <v>0.92131-0.324787i</v>
      </c>
      <c r="D29" t="str">
        <f>COMPLEX(0.915416,-0.324754)</f>
        <v>0.915416-0.324754i</v>
      </c>
      <c r="E29" t="str">
        <f>COMPLEX(0.0417012,0.183109)</f>
        <v>0.0417012+0.183109i</v>
      </c>
      <c r="F29"/>
      <c r="G29" t="str">
        <f t="shared" si="0"/>
        <v>50.672442034712+19.3949879431683i</v>
      </c>
      <c r="H29" t="str">
        <f t="shared" si="1"/>
        <v>50.67586272061+19.2368565492393i</v>
      </c>
      <c r="N29" s="19">
        <f t="shared" si="2"/>
        <v>0.18928934703096734</v>
      </c>
      <c r="O29" s="19">
        <f t="shared" si="2"/>
        <v>0.97688213796189349</v>
      </c>
      <c r="P29" s="18">
        <f t="shared" si="3"/>
        <v>-14.45747653803541</v>
      </c>
      <c r="Q29" s="18">
        <f t="shared" si="3"/>
        <v>-0.20315662573771542</v>
      </c>
      <c r="R29" s="17">
        <f t="shared" si="5"/>
        <v>4.4690711226848867E-2</v>
      </c>
      <c r="T29" s="17">
        <f t="shared" si="4"/>
        <v>7.4444439999999998</v>
      </c>
      <c r="U29" s="17">
        <f t="shared" si="6"/>
        <v>4.4690711226848867E-2</v>
      </c>
      <c r="V29" s="17">
        <f t="shared" si="7"/>
        <v>1.466971406722585</v>
      </c>
      <c r="X29" s="21">
        <f t="shared" si="8"/>
        <v>7.4444439999999998</v>
      </c>
      <c r="Y29" s="20">
        <f t="shared" si="9"/>
        <v>6.1362958859259208E-2</v>
      </c>
    </row>
    <row r="30" spans="1:25" x14ac:dyDescent="0.25">
      <c r="A30">
        <v>7737373</v>
      </c>
      <c r="B30" t="str">
        <f>COMPLEX(0.0453348,0.189661)</f>
        <v>0.0453348+0.189661i</v>
      </c>
      <c r="C30" t="str">
        <f>COMPLEX(0.918171,-0.324093)</f>
        <v>0.918171-0.324093i</v>
      </c>
      <c r="D30" t="str">
        <f>COMPLEX(0.910626,-0.32326)</f>
        <v>0.910626-0.32326i</v>
      </c>
      <c r="E30" t="str">
        <f>COMPLEX(0.0456398,0.189168)</f>
        <v>0.0456398+0.189168i</v>
      </c>
      <c r="F30"/>
      <c r="G30" t="str">
        <f t="shared" si="0"/>
        <v>50.7714368984915+20.0200148634357i</v>
      </c>
      <c r="H30" t="str">
        <f t="shared" si="1"/>
        <v>50.82108341322+19.9841974834156i</v>
      </c>
      <c r="N30" s="19">
        <f t="shared" si="2"/>
        <v>0.19500394614478958</v>
      </c>
      <c r="O30" s="19">
        <f t="shared" si="2"/>
        <v>0.97369104847995791</v>
      </c>
      <c r="P30" s="18">
        <f t="shared" si="3"/>
        <v>-14.199132001306925</v>
      </c>
      <c r="Q30" s="18">
        <f t="shared" si="3"/>
        <v>-0.23157645226438317</v>
      </c>
      <c r="R30" s="17">
        <f t="shared" si="5"/>
        <v>6.3207360735346954E-2</v>
      </c>
      <c r="T30" s="17">
        <f t="shared" si="4"/>
        <v>7.7373729999999998</v>
      </c>
      <c r="U30" s="17">
        <f t="shared" si="6"/>
        <v>6.3207360735346954E-2</v>
      </c>
      <c r="V30" s="17">
        <f t="shared" si="7"/>
        <v>1.4844842287385021</v>
      </c>
      <c r="X30" s="21">
        <f t="shared" si="8"/>
        <v>7.7373729999999998</v>
      </c>
      <c r="Y30" s="20">
        <f t="shared" si="9"/>
        <v>6.4041927817661298E-2</v>
      </c>
    </row>
    <row r="31" spans="1:25" x14ac:dyDescent="0.25">
      <c r="A31">
        <v>8030303</v>
      </c>
      <c r="B31" t="str">
        <f>COMPLEX(0.05051,0.195941)</f>
        <v>0.05051+0.195941i</v>
      </c>
      <c r="C31" t="str">
        <f>COMPLEX(0.9023,-0.338283)</f>
        <v>0.9023-0.338283i</v>
      </c>
      <c r="D31" t="str">
        <f>COMPLEX(0.899228,-0.330792)</f>
        <v>0.899228-0.330792i</v>
      </c>
      <c r="E31" t="str">
        <f>COMPLEX(0.0494434,0.195426)</f>
        <v>0.0494434+0.195426i</v>
      </c>
      <c r="F31"/>
      <c r="G31" t="str">
        <f t="shared" si="0"/>
        <v>51.0177272884995+20.8464696865011i</v>
      </c>
      <c r="H31" t="str">
        <f t="shared" si="1"/>
        <v>50.935220225198+20.7513853964399i</v>
      </c>
      <c r="N31" s="19">
        <f t="shared" si="2"/>
        <v>0.20234657294108047</v>
      </c>
      <c r="O31" s="19">
        <f t="shared" si="2"/>
        <v>0.96362891098648551</v>
      </c>
      <c r="P31" s="18">
        <f t="shared" si="3"/>
        <v>-13.878082933467233</v>
      </c>
      <c r="Q31" s="18">
        <f t="shared" si="3"/>
        <v>-0.32180357377394442</v>
      </c>
      <c r="R31" s="17">
        <f t="shared" si="5"/>
        <v>0.14024262673481142</v>
      </c>
      <c r="T31" s="17">
        <f t="shared" si="4"/>
        <v>8.030303</v>
      </c>
      <c r="U31" s="17">
        <f t="shared" si="6"/>
        <v>0.14024262673481142</v>
      </c>
      <c r="V31" s="17">
        <f t="shared" si="7"/>
        <v>1.5073546131110247</v>
      </c>
      <c r="X31" s="21">
        <f t="shared" si="8"/>
        <v>8.030303</v>
      </c>
      <c r="Y31" s="20">
        <f t="shared" si="9"/>
        <v>6.6669421218457314E-2</v>
      </c>
    </row>
    <row r="32" spans="1:25" x14ac:dyDescent="0.25">
      <c r="A32">
        <v>8323232</v>
      </c>
      <c r="B32" t="str">
        <f>COMPLEX(0.0537231,0.200582)</f>
        <v>0.0537231+0.200582i</v>
      </c>
      <c r="C32" t="str">
        <f>COMPLEX(0.907836,-0.341712)</f>
        <v>0.907836-0.341712i</v>
      </c>
      <c r="D32" t="str">
        <f>COMPLEX(0.899748,-0.342297)</f>
        <v>0.899748-0.342297i</v>
      </c>
      <c r="E32" t="str">
        <f>COMPLEX(0.0534364,0.200239)</f>
        <v>0.0534364+0.200239i</v>
      </c>
      <c r="F32"/>
      <c r="G32" t="str">
        <f t="shared" si="0"/>
        <v>51.1332793137715+21.4371876047221i</v>
      </c>
      <c r="H32" t="str">
        <f t="shared" si="1"/>
        <v>51.1201300112625+21.3912659575386i</v>
      </c>
      <c r="N32" s="19">
        <f t="shared" si="2"/>
        <v>0.20765189668676279</v>
      </c>
      <c r="O32" s="19">
        <f t="shared" si="2"/>
        <v>0.97001716162138074</v>
      </c>
      <c r="P32" s="18">
        <f t="shared" si="3"/>
        <v>-13.653281954040592</v>
      </c>
      <c r="Q32" s="18">
        <f t="shared" si="3"/>
        <v>-0.26441164185995869</v>
      </c>
      <c r="R32" s="17">
        <f t="shared" si="5"/>
        <v>7.2989546371466762E-2</v>
      </c>
      <c r="T32" s="17">
        <f t="shared" si="4"/>
        <v>8.3232320000000009</v>
      </c>
      <c r="U32" s="17">
        <f t="shared" si="6"/>
        <v>7.2989546371466762E-2</v>
      </c>
      <c r="V32" s="17">
        <f t="shared" si="7"/>
        <v>1.5241431028066013</v>
      </c>
      <c r="X32" s="21">
        <f t="shared" si="8"/>
        <v>8.3232320000000009</v>
      </c>
      <c r="Y32" s="20">
        <f t="shared" si="9"/>
        <v>6.924542112225282E-2</v>
      </c>
    </row>
    <row r="33" spans="1:25" x14ac:dyDescent="0.25">
      <c r="A33">
        <v>8616161</v>
      </c>
      <c r="B33" t="str">
        <f>COMPLEX(0.0571702,0.207382)</f>
        <v>0.0571702+0.207382i</v>
      </c>
      <c r="C33" t="str">
        <f>COMPLEX(0.902096,-0.350875)</f>
        <v>0.902096-0.350875i</v>
      </c>
      <c r="D33" t="str">
        <f>COMPLEX(0.896643,-0.349695)</f>
        <v>0.896643-0.349695i</v>
      </c>
      <c r="E33" t="str">
        <f>COMPLEX(0.0570759,0.206064)</f>
        <v>0.0570759+0.206064i</v>
      </c>
      <c r="F33"/>
      <c r="G33" t="str">
        <f t="shared" si="0"/>
        <v>51.1690161331605+22.2528317451644i</v>
      </c>
      <c r="H33" t="str">
        <f t="shared" si="1"/>
        <v>51.219005669356+22.1201188772779i</v>
      </c>
      <c r="N33" s="19">
        <f t="shared" si="2"/>
        <v>0.21511793438028359</v>
      </c>
      <c r="O33" s="19">
        <f t="shared" si="2"/>
        <v>0.96793101967082329</v>
      </c>
      <c r="P33" s="18">
        <f t="shared" si="3"/>
        <v>-13.346467619521015</v>
      </c>
      <c r="Q33" s="18">
        <f t="shared" si="3"/>
        <v>-0.28311183820769781</v>
      </c>
      <c r="R33" s="17">
        <f t="shared" si="5"/>
        <v>7.7340203126416859E-2</v>
      </c>
      <c r="T33" s="17">
        <f t="shared" si="4"/>
        <v>8.616161</v>
      </c>
      <c r="U33" s="17">
        <f t="shared" si="6"/>
        <v>7.7340203126416859E-2</v>
      </c>
      <c r="V33" s="17">
        <f t="shared" si="7"/>
        <v>1.5481535221738918</v>
      </c>
      <c r="X33" s="21">
        <f t="shared" si="8"/>
        <v>8.616161</v>
      </c>
      <c r="Y33" s="20">
        <f t="shared" si="9"/>
        <v>7.17699365866237E-2</v>
      </c>
    </row>
    <row r="34" spans="1:25" x14ac:dyDescent="0.25">
      <c r="A34">
        <v>8909090</v>
      </c>
      <c r="B34" t="str">
        <f>COMPLEX(0.0618159,0.212803)</f>
        <v>0.0618159+0.212803i</v>
      </c>
      <c r="C34" t="str">
        <f>COMPLEX(0.887708,-0.353157)</f>
        <v>0.887708-0.353157i</v>
      </c>
      <c r="D34" t="str">
        <f>COMPLEX(0.888569,-0.350985)</f>
        <v>0.888569-0.350985i</v>
      </c>
      <c r="E34" t="str">
        <f>COMPLEX(0.0620607,0.211791)</f>
        <v>0.0620607+0.211791i</v>
      </c>
      <c r="F34"/>
      <c r="G34" t="str">
        <f t="shared" si="0"/>
        <v>51.37330389891+22.993933908707i</v>
      </c>
      <c r="H34" t="str">
        <f t="shared" si="1"/>
        <v>51.4442948753175+22.9065875115142i</v>
      </c>
      <c r="N34" s="19">
        <f t="shared" si="2"/>
        <v>0.22159946367672009</v>
      </c>
      <c r="O34" s="19">
        <f t="shared" si="2"/>
        <v>0.95537707734328658</v>
      </c>
      <c r="P34" s="18">
        <f t="shared" si="3"/>
        <v>-13.088625900760499</v>
      </c>
      <c r="Q34" s="18">
        <f t="shared" si="3"/>
        <v>-0.39650366178072555</v>
      </c>
      <c r="R34" s="17">
        <f t="shared" si="5"/>
        <v>0.17782326048844038</v>
      </c>
      <c r="T34" s="17">
        <f t="shared" si="4"/>
        <v>8.9090900000000008</v>
      </c>
      <c r="U34" s="17">
        <f t="shared" si="6"/>
        <v>0.17782326048844038</v>
      </c>
      <c r="V34" s="17">
        <f t="shared" si="7"/>
        <v>1.5693713026546192</v>
      </c>
      <c r="X34" s="21">
        <f t="shared" si="8"/>
        <v>8.9090900000000008</v>
      </c>
      <c r="Y34" s="20">
        <f t="shared" si="9"/>
        <v>7.424296761157001E-2</v>
      </c>
    </row>
    <row r="35" spans="1:25" x14ac:dyDescent="0.25">
      <c r="A35">
        <v>9202020</v>
      </c>
      <c r="B35" t="str">
        <f>COMPLEX(0.0671185,0.217065)</f>
        <v>0.0671185+0.217065i</v>
      </c>
      <c r="C35" t="str">
        <f>COMPLEX(0.888121,-0.360661)</f>
        <v>0.888121-0.360661i</v>
      </c>
      <c r="D35" t="str">
        <f>COMPLEX(0.889302,-0.357739)</f>
        <v>0.889302-0.357739i</v>
      </c>
      <c r="E35" t="str">
        <f>COMPLEX(0.0663885,0.217321)</f>
        <v>0.0663885+0.217321i</v>
      </c>
      <c r="F35"/>
      <c r="G35" t="str">
        <f t="shared" si="0"/>
        <v>51.6891916611675+23.6612735786177i</v>
      </c>
      <c r="H35" t="str">
        <f t="shared" si="1"/>
        <v>51.6055403968935+23.6511842930312i</v>
      </c>
      <c r="N35" s="19">
        <f t="shared" si="2"/>
        <v>0.22720498952982968</v>
      </c>
      <c r="O35" s="19">
        <f t="shared" si="2"/>
        <v>0.95855895361839905</v>
      </c>
      <c r="P35" s="18">
        <f t="shared" si="3"/>
        <v>-12.871642710850765</v>
      </c>
      <c r="Q35" s="18">
        <f t="shared" si="3"/>
        <v>-0.3676234367551276</v>
      </c>
      <c r="R35" s="17">
        <f t="shared" si="5"/>
        <v>0.13743765430335692</v>
      </c>
      <c r="T35" s="17">
        <f t="shared" si="4"/>
        <v>9.2020199999999992</v>
      </c>
      <c r="U35" s="17">
        <f t="shared" si="6"/>
        <v>0.13743765430335692</v>
      </c>
      <c r="V35" s="17">
        <f t="shared" si="7"/>
        <v>1.5880084277241842</v>
      </c>
      <c r="X35" s="21">
        <f t="shared" si="8"/>
        <v>9.2020199999999992</v>
      </c>
      <c r="Y35" s="20">
        <f t="shared" si="9"/>
        <v>7.6664522375880007E-2</v>
      </c>
    </row>
    <row r="36" spans="1:25" x14ac:dyDescent="0.25">
      <c r="A36">
        <v>9494949</v>
      </c>
      <c r="B36" t="str">
        <f>COMPLEX(0.0717954,0.223233)</f>
        <v>0.0717954+0.223233i</v>
      </c>
      <c r="C36" t="str">
        <f>COMPLEX(0.89582,-0.370913)</f>
        <v>0.89582-0.370913i</v>
      </c>
      <c r="D36" t="str">
        <f>COMPLEX(0.887138,-0.363116)</f>
        <v>0.887138-0.363116i</v>
      </c>
      <c r="E36" t="str">
        <f>COMPLEX(0.0710125,0.222526)</f>
        <v>0.0710125+0.222526i</v>
      </c>
      <c r="F36"/>
      <c r="G36" t="str">
        <f t="shared" si="0"/>
        <v>51.844185665306+24.4935040169196i</v>
      </c>
      <c r="H36" t="str">
        <f t="shared" si="1"/>
        <v>51.802878073238+24.3854597033063i</v>
      </c>
      <c r="N36" s="19">
        <f t="shared" si="2"/>
        <v>0.23449424673147101</v>
      </c>
      <c r="O36" s="19">
        <f t="shared" si="2"/>
        <v>0.96957203237768774</v>
      </c>
      <c r="P36" s="18">
        <f t="shared" si="3"/>
        <v>-12.597356162894913</v>
      </c>
      <c r="Q36" s="18">
        <f t="shared" si="3"/>
        <v>-0.26839840726908076</v>
      </c>
      <c r="R36" s="17">
        <f t="shared" si="5"/>
        <v>2.2773700516290622E-2</v>
      </c>
      <c r="T36" s="17">
        <f t="shared" si="4"/>
        <v>9.4949490000000001</v>
      </c>
      <c r="U36" s="17">
        <f t="shared" si="6"/>
        <v>2.2773700516290622E-2</v>
      </c>
      <c r="V36" s="17">
        <f t="shared" si="7"/>
        <v>1.6126518206564378</v>
      </c>
      <c r="X36" s="21">
        <f t="shared" si="8"/>
        <v>9.4949490000000001</v>
      </c>
      <c r="Y36" s="20">
        <f t="shared" si="9"/>
        <v>7.9034584346219683E-2</v>
      </c>
    </row>
    <row r="37" spans="1:25" x14ac:dyDescent="0.25">
      <c r="A37">
        <v>9787878</v>
      </c>
      <c r="B37" t="str">
        <f>COMPLEX(0.0762471,0.228043)</f>
        <v>0.0762471+0.228043i</v>
      </c>
      <c r="C37" t="str">
        <f>COMPLEX(0.886087,-0.373377)</f>
        <v>0.886087-0.373377i</v>
      </c>
      <c r="D37" t="str">
        <f>COMPLEX(0.884892,-0.371509)</f>
        <v>0.884892-0.371509i</v>
      </c>
      <c r="E37" t="str">
        <f>COMPLEX(0.0756019,0.227775)</f>
        <v>0.0756019+0.227775i</v>
      </c>
      <c r="F37"/>
      <c r="G37" t="str">
        <f t="shared" si="0"/>
        <v>52.0357230822245+25.1891305551947i</v>
      </c>
      <c r="H37" t="str">
        <f t="shared" si="1"/>
        <v>51.9864226857075+25.1298195303918i</v>
      </c>
      <c r="N37" s="19">
        <f t="shared" si="2"/>
        <v>0.24045213683269692</v>
      </c>
      <c r="O37" s="19">
        <f t="shared" si="2"/>
        <v>0.96154071972953892</v>
      </c>
      <c r="P37" s="18">
        <f t="shared" si="3"/>
        <v>-12.379427182323294</v>
      </c>
      <c r="Q37" s="18">
        <f t="shared" si="3"/>
        <v>-0.34064638702514183</v>
      </c>
      <c r="R37" s="17">
        <f t="shared" si="5"/>
        <v>8.199796544665143E-2</v>
      </c>
      <c r="T37" s="17">
        <f t="shared" si="4"/>
        <v>9.7878779999999992</v>
      </c>
      <c r="U37" s="17">
        <f t="shared" si="6"/>
        <v>8.199796544665143E-2</v>
      </c>
      <c r="V37" s="17">
        <f t="shared" si="7"/>
        <v>1.633145450057657</v>
      </c>
      <c r="X37" s="21">
        <f t="shared" si="8"/>
        <v>9.7878779999999992</v>
      </c>
      <c r="Y37" s="20">
        <f t="shared" si="9"/>
        <v>8.1353161877134816E-2</v>
      </c>
    </row>
    <row r="38" spans="1:25" x14ac:dyDescent="0.25">
      <c r="A38">
        <v>10080808</v>
      </c>
      <c r="B38" t="str">
        <f>COMPLEX(0.0794796,0.232627)</f>
        <v>0.0794796+0.232627i</v>
      </c>
      <c r="C38" t="str">
        <f>COMPLEX(0.881642,-0.373419)</f>
        <v>0.881642-0.373419i</v>
      </c>
      <c r="D38" t="str">
        <f>COMPLEX(0.877148,-0.370071)</f>
        <v>0.877148-0.370071i</v>
      </c>
      <c r="E38" t="str">
        <f>COMPLEX(0.0787045,0.232925)</f>
        <v>0.0787045+0.232925i</v>
      </c>
      <c r="F38"/>
      <c r="G38" t="str">
        <f t="shared" si="0"/>
        <v>52.1129051398635+25.805206255039i</v>
      </c>
      <c r="H38" t="str">
        <f t="shared" si="1"/>
        <v>52.0216221976785+25.7934466741607i</v>
      </c>
      <c r="N38" s="19">
        <f t="shared" si="2"/>
        <v>0.24582987602234191</v>
      </c>
      <c r="O38" s="19">
        <f t="shared" si="2"/>
        <v>0.9574624617837505</v>
      </c>
      <c r="P38" s="18">
        <f t="shared" si="3"/>
        <v>-12.187306757455199</v>
      </c>
      <c r="Q38" s="18">
        <f t="shared" si="3"/>
        <v>-0.37756487898321373</v>
      </c>
      <c r="R38" s="17">
        <f t="shared" si="5"/>
        <v>0.10684553379658228</v>
      </c>
      <c r="T38" s="17">
        <f t="shared" si="4"/>
        <v>10.080807999999999</v>
      </c>
      <c r="U38" s="17">
        <f t="shared" si="6"/>
        <v>0.10684553379658228</v>
      </c>
      <c r="V38" s="17">
        <f t="shared" si="7"/>
        <v>1.6519215445071764</v>
      </c>
      <c r="X38" s="21">
        <f t="shared" si="8"/>
        <v>10.080807999999999</v>
      </c>
      <c r="Y38" s="20">
        <f t="shared" si="9"/>
        <v>8.3620262620140801E-2</v>
      </c>
    </row>
    <row r="39" spans="1:25" x14ac:dyDescent="0.25">
      <c r="A39">
        <v>10373737</v>
      </c>
      <c r="B39" t="str">
        <f>COMPLEX(0.0849779,0.239067)</f>
        <v>0.0849779+0.239067i</v>
      </c>
      <c r="C39" t="str">
        <f>COMPLEX(0.877039,-0.384149)</f>
        <v>0.877039-0.384149i</v>
      </c>
      <c r="D39" t="str">
        <f>COMPLEX(0.873586,-0.378447)</f>
        <v>0.873586-0.378447i</v>
      </c>
      <c r="E39" t="str">
        <f>COMPLEX(0.0840722,0.238882)</f>
        <v>0.0840722+0.238882i</v>
      </c>
      <c r="F39"/>
      <c r="G39" t="str">
        <f t="shared" si="0"/>
        <v>52.3035778689775+26.7287636554383i</v>
      </c>
      <c r="H39" t="str">
        <f t="shared" si="1"/>
        <v>52.2254145804785+26.6612843128179i</v>
      </c>
      <c r="N39" s="19">
        <f t="shared" ref="N39:O70" si="10">IMABS(B39)</f>
        <v>0.2537208583806424</v>
      </c>
      <c r="O39" s="19">
        <f t="shared" si="10"/>
        <v>0.95747995369198202</v>
      </c>
      <c r="P39" s="18">
        <f t="shared" ref="P39:Q70" si="11">20*LOG(N39)</f>
        <v>-11.912876559605795</v>
      </c>
      <c r="Q39" s="18">
        <f t="shared" si="11"/>
        <v>-0.37740619767432992</v>
      </c>
      <c r="R39" s="17">
        <f t="shared" si="5"/>
        <v>8.842774456545574E-2</v>
      </c>
      <c r="T39" s="17">
        <f t="shared" si="4"/>
        <v>10.373737</v>
      </c>
      <c r="U39" s="17">
        <f t="shared" si="6"/>
        <v>8.842774456545574E-2</v>
      </c>
      <c r="V39" s="17">
        <f t="shared" si="7"/>
        <v>1.6799623471455771</v>
      </c>
      <c r="X39" s="21">
        <f t="shared" si="8"/>
        <v>10.373737</v>
      </c>
      <c r="Y39" s="20">
        <f t="shared" si="9"/>
        <v>8.5835871096449301E-2</v>
      </c>
    </row>
    <row r="40" spans="1:25" x14ac:dyDescent="0.25">
      <c r="A40">
        <v>10666666</v>
      </c>
      <c r="B40" t="str">
        <f>COMPLEX(0.0929423,0.242709)</f>
        <v>0.0929423+0.242709i</v>
      </c>
      <c r="C40" t="str">
        <f>COMPLEX(0.900408,-0.386938)</f>
        <v>0.900408-0.386938i</v>
      </c>
      <c r="D40" t="str">
        <f>COMPLEX(0.853194,-0.385721)</f>
        <v>0.853194-0.385721i</v>
      </c>
      <c r="E40" t="str">
        <f>COMPLEX(0.0883971,0.240703)</f>
        <v>0.0883971+0.240703i</v>
      </c>
      <c r="F40"/>
      <c r="G40" t="str">
        <f t="shared" si="0"/>
        <v>52.8805131098555+27.5285976364898i</v>
      </c>
      <c r="H40" t="str">
        <f t="shared" si="1"/>
        <v>52.5473783990555+27.0769889200527i</v>
      </c>
      <c r="N40" s="19">
        <f t="shared" si="10"/>
        <v>0.25989599806516833</v>
      </c>
      <c r="O40" s="19">
        <f t="shared" si="10"/>
        <v>0.98002835791011667</v>
      </c>
      <c r="P40" s="18">
        <f t="shared" si="11"/>
        <v>-11.704008156158698</v>
      </c>
      <c r="Q40" s="18">
        <f t="shared" si="11"/>
        <v>-0.17522714929912042</v>
      </c>
      <c r="R40" s="17">
        <f t="shared" si="5"/>
        <v>-0.1284983606863469</v>
      </c>
      <c r="T40" s="17">
        <f t="shared" si="4"/>
        <v>10.666665999999999</v>
      </c>
      <c r="U40" s="17">
        <f t="shared" si="6"/>
        <v>-0.1284983606863469</v>
      </c>
      <c r="V40" s="17">
        <f t="shared" si="7"/>
        <v>1.7023229097146615</v>
      </c>
      <c r="X40" s="21">
        <f t="shared" si="8"/>
        <v>10.666665999999999</v>
      </c>
      <c r="Y40" s="20">
        <f t="shared" si="9"/>
        <v>8.7999995133333203E-2</v>
      </c>
    </row>
    <row r="41" spans="1:25" x14ac:dyDescent="0.25">
      <c r="A41">
        <v>10959595</v>
      </c>
      <c r="B41" t="str">
        <f>COMPLEX(0.0957327,0.249538)</f>
        <v>0.0957327+0.249538i</v>
      </c>
      <c r="C41" t="str">
        <f>COMPLEX(0.865196,-0.397705)</f>
        <v>0.865196-0.397705i</v>
      </c>
      <c r="D41" t="str">
        <f>COMPLEX(0.865258,-0.384422)</f>
        <v>0.865258-0.384422i</v>
      </c>
      <c r="E41" t="str">
        <f>COMPLEX(0.0948665,0.249326)</f>
        <v>0.0948665+0.249326i</v>
      </c>
      <c r="F41"/>
      <c r="G41" t="str">
        <f t="shared" si="0"/>
        <v>52.761318724361+28.3576039428161i</v>
      </c>
      <c r="H41" t="str">
        <f t="shared" si="1"/>
        <v>52.689197102625+28.2865309446717i</v>
      </c>
      <c r="N41" s="19">
        <f t="shared" si="10"/>
        <v>0.26727132897729605</v>
      </c>
      <c r="O41" s="19">
        <f t="shared" si="10"/>
        <v>0.9522254908586516</v>
      </c>
      <c r="P41" s="18">
        <f t="shared" si="11"/>
        <v>-11.460952537161916</v>
      </c>
      <c r="Q41" s="18">
        <f t="shared" si="11"/>
        <v>-0.42520393483839403</v>
      </c>
      <c r="R41" s="17">
        <f t="shared" si="5"/>
        <v>0.10333188320553335</v>
      </c>
      <c r="T41" s="17">
        <f t="shared" si="4"/>
        <v>10.959595</v>
      </c>
      <c r="U41" s="17">
        <f t="shared" si="6"/>
        <v>0.10333188320553335</v>
      </c>
      <c r="V41" s="17">
        <f t="shared" si="7"/>
        <v>1.7295233271116659</v>
      </c>
      <c r="X41" s="21">
        <f t="shared" si="8"/>
        <v>10.959595</v>
      </c>
      <c r="Y41" s="20">
        <f t="shared" si="9"/>
        <v>9.0112634730792507E-2</v>
      </c>
    </row>
    <row r="42" spans="1:25" x14ac:dyDescent="0.25">
      <c r="A42">
        <v>11252525</v>
      </c>
      <c r="B42" t="str">
        <f>COMPLEX(0.100469,0.255861)</f>
        <v>0.100469+0.255861i</v>
      </c>
      <c r="C42" t="str">
        <f>COMPLEX(0.85713,-0.401228)</f>
        <v>0.85713-0.401228i</v>
      </c>
      <c r="D42" t="str">
        <f>COMPLEX(0.855892,-0.395371)</f>
        <v>0.855892-0.395371i</v>
      </c>
      <c r="E42" t="str">
        <f>COMPLEX(0.0988308,0.2542)</f>
        <v>0.0988308+0.2542i</v>
      </c>
      <c r="F42"/>
      <c r="G42" t="str">
        <f t="shared" si="0"/>
        <v>52.848105909191+29.2539325782341i</v>
      </c>
      <c r="H42" t="str">
        <f t="shared" si="1"/>
        <v>52.7882942686495+28.9943158322441i</v>
      </c>
      <c r="N42" s="19">
        <f t="shared" si="10"/>
        <v>0.27487973967173357</v>
      </c>
      <c r="O42" s="19">
        <f t="shared" si="10"/>
        <v>0.94639090490346522</v>
      </c>
      <c r="P42" s="18">
        <f t="shared" si="11"/>
        <v>-11.217145383052641</v>
      </c>
      <c r="Q42" s="18">
        <f t="shared" si="11"/>
        <v>-0.47858884117009198</v>
      </c>
      <c r="R42" s="17">
        <f t="shared" si="5"/>
        <v>0.13738143271469902</v>
      </c>
      <c r="T42" s="17">
        <f t="shared" si="4"/>
        <v>11.252525</v>
      </c>
      <c r="U42" s="17">
        <f t="shared" si="6"/>
        <v>0.13738143271469902</v>
      </c>
      <c r="V42" s="17">
        <f t="shared" si="7"/>
        <v>1.7581631757118295</v>
      </c>
      <c r="X42" s="21">
        <f t="shared" si="8"/>
        <v>11.252525</v>
      </c>
      <c r="Y42" s="20">
        <f t="shared" si="9"/>
        <v>9.2173796837312499E-2</v>
      </c>
    </row>
    <row r="43" spans="1:25" x14ac:dyDescent="0.25">
      <c r="A43">
        <v>11545454</v>
      </c>
      <c r="B43" t="str">
        <f>COMPLEX(0.104857,0.25919)</f>
        <v>0.104857+0.25919i</v>
      </c>
      <c r="C43" t="str">
        <f>COMPLEX(0.849169,-0.391834)</f>
        <v>0.849169-0.391834i</v>
      </c>
      <c r="D43" t="str">
        <f>COMPLEX(0.849561,-0.390983)</f>
        <v>0.849561-0.390983i</v>
      </c>
      <c r="E43" t="str">
        <f>COMPLEX(0.104419,0.259382)</f>
        <v>0.104419+0.259382i</v>
      </c>
      <c r="F43"/>
      <c r="G43" t="str">
        <f t="shared" si="0"/>
        <v>53.072397085789+29.8447673731076i</v>
      </c>
      <c r="H43" t="str">
        <f t="shared" si="1"/>
        <v>53.0179813707355+29.8365084162171i</v>
      </c>
      <c r="N43" s="19">
        <f t="shared" si="10"/>
        <v>0.27959693587197981</v>
      </c>
      <c r="O43" s="19">
        <f t="shared" si="10"/>
        <v>0.93521220806670402</v>
      </c>
      <c r="P43" s="18">
        <f t="shared" si="11"/>
        <v>-11.069351847452932</v>
      </c>
      <c r="Q43" s="18">
        <f t="shared" si="11"/>
        <v>-0.58179665237772249</v>
      </c>
      <c r="R43" s="17">
        <f t="shared" si="5"/>
        <v>0.22828408046608298</v>
      </c>
      <c r="T43" s="17">
        <f t="shared" si="4"/>
        <v>11.545453999999999</v>
      </c>
      <c r="U43" s="17">
        <f t="shared" si="6"/>
        <v>0.22828408046608298</v>
      </c>
      <c r="V43" s="17">
        <f t="shared" si="7"/>
        <v>1.7762236164567278</v>
      </c>
      <c r="X43" s="21">
        <f t="shared" si="8"/>
        <v>11.545453999999999</v>
      </c>
      <c r="Y43" s="20">
        <f t="shared" si="9"/>
        <v>9.4183467380165198E-2</v>
      </c>
    </row>
    <row r="44" spans="1:25" x14ac:dyDescent="0.25">
      <c r="A44">
        <v>11838383</v>
      </c>
      <c r="B44" t="str">
        <f>COMPLEX(0.111104,0.26453)</f>
        <v>0.111104+0.26453i</v>
      </c>
      <c r="C44" t="str">
        <f>COMPLEX(0.850318,-0.407143)</f>
        <v>0.850318-0.407143i</v>
      </c>
      <c r="D44" t="str">
        <f>COMPLEX(0.849764,-0.399967)</f>
        <v>0.849764-0.399967i</v>
      </c>
      <c r="E44" t="str">
        <f>COMPLEX(0.110114,0.263735)</f>
        <v>0.110114+0.263735i</v>
      </c>
      <c r="F44"/>
      <c r="G44" t="str">
        <f t="shared" si="0"/>
        <v>53.3465145156875+30.7552891281262i</v>
      </c>
      <c r="H44" t="str">
        <f t="shared" si="1"/>
        <v>53.3005571692655+30.6151264825339i</v>
      </c>
      <c r="N44" s="19">
        <f t="shared" si="10"/>
        <v>0.28691500434100686</v>
      </c>
      <c r="O44" s="19">
        <f t="shared" si="10"/>
        <v>0.94276514762320307</v>
      </c>
      <c r="P44" s="18">
        <f t="shared" si="11"/>
        <v>-10.844934790945175</v>
      </c>
      <c r="Q44" s="18">
        <f t="shared" si="11"/>
        <v>-0.51192961915071267</v>
      </c>
      <c r="R44" s="17">
        <f t="shared" si="5"/>
        <v>0.13884124688579458</v>
      </c>
      <c r="T44" s="17">
        <f t="shared" si="4"/>
        <v>11.838383</v>
      </c>
      <c r="U44" s="17">
        <f t="shared" si="6"/>
        <v>0.13884124688579458</v>
      </c>
      <c r="V44" s="17">
        <f t="shared" si="7"/>
        <v>1.8047147425275893</v>
      </c>
      <c r="X44" s="21">
        <f t="shared" si="8"/>
        <v>11.838383</v>
      </c>
      <c r="Y44" s="20">
        <f t="shared" si="9"/>
        <v>9.6141653483593298E-2</v>
      </c>
    </row>
    <row r="45" spans="1:25" x14ac:dyDescent="0.25">
      <c r="A45">
        <v>12131313</v>
      </c>
      <c r="B45" t="str">
        <f>COMPLEX(0.115133,0.270305)</f>
        <v>0.115133+0.270305i</v>
      </c>
      <c r="C45" t="str">
        <f>COMPLEX(0.844555,-0.414915)</f>
        <v>0.844555-0.414915i</v>
      </c>
      <c r="D45" t="str">
        <f>COMPLEX(0.846346,-0.407141)</f>
        <v>0.846346-0.407141i</v>
      </c>
      <c r="E45" t="str">
        <f>COMPLEX(0.114347,0.26939)</f>
        <v>0.114347+0.26939i</v>
      </c>
      <c r="F45"/>
      <c r="G45" t="str">
        <f t="shared" si="0"/>
        <v>53.3657439599595+31.5756802108078i</v>
      </c>
      <c r="H45" t="str">
        <f t="shared" si="1"/>
        <v>53.3491706078845+31.4358253966937i</v>
      </c>
      <c r="N45" s="19">
        <f t="shared" si="10"/>
        <v>0.29380333679861437</v>
      </c>
      <c r="O45" s="19">
        <f t="shared" si="10"/>
        <v>0.94097162829173542</v>
      </c>
      <c r="P45" s="18">
        <f t="shared" si="11"/>
        <v>-10.638865522515232</v>
      </c>
      <c r="Q45" s="18">
        <f t="shared" si="11"/>
        <v>-0.52846942012857356</v>
      </c>
      <c r="R45" s="17">
        <f t="shared" si="5"/>
        <v>0.13640870069610306</v>
      </c>
      <c r="T45" s="17">
        <f t="shared" si="4"/>
        <v>12.131313</v>
      </c>
      <c r="U45" s="17">
        <f t="shared" si="6"/>
        <v>0.13640870069610306</v>
      </c>
      <c r="V45" s="17">
        <f t="shared" si="7"/>
        <v>1.8320722883813192</v>
      </c>
      <c r="X45" s="21">
        <f t="shared" si="8"/>
        <v>12.131313</v>
      </c>
      <c r="Y45" s="20">
        <f t="shared" si="9"/>
        <v>9.8048361568809306E-2</v>
      </c>
    </row>
    <row r="46" spans="1:25" x14ac:dyDescent="0.25">
      <c r="A46">
        <v>12424242</v>
      </c>
      <c r="B46" t="str">
        <f>COMPLEX(0.121196,0.274079)</f>
        <v>0.121196+0.274079i</v>
      </c>
      <c r="C46" t="str">
        <f>COMPLEX(0.837908,-0.418719)</f>
        <v>0.837908-0.418719i</v>
      </c>
      <c r="D46" t="str">
        <f>COMPLEX(0.837684,-0.41116)</f>
        <v>0.837684-0.41116i</v>
      </c>
      <c r="E46" t="str">
        <f>COMPLEX(0.119922,0.273375)</f>
        <v>0.119922+0.273375i</v>
      </c>
      <c r="F46"/>
      <c r="G46" t="str">
        <f t="shared" si="0"/>
        <v>53.7039942498055+32.3429195133299i</v>
      </c>
      <c r="H46" t="str">
        <f t="shared" si="1"/>
        <v>53.627442463122+32.1893651282682i</v>
      </c>
      <c r="N46" s="19">
        <f t="shared" si="10"/>
        <v>0.29967944316719497</v>
      </c>
      <c r="O46" s="19">
        <f t="shared" si="10"/>
        <v>0.93670455183318069</v>
      </c>
      <c r="P46" s="18">
        <f t="shared" si="11"/>
        <v>-10.466860938567844</v>
      </c>
      <c r="Q46" s="18">
        <f t="shared" si="11"/>
        <v>-0.56794738698140235</v>
      </c>
      <c r="R46" s="17">
        <f t="shared" si="5"/>
        <v>0.15927863101578293</v>
      </c>
      <c r="T46" s="17">
        <f t="shared" si="4"/>
        <v>12.424242</v>
      </c>
      <c r="U46" s="17">
        <f t="shared" si="6"/>
        <v>0.15927863101578293</v>
      </c>
      <c r="V46" s="17">
        <f t="shared" si="7"/>
        <v>1.8558350607969962</v>
      </c>
      <c r="X46" s="21">
        <f t="shared" si="8"/>
        <v>12.424242</v>
      </c>
      <c r="Y46" s="20">
        <f t="shared" si="9"/>
        <v>9.99035786176308E-2</v>
      </c>
    </row>
    <row r="47" spans="1:25" x14ac:dyDescent="0.25">
      <c r="A47">
        <v>12717171</v>
      </c>
      <c r="B47" t="str">
        <f>COMPLEX(0.125072,0.279484)</f>
        <v>0.125072+0.279484i</v>
      </c>
      <c r="C47" t="str">
        <f>COMPLEX(0.83484,-0.413994)</f>
        <v>0.83484-0.413994i</v>
      </c>
      <c r="D47" t="str">
        <f>COMPLEX(0.832494,-0.41076)</f>
        <v>0.832494-0.41076i</v>
      </c>
      <c r="E47" t="str">
        <f>COMPLEX(0.124015,0.278652)</f>
        <v>0.124015+0.278652i</v>
      </c>
      <c r="F47"/>
      <c r="G47" t="str">
        <f t="shared" si="0"/>
        <v>53.712340654839+33.1295144464196i</v>
      </c>
      <c r="H47" t="str">
        <f t="shared" si="1"/>
        <v>53.6672739947815+32.9766984973417i</v>
      </c>
      <c r="N47" s="19">
        <f t="shared" si="10"/>
        <v>0.30619325831899041</v>
      </c>
      <c r="O47" s="19">
        <f t="shared" si="10"/>
        <v>0.93185237974477475</v>
      </c>
      <c r="P47" s="18">
        <f t="shared" si="11"/>
        <v>-10.280087514237426</v>
      </c>
      <c r="Q47" s="18">
        <f t="shared" si="11"/>
        <v>-0.61305762717076395</v>
      </c>
      <c r="R47" s="17">
        <f t="shared" si="5"/>
        <v>0.18551716156479489</v>
      </c>
      <c r="T47" s="17">
        <f t="shared" si="4"/>
        <v>12.717171</v>
      </c>
      <c r="U47" s="17">
        <f t="shared" si="6"/>
        <v>0.18551716156479489</v>
      </c>
      <c r="V47" s="17">
        <f t="shared" si="7"/>
        <v>1.8826471117219796</v>
      </c>
      <c r="X47" s="21">
        <f t="shared" si="8"/>
        <v>12.717171</v>
      </c>
      <c r="Y47" s="20">
        <f t="shared" si="9"/>
        <v>0.10170731122702772</v>
      </c>
    </row>
    <row r="48" spans="1:25" x14ac:dyDescent="0.25">
      <c r="A48">
        <v>13010101</v>
      </c>
      <c r="B48" t="str">
        <f>COMPLEX(0.131144,0.283422)</f>
        <v>0.131144+0.283422i</v>
      </c>
      <c r="C48" t="str">
        <f>COMPLEX(0.835948,-0.419286)</f>
        <v>0.835948-0.419286i</v>
      </c>
      <c r="D48" t="str">
        <f>COMPLEX(0.833721,-0.419759)</f>
        <v>0.833721-0.419759i</v>
      </c>
      <c r="E48" t="str">
        <f>COMPLEX(0.131101,0.282758)</f>
        <v>0.131101+0.282758i</v>
      </c>
      <c r="F48"/>
      <c r="G48" t="str">
        <f t="shared" si="0"/>
        <v>54.0248635518925+33.9330509055638i</v>
      </c>
      <c r="H48" t="str">
        <f t="shared" si="1"/>
        <v>54.0675426417795+33.8657660122803i</v>
      </c>
      <c r="N48" s="19">
        <f t="shared" si="10"/>
        <v>0.31229277740607453</v>
      </c>
      <c r="O48" s="19">
        <f t="shared" si="10"/>
        <v>0.93520575730691469</v>
      </c>
      <c r="P48" s="18">
        <f t="shared" si="11"/>
        <v>-10.108761197173754</v>
      </c>
      <c r="Q48" s="18">
        <f t="shared" si="11"/>
        <v>-0.58185656474880676</v>
      </c>
      <c r="R48" s="17">
        <f t="shared" si="5"/>
        <v>0.13619980552519254</v>
      </c>
      <c r="T48" s="17">
        <f t="shared" si="4"/>
        <v>13.010101000000001</v>
      </c>
      <c r="U48" s="17">
        <f t="shared" si="6"/>
        <v>0.13619980552519254</v>
      </c>
      <c r="V48" s="17">
        <f t="shared" si="7"/>
        <v>1.9082143305930519</v>
      </c>
      <c r="X48" s="21">
        <f t="shared" si="8"/>
        <v>13.010101000000001</v>
      </c>
      <c r="Y48" s="20">
        <f t="shared" si="9"/>
        <v>0.10345956529093972</v>
      </c>
    </row>
    <row r="49" spans="1:25" x14ac:dyDescent="0.25">
      <c r="A49">
        <v>13303030</v>
      </c>
      <c r="B49" t="str">
        <f>COMPLEX(0.138478,0.288061)</f>
        <v>0.138478+0.288061i</v>
      </c>
      <c r="C49" t="str">
        <f>COMPLEX(0.821816,-0.435077)</f>
        <v>0.821816-0.435077i</v>
      </c>
      <c r="D49" t="str">
        <f>COMPLEX(0.826634,-0.425854)</f>
        <v>0.826634-0.425854i</v>
      </c>
      <c r="E49" t="str">
        <f>COMPLEX(0.137352,0.287227)</f>
        <v>0.137352+0.287227i</v>
      </c>
      <c r="F49"/>
      <c r="G49" t="str">
        <f t="shared" si="0"/>
        <v>54.401688654128+34.9080520699376i</v>
      </c>
      <c r="H49" t="str">
        <f t="shared" si="1"/>
        <v>54.353305888056+34.7454430895436i</v>
      </c>
      <c r="N49" s="19">
        <f t="shared" si="10"/>
        <v>0.31961742162310242</v>
      </c>
      <c r="O49" s="19">
        <f t="shared" si="10"/>
        <v>0.9298782359992086</v>
      </c>
      <c r="P49" s="18">
        <f t="shared" si="11"/>
        <v>-9.9073911260489389</v>
      </c>
      <c r="Q49" s="18">
        <f t="shared" si="11"/>
        <v>-0.63147833850834834</v>
      </c>
      <c r="R49" s="17">
        <f t="shared" si="5"/>
        <v>0.16349059028913426</v>
      </c>
      <c r="T49" s="17">
        <f t="shared" si="4"/>
        <v>13.30303</v>
      </c>
      <c r="U49" s="17">
        <f t="shared" si="6"/>
        <v>0.16349059028913426</v>
      </c>
      <c r="V49" s="17">
        <f t="shared" si="7"/>
        <v>1.9395226502876461</v>
      </c>
      <c r="X49" s="21">
        <f t="shared" si="8"/>
        <v>13.30303</v>
      </c>
      <c r="Y49" s="20">
        <f t="shared" si="9"/>
        <v>0.10516032884573001</v>
      </c>
    </row>
    <row r="50" spans="1:25" x14ac:dyDescent="0.25">
      <c r="A50">
        <v>13595959</v>
      </c>
      <c r="B50" t="str">
        <f>COMPLEX(0.142857,0.291739)</f>
        <v>0.142857+0.291739i</v>
      </c>
      <c r="C50" t="str">
        <f>COMPLEX(0.82295,-0.432262)</f>
        <v>0.82295-0.432262i</v>
      </c>
      <c r="D50" t="str">
        <f>COMPLEX(0.821852,-0.426738)</f>
        <v>0.821852-0.426738i</v>
      </c>
      <c r="E50" t="str">
        <f>COMPLEX(0.142565,0.291171)</f>
        <v>0.142565+0.291171i</v>
      </c>
      <c r="F50"/>
      <c r="G50" t="str">
        <f t="shared" si="0"/>
        <v>54.554399950883+35.5863561707564i</v>
      </c>
      <c r="H50" t="str">
        <f t="shared" si="1"/>
        <v>54.568389821278+35.5097268395288i</v>
      </c>
      <c r="N50" s="19">
        <f t="shared" si="10"/>
        <v>0.32483806207093407</v>
      </c>
      <c r="O50" s="19">
        <f t="shared" si="10"/>
        <v>0.92956825416103783</v>
      </c>
      <c r="P50" s="18">
        <f t="shared" si="11"/>
        <v>-9.7666617820347508</v>
      </c>
      <c r="Q50" s="18">
        <f t="shared" si="11"/>
        <v>-0.6343743272612874</v>
      </c>
      <c r="R50" s="17">
        <f t="shared" si="5"/>
        <v>0.15008180528203097</v>
      </c>
      <c r="T50" s="17">
        <f t="shared" si="4"/>
        <v>13.595959000000001</v>
      </c>
      <c r="U50" s="17">
        <f t="shared" si="6"/>
        <v>0.15008180528203097</v>
      </c>
      <c r="V50" s="17">
        <f t="shared" si="7"/>
        <v>1.962252294811863</v>
      </c>
      <c r="X50" s="21">
        <f t="shared" si="8"/>
        <v>13.595959000000001</v>
      </c>
      <c r="Y50" s="20">
        <f t="shared" si="9"/>
        <v>0.1068096079610957</v>
      </c>
    </row>
    <row r="51" spans="1:25" x14ac:dyDescent="0.25">
      <c r="A51">
        <v>13888888</v>
      </c>
      <c r="B51" t="str">
        <f>COMPLEX(0.149381,0.296312)</f>
        <v>0.149381+0.296312i</v>
      </c>
      <c r="C51" t="str">
        <f>COMPLEX(0.817749,-0.435998)</f>
        <v>0.817749-0.435998i</v>
      </c>
      <c r="D51" t="str">
        <f>COMPLEX(0.813083,-0.429802)</f>
        <v>0.813083-0.429802i</v>
      </c>
      <c r="E51" t="str">
        <f>COMPLEX(0.14908,0.295735)</f>
        <v>0.14908+0.295735i</v>
      </c>
      <c r="F51"/>
      <c r="G51" t="str">
        <f t="shared" si="0"/>
        <v>54.8395078402795+36.5207034490987i</v>
      </c>
      <c r="H51" t="str">
        <f t="shared" si="1"/>
        <v>54.8545651880925+36.4419273679083i</v>
      </c>
      <c r="N51" s="19">
        <f t="shared" si="10"/>
        <v>0.33183653280644076</v>
      </c>
      <c r="O51" s="19">
        <f t="shared" si="10"/>
        <v>0.92671877233872846</v>
      </c>
      <c r="P51" s="18">
        <f t="shared" si="11"/>
        <v>-9.5815160598529463</v>
      </c>
      <c r="Q51" s="18">
        <f t="shared" si="11"/>
        <v>-0.66104078963606017</v>
      </c>
      <c r="R51" s="17">
        <f t="shared" si="5"/>
        <v>0.15437728824805444</v>
      </c>
      <c r="T51" s="17">
        <f t="shared" si="4"/>
        <v>13.888888</v>
      </c>
      <c r="U51" s="17">
        <f t="shared" si="6"/>
        <v>0.15437728824805444</v>
      </c>
      <c r="V51" s="17">
        <f t="shared" si="7"/>
        <v>1.9932794865311352</v>
      </c>
      <c r="X51" s="21">
        <f t="shared" si="8"/>
        <v>13.888888</v>
      </c>
      <c r="Y51" s="20">
        <f t="shared" si="9"/>
        <v>0.10840740263703683</v>
      </c>
    </row>
    <row r="52" spans="1:25" x14ac:dyDescent="0.25">
      <c r="A52">
        <v>14181818</v>
      </c>
      <c r="B52" t="str">
        <f>COMPLEX(0.155194,0.300291)</f>
        <v>0.155194+0.300291i</v>
      </c>
      <c r="C52" t="str">
        <f>COMPLEX(0.807882,-0.448229)</f>
        <v>0.807882-0.448229i</v>
      </c>
      <c r="D52" t="str">
        <f>COMPLEX(0.808817,-0.435553)</f>
        <v>0.808817-0.435553i</v>
      </c>
      <c r="E52" t="str">
        <f>COMPLEX(0.153728,0.299578)</f>
        <v>0.153728+0.299578i</v>
      </c>
      <c r="F52"/>
      <c r="G52" t="str">
        <f t="shared" si="0"/>
        <v>55.0921222152265+37.3555804198037i</v>
      </c>
      <c r="H52" t="str">
        <f t="shared" si="1"/>
        <v>55.0065217285765+37.1720247939238i</v>
      </c>
      <c r="N52" s="19">
        <f t="shared" si="10"/>
        <v>0.33802346415152895</v>
      </c>
      <c r="O52" s="19">
        <f t="shared" si="10"/>
        <v>0.92389532002548858</v>
      </c>
      <c r="P52" s="18">
        <f t="shared" si="11"/>
        <v>-9.4210630359949548</v>
      </c>
      <c r="Q52" s="18">
        <f t="shared" si="11"/>
        <v>-0.68754465591566416</v>
      </c>
      <c r="R52" s="17">
        <f t="shared" si="5"/>
        <v>0.16060790950495926</v>
      </c>
      <c r="T52" s="17">
        <f t="shared" si="4"/>
        <v>14.181818</v>
      </c>
      <c r="U52" s="17">
        <f t="shared" si="6"/>
        <v>0.16060790950495926</v>
      </c>
      <c r="V52" s="17">
        <f t="shared" si="7"/>
        <v>2.0212551226404911</v>
      </c>
      <c r="X52" s="21">
        <f t="shared" si="8"/>
        <v>14.181818</v>
      </c>
      <c r="Y52" s="20">
        <f t="shared" si="9"/>
        <v>0.10995371806446283</v>
      </c>
    </row>
    <row r="53" spans="1:25" x14ac:dyDescent="0.25">
      <c r="A53">
        <v>14474747</v>
      </c>
      <c r="B53" t="str">
        <f>COMPLEX(0.160087,0.302791)</f>
        <v>0.160087+0.302791i</v>
      </c>
      <c r="C53" t="str">
        <f>COMPLEX(0.806163,-0.446621)</f>
        <v>0.806163-0.446621i</v>
      </c>
      <c r="D53" t="str">
        <f>COMPLEX(0.801107,-0.441319)</f>
        <v>0.801107-0.441319i</v>
      </c>
      <c r="E53" t="str">
        <f>COMPLEX(0.159107,0.303338)</f>
        <v>0.159107+0.303338i</v>
      </c>
      <c r="F53"/>
      <c r="G53" t="str">
        <f t="shared" si="0"/>
        <v>55.3663051246515+37.9848494963149i</v>
      </c>
      <c r="H53" t="str">
        <f t="shared" si="1"/>
        <v>55.228036186113+37.9592433765333i</v>
      </c>
      <c r="N53" s="19">
        <f t="shared" si="10"/>
        <v>0.34250582075345809</v>
      </c>
      <c r="O53" s="19">
        <f t="shared" si="10"/>
        <v>0.92161222876543902</v>
      </c>
      <c r="P53" s="18">
        <f t="shared" si="11"/>
        <v>-9.3066408688543696</v>
      </c>
      <c r="Q53" s="18">
        <f t="shared" si="11"/>
        <v>-0.70903542559357113</v>
      </c>
      <c r="R53" s="17">
        <f t="shared" si="5"/>
        <v>0.16711632319951999</v>
      </c>
      <c r="T53" s="17">
        <f t="shared" si="4"/>
        <v>14.474747000000001</v>
      </c>
      <c r="U53" s="17">
        <f t="shared" si="6"/>
        <v>0.16711632319951999</v>
      </c>
      <c r="V53" s="17">
        <f t="shared" si="7"/>
        <v>2.0418520241379294</v>
      </c>
      <c r="X53" s="21">
        <f t="shared" si="8"/>
        <v>14.474747000000001</v>
      </c>
      <c r="Y53" s="20">
        <f t="shared" si="9"/>
        <v>0.11144854368579732</v>
      </c>
    </row>
    <row r="54" spans="1:25" x14ac:dyDescent="0.25">
      <c r="A54">
        <v>14767676</v>
      </c>
      <c r="B54" t="str">
        <f>COMPLEX(0.167154,0.307422)</f>
        <v>0.167154+0.307422i</v>
      </c>
      <c r="C54" t="str">
        <f>COMPLEX(0.805545,-0.454532)</f>
        <v>0.805545-0.454532i</v>
      </c>
      <c r="D54" t="str">
        <f>COMPLEX(0.800379,-0.442241)</f>
        <v>0.800379-0.442241i</v>
      </c>
      <c r="E54" t="str">
        <f>COMPLEX(0.166263,0.306355)</f>
        <v>0.166263+0.306355i</v>
      </c>
      <c r="F54"/>
      <c r="G54" t="str">
        <f t="shared" si="0"/>
        <v>55.6722424818455+39.0059772494i</v>
      </c>
      <c r="H54" t="str">
        <f t="shared" si="1"/>
        <v>55.6740034536705+38.8297020859687i</v>
      </c>
      <c r="N54" s="19">
        <f t="shared" si="10"/>
        <v>0.34992677205381129</v>
      </c>
      <c r="O54" s="19">
        <f t="shared" si="10"/>
        <v>0.92493355764022311</v>
      </c>
      <c r="P54" s="18">
        <f t="shared" si="11"/>
        <v>-9.1204565884411597</v>
      </c>
      <c r="Q54" s="18">
        <f t="shared" si="11"/>
        <v>-0.67778927141624212</v>
      </c>
      <c r="R54" s="17">
        <f t="shared" si="5"/>
        <v>0.11051418394791604</v>
      </c>
      <c r="T54" s="17">
        <f t="shared" si="4"/>
        <v>14.767676</v>
      </c>
      <c r="U54" s="17">
        <f t="shared" si="6"/>
        <v>0.11051418394791604</v>
      </c>
      <c r="V54" s="17">
        <f t="shared" si="7"/>
        <v>2.0765764748053193</v>
      </c>
      <c r="X54" s="21">
        <f t="shared" si="8"/>
        <v>14.767676</v>
      </c>
      <c r="Y54" s="20">
        <f t="shared" si="9"/>
        <v>0.11289188486770721</v>
      </c>
    </row>
    <row r="55" spans="1:25" x14ac:dyDescent="0.25">
      <c r="A55">
        <v>15060606</v>
      </c>
      <c r="B55" t="str">
        <f>COMPLEX(0.173559,0.311639)</f>
        <v>0.173559+0.311639i</v>
      </c>
      <c r="C55" t="str">
        <f>COMPLEX(0.796025,-0.450013)</f>
        <v>0.796025-0.450013i</v>
      </c>
      <c r="D55" t="str">
        <f>COMPLEX(0.797315,-0.447723)</f>
        <v>0.797315-0.447723i</v>
      </c>
      <c r="E55" t="str">
        <f>COMPLEX(0.17224,0.30999)</f>
        <v>0.17224+0.30999i</v>
      </c>
      <c r="F55"/>
      <c r="G55" t="str">
        <f t="shared" si="0"/>
        <v>55.9371883667355+39.9473881927701i</v>
      </c>
      <c r="H55" t="str">
        <f t="shared" si="1"/>
        <v>55.9491549061+39.6771751828332i</v>
      </c>
      <c r="N55" s="19">
        <f t="shared" si="10"/>
        <v>0.35670939544957314</v>
      </c>
      <c r="O55" s="19">
        <f t="shared" si="10"/>
        <v>0.91442194898963347</v>
      </c>
      <c r="P55" s="18">
        <f t="shared" si="11"/>
        <v>-8.9537090306051113</v>
      </c>
      <c r="Q55" s="18">
        <f t="shared" si="11"/>
        <v>-0.77706716120830566</v>
      </c>
      <c r="R55" s="17">
        <f t="shared" si="5"/>
        <v>0.1860075714427277</v>
      </c>
      <c r="T55" s="17">
        <f t="shared" si="4"/>
        <v>15.060606</v>
      </c>
      <c r="U55" s="17">
        <f t="shared" si="6"/>
        <v>0.1860075714427277</v>
      </c>
      <c r="V55" s="17">
        <f t="shared" si="7"/>
        <v>2.1090147840690592</v>
      </c>
      <c r="X55" s="21">
        <f t="shared" si="8"/>
        <v>15.060606</v>
      </c>
      <c r="Y55" s="20">
        <f t="shared" si="9"/>
        <v>0.11428374627382923</v>
      </c>
    </row>
    <row r="56" spans="1:25" x14ac:dyDescent="0.25">
      <c r="A56">
        <v>15353535</v>
      </c>
      <c r="B56" t="str">
        <f>COMPLEX(0.180658,0.312669)</f>
        <v>0.180658+0.312669i</v>
      </c>
      <c r="C56" t="str">
        <f>COMPLEX(0.790034,-0.456971)</f>
        <v>0.790034-0.456971i</v>
      </c>
      <c r="D56" t="str">
        <f>COMPLEX(0.789343,-0.451214)</f>
        <v>0.789343-0.451214i</v>
      </c>
      <c r="E56" t="str">
        <f>COMPLEX(0.179151,0.312756)</f>
        <v>0.179151+0.312756i</v>
      </c>
      <c r="F56"/>
      <c r="G56" t="str">
        <f t="shared" si="0"/>
        <v>56.534895365691+40.6547683373918i</v>
      </c>
      <c r="H56" t="str">
        <f t="shared" si="1"/>
        <v>56.3814157651205+40.532943414728i</v>
      </c>
      <c r="N56" s="19">
        <f t="shared" si="10"/>
        <v>0.36110831688705258</v>
      </c>
      <c r="O56" s="19">
        <f t="shared" si="10"/>
        <v>0.9126753069942235</v>
      </c>
      <c r="P56" s="18">
        <f t="shared" si="11"/>
        <v>-8.8472501795909402</v>
      </c>
      <c r="Q56" s="18">
        <f t="shared" si="11"/>
        <v>-0.79367398843782544</v>
      </c>
      <c r="R56" s="17">
        <f t="shared" si="5"/>
        <v>0.18687321203892704</v>
      </c>
      <c r="T56" s="17">
        <f t="shared" si="4"/>
        <v>15.353535000000001</v>
      </c>
      <c r="U56" s="17">
        <f t="shared" si="6"/>
        <v>0.18687321203892704</v>
      </c>
      <c r="V56" s="17">
        <f t="shared" si="7"/>
        <v>2.1304210914988966</v>
      </c>
      <c r="X56" s="21">
        <f t="shared" si="8"/>
        <v>15.353535000000001</v>
      </c>
      <c r="Y56" s="20">
        <f t="shared" si="9"/>
        <v>0.11562411840113251</v>
      </c>
    </row>
    <row r="57" spans="1:25" x14ac:dyDescent="0.25">
      <c r="A57">
        <v>15646464</v>
      </c>
      <c r="B57" t="str">
        <f>COMPLEX(0.18594,0.315779)</f>
        <v>0.18594+0.315779i</v>
      </c>
      <c r="C57" t="str">
        <f>COMPLEX(0.787652,-0.4576)</f>
        <v>0.787652-0.4576i</v>
      </c>
      <c r="D57" t="str">
        <f>COMPLEX(0.787006,-0.451796)</f>
        <v>0.787006-0.451796i</v>
      </c>
      <c r="E57" t="str">
        <f>COMPLEX(0.185579,0.315159)</f>
        <v>0.185579+0.315159i</v>
      </c>
      <c r="F57"/>
      <c r="G57" t="str">
        <f t="shared" si="0"/>
        <v>56.7745616485075+41.4185248050563i</v>
      </c>
      <c r="H57" t="str">
        <f t="shared" si="1"/>
        <v>56.794358791487+41.3265415827517i</v>
      </c>
      <c r="N57" s="19">
        <f t="shared" si="10"/>
        <v>0.36645608255424006</v>
      </c>
      <c r="O57" s="19">
        <f t="shared" si="10"/>
        <v>0.91092998254750623</v>
      </c>
      <c r="P57" s="18">
        <f t="shared" si="11"/>
        <v>-8.7195613070711282</v>
      </c>
      <c r="Q57" s="18">
        <f t="shared" si="11"/>
        <v>-0.81030006453275083</v>
      </c>
      <c r="R57" s="17">
        <f t="shared" si="5"/>
        <v>0.18402410306299138</v>
      </c>
      <c r="T57" s="17">
        <f t="shared" si="4"/>
        <v>15.646464</v>
      </c>
      <c r="U57" s="17">
        <f t="shared" si="6"/>
        <v>0.18402410306299138</v>
      </c>
      <c r="V57" s="17">
        <f t="shared" si="7"/>
        <v>2.156845081968966</v>
      </c>
      <c r="X57" s="21">
        <f t="shared" si="8"/>
        <v>15.646464</v>
      </c>
      <c r="Y57" s="20">
        <f t="shared" si="9"/>
        <v>0.11691300608901123</v>
      </c>
    </row>
    <row r="58" spans="1:25" x14ac:dyDescent="0.25">
      <c r="A58">
        <v>15939393</v>
      </c>
      <c r="B58" t="str">
        <f>COMPLEX(0.19268,0.317946)</f>
        <v>0.19268+0.317946i</v>
      </c>
      <c r="C58" t="str">
        <f>COMPLEX(0.77985,-0.459199)</f>
        <v>0.77985-0.459199i</v>
      </c>
      <c r="D58" t="str">
        <f>COMPLEX(0.775992,-0.45559)</f>
        <v>0.775992-0.45559i</v>
      </c>
      <c r="E58" t="str">
        <f>COMPLEX(0.19117,0.318043)</f>
        <v>0.19117+0.318043i</v>
      </c>
      <c r="F58"/>
      <c r="G58" t="str">
        <f t="shared" si="0"/>
        <v>57.2344264468155+42.2320231767566i</v>
      </c>
      <c r="H58" t="str">
        <f t="shared" si="1"/>
        <v>57.0791240018115+42.1049736470063i</v>
      </c>
      <c r="N58" s="19">
        <f t="shared" si="10"/>
        <v>0.37177310461624308</v>
      </c>
      <c r="O58" s="19">
        <f t="shared" si="10"/>
        <v>0.90500262104648077</v>
      </c>
      <c r="P58" s="18">
        <f t="shared" si="11"/>
        <v>-8.5944406365889723</v>
      </c>
      <c r="Q58" s="18">
        <f t="shared" si="11"/>
        <v>-0.86700325999814265</v>
      </c>
      <c r="R58" s="17">
        <f t="shared" si="5"/>
        <v>0.22099134993323188</v>
      </c>
      <c r="T58" s="17">
        <f t="shared" si="4"/>
        <v>15.939393000000001</v>
      </c>
      <c r="U58" s="17">
        <f t="shared" si="6"/>
        <v>0.22099134993323188</v>
      </c>
      <c r="V58" s="17">
        <f t="shared" si="7"/>
        <v>2.1835631595783331</v>
      </c>
      <c r="X58" s="21">
        <f t="shared" si="8"/>
        <v>15.939393000000001</v>
      </c>
      <c r="Y58" s="20">
        <f t="shared" si="9"/>
        <v>0.11815040933746532</v>
      </c>
    </row>
    <row r="59" spans="1:25" x14ac:dyDescent="0.25">
      <c r="A59">
        <v>16232323</v>
      </c>
      <c r="B59" t="str">
        <f>COMPLEX(0.199313,0.32253)</f>
        <v>0.199313+0.32253i</v>
      </c>
      <c r="C59" t="str">
        <f>COMPLEX(0.778413,-0.463365)</f>
        <v>0.778413-0.463365i</v>
      </c>
      <c r="D59" t="str">
        <f>COMPLEX(0.779491,-0.458158)</f>
        <v>0.779491-0.458158i</v>
      </c>
      <c r="E59" t="str">
        <f>COMPLEX(0.197783,0.322638)</f>
        <v>0.197783+0.322638i</v>
      </c>
      <c r="F59"/>
      <c r="G59" t="str">
        <f t="shared" si="0"/>
        <v>57.456696095821+43.285338954904i</v>
      </c>
      <c r="H59" t="str">
        <f t="shared" si="1"/>
        <v>57.2988425152315+43.1537650678424i</v>
      </c>
      <c r="N59" s="19">
        <f t="shared" si="10"/>
        <v>0.3791454508087892</v>
      </c>
      <c r="O59" s="19">
        <f t="shared" si="10"/>
        <v>0.90588847094661717</v>
      </c>
      <c r="P59" s="18">
        <f t="shared" si="11"/>
        <v>-8.4238830109025926</v>
      </c>
      <c r="Q59" s="18">
        <f t="shared" si="11"/>
        <v>-0.85850534964202796</v>
      </c>
      <c r="R59" s="17">
        <f t="shared" si="5"/>
        <v>0.18450473858385455</v>
      </c>
      <c r="T59" s="17">
        <f t="shared" si="4"/>
        <v>16.232323000000001</v>
      </c>
      <c r="U59" s="17">
        <f t="shared" si="6"/>
        <v>0.18450473858385455</v>
      </c>
      <c r="V59" s="17">
        <f t="shared" si="7"/>
        <v>2.2213664256876373</v>
      </c>
      <c r="X59" s="21">
        <f t="shared" si="8"/>
        <v>16.232323000000001</v>
      </c>
      <c r="Y59" s="20">
        <f t="shared" si="9"/>
        <v>0.11933633210710132</v>
      </c>
    </row>
    <row r="60" spans="1:25" x14ac:dyDescent="0.25">
      <c r="A60">
        <v>16525252</v>
      </c>
      <c r="B60" t="str">
        <f>COMPLEX(0.205135,0.324394)</f>
        <v>0.205135+0.324394i</v>
      </c>
      <c r="C60" t="str">
        <f>COMPLEX(0.771057,-0.468583)</f>
        <v>0.771057-0.468583i</v>
      </c>
      <c r="D60" t="str">
        <f>COMPLEX(0.773267,-0.461586)</f>
        <v>0.773267-0.461586i</v>
      </c>
      <c r="E60" t="str">
        <f>COMPLEX(0.204448,0.323949)</f>
        <v>0.204448+0.323949i</v>
      </c>
      <c r="F60"/>
      <c r="G60" t="str">
        <f t="shared" si="0"/>
        <v>57.8453029064265+44.0129697382918i</v>
      </c>
      <c r="H60" t="str">
        <f t="shared" si="1"/>
        <v>57.8208820596555+43.9046937501801i</v>
      </c>
      <c r="N60" s="19">
        <f t="shared" si="10"/>
        <v>0.38381223985303026</v>
      </c>
      <c r="O60" s="19">
        <f t="shared" si="10"/>
        <v>0.90227430703639133</v>
      </c>
      <c r="P60" s="18">
        <f t="shared" si="11"/>
        <v>-8.3176235927472639</v>
      </c>
      <c r="Q60" s="18">
        <f t="shared" si="11"/>
        <v>-0.89322818659755754</v>
      </c>
      <c r="R60" s="17">
        <f t="shared" si="5"/>
        <v>0.20113053601452235</v>
      </c>
      <c r="T60" s="17">
        <f t="shared" si="4"/>
        <v>16.525251999999998</v>
      </c>
      <c r="U60" s="17">
        <f t="shared" si="6"/>
        <v>0.20113053601452235</v>
      </c>
      <c r="V60" s="17">
        <f t="shared" si="7"/>
        <v>2.2457639202748378</v>
      </c>
      <c r="X60" s="21">
        <f t="shared" si="8"/>
        <v>16.525251999999998</v>
      </c>
      <c r="Y60" s="20">
        <f t="shared" si="9"/>
        <v>0.1204707663009488</v>
      </c>
    </row>
    <row r="61" spans="1:25" x14ac:dyDescent="0.25">
      <c r="A61">
        <v>16818181</v>
      </c>
      <c r="B61" t="str">
        <f>COMPLEX(0.213485,0.325992)</f>
        <v>0.213485+0.325992i</v>
      </c>
      <c r="C61" t="str">
        <f>COMPLEX(0.769896,-0.466851)</f>
        <v>0.769896-0.466851i</v>
      </c>
      <c r="D61" t="str">
        <f>COMPLEX(0.771496,-0.46087)</f>
        <v>0.771496-0.46087i</v>
      </c>
      <c r="E61" t="str">
        <f>COMPLEX(0.212145,0.325986)</f>
        <v>0.212145+0.325986i</v>
      </c>
      <c r="F61"/>
      <c r="G61" t="str">
        <f t="shared" si="0"/>
        <v>58.5032912112865+44.97206653217i</v>
      </c>
      <c r="H61" t="str">
        <f t="shared" si="1"/>
        <v>58.373329123414+44.8409771691812i</v>
      </c>
      <c r="N61" s="19">
        <f t="shared" si="10"/>
        <v>0.3896750303637635</v>
      </c>
      <c r="O61" s="19">
        <f t="shared" si="10"/>
        <v>0.90038308903321818</v>
      </c>
      <c r="P61" s="18">
        <f t="shared" si="11"/>
        <v>-8.1859484416346362</v>
      </c>
      <c r="Q61" s="18">
        <f t="shared" si="11"/>
        <v>-0.9114534100035897</v>
      </c>
      <c r="R61" s="17">
        <f t="shared" si="5"/>
        <v>0.19619733387705576</v>
      </c>
      <c r="T61" s="17">
        <f t="shared" si="4"/>
        <v>16.818180999999999</v>
      </c>
      <c r="U61" s="17">
        <f t="shared" si="6"/>
        <v>0.19619733387705576</v>
      </c>
      <c r="V61" s="17">
        <f t="shared" si="7"/>
        <v>2.2769427755709097</v>
      </c>
      <c r="X61" s="21">
        <f t="shared" si="8"/>
        <v>16.818180999999999</v>
      </c>
      <c r="Y61" s="20">
        <f t="shared" si="9"/>
        <v>0.12155371605537171</v>
      </c>
    </row>
    <row r="62" spans="1:25" x14ac:dyDescent="0.25">
      <c r="A62">
        <v>17111111</v>
      </c>
      <c r="B62" t="str">
        <f>COMPLEX(0.218185,0.328083)</f>
        <v>0.218185+0.328083i</v>
      </c>
      <c r="C62" t="str">
        <f>COMPLEX(0.771533,-0.466396)</f>
        <v>0.771533-0.466396i</v>
      </c>
      <c r="D62" t="str">
        <f>COMPLEX(0.766291,-0.461838)</f>
        <v>0.766291-0.461838i</v>
      </c>
      <c r="E62" t="str">
        <f>COMPLEX(0.217279,0.327776)</f>
        <v>0.217279+0.327776i</v>
      </c>
      <c r="F62"/>
      <c r="G62" t="str">
        <f t="shared" si="0"/>
        <v>58.7556269090835+45.6385108282813i</v>
      </c>
      <c r="H62" t="str">
        <f t="shared" si="1"/>
        <v>58.697772983275+45.518800744283i</v>
      </c>
      <c r="N62" s="19">
        <f t="shared" si="10"/>
        <v>0.39400907237524363</v>
      </c>
      <c r="O62" s="19">
        <f t="shared" si="10"/>
        <v>0.90154777960183552</v>
      </c>
      <c r="P62" s="18">
        <f t="shared" si="11"/>
        <v>-8.0898755616030389</v>
      </c>
      <c r="Q62" s="18">
        <f t="shared" si="11"/>
        <v>-0.90022503789854214</v>
      </c>
      <c r="R62" s="17">
        <f t="shared" si="5"/>
        <v>0.16754226331989402</v>
      </c>
      <c r="T62" s="17">
        <f t="shared" si="4"/>
        <v>17.111111000000001</v>
      </c>
      <c r="U62" s="17">
        <f t="shared" si="6"/>
        <v>0.16754226331989402</v>
      </c>
      <c r="V62" s="17">
        <f t="shared" si="7"/>
        <v>2.3003794427075093</v>
      </c>
      <c r="X62" s="21">
        <f t="shared" si="8"/>
        <v>17.111111000000001</v>
      </c>
      <c r="Y62" s="20">
        <f t="shared" si="9"/>
        <v>0.12258518480370373</v>
      </c>
    </row>
    <row r="63" spans="1:25" x14ac:dyDescent="0.25">
      <c r="A63">
        <v>17404040</v>
      </c>
      <c r="B63" t="str">
        <f>COMPLEX(0.225596,0.330694)</f>
        <v>0.225596+0.330694i</v>
      </c>
      <c r="C63" t="str">
        <f>COMPLEX(0.765016,-0.471814)</f>
        <v>0.765016-0.471814i</v>
      </c>
      <c r="D63" t="str">
        <f>COMPLEX(0.762528,-0.466077)</f>
        <v>0.762528-0.466077i</v>
      </c>
      <c r="E63" t="str">
        <f>COMPLEX(0.224906,0.330226)</f>
        <v>0.224906+0.330226i</v>
      </c>
      <c r="F63"/>
      <c r="G63" t="str">
        <f t="shared" si="0"/>
        <v>59.2155693545895+46.6383612328275i</v>
      </c>
      <c r="H63" t="str">
        <f t="shared" si="1"/>
        <v>59.195864790057+46.5225039107017i</v>
      </c>
      <c r="N63" s="19">
        <f t="shared" si="10"/>
        <v>0.40031497205575511</v>
      </c>
      <c r="O63" s="19">
        <f t="shared" si="10"/>
        <v>0.89880917376938252</v>
      </c>
      <c r="P63" s="18">
        <f t="shared" si="11"/>
        <v>-7.9519633335661073</v>
      </c>
      <c r="Q63" s="18">
        <f t="shared" si="11"/>
        <v>-0.92665007136238176</v>
      </c>
      <c r="R63" s="17">
        <f t="shared" si="5"/>
        <v>0.16813945560653162</v>
      </c>
      <c r="T63" s="17">
        <f t="shared" si="4"/>
        <v>17.404039999999998</v>
      </c>
      <c r="U63" s="17">
        <f t="shared" si="6"/>
        <v>0.16813945560653162</v>
      </c>
      <c r="V63" s="17">
        <f t="shared" si="7"/>
        <v>2.3350840971569959</v>
      </c>
      <c r="X63" s="21">
        <f t="shared" si="8"/>
        <v>17.404039999999998</v>
      </c>
      <c r="Y63" s="20">
        <f t="shared" si="9"/>
        <v>0.12356516550352004</v>
      </c>
    </row>
    <row r="64" spans="1:25" x14ac:dyDescent="0.25">
      <c r="A64">
        <v>17696969</v>
      </c>
      <c r="B64" t="str">
        <f>COMPLEX(0.234167,0.333073)</f>
        <v>0.234167+0.333073i</v>
      </c>
      <c r="C64" t="str">
        <f>COMPLEX(0.759243,-0.474625)</f>
        <v>0.759243-0.474625i</v>
      </c>
      <c r="D64" t="str">
        <f>COMPLEX(0.757618,-0.470794)</f>
        <v>0.757618-0.470794i</v>
      </c>
      <c r="E64" t="str">
        <f>COMPLEX(0.232763,0.333119)</f>
        <v>0.232763+0.333119i</v>
      </c>
      <c r="F64"/>
      <c r="G64" t="str">
        <f t="shared" si="0"/>
        <v>59.806636817528+47.7566596695683i</v>
      </c>
      <c r="H64" t="str">
        <f t="shared" si="1"/>
        <v>59.664679739806+47.6142162724745i</v>
      </c>
      <c r="N64" s="19">
        <f t="shared" si="10"/>
        <v>0.40715084086613407</v>
      </c>
      <c r="O64" s="19">
        <f t="shared" si="10"/>
        <v>0.8953875270931575</v>
      </c>
      <c r="P64" s="18">
        <f t="shared" si="11"/>
        <v>-7.8048932789164365</v>
      </c>
      <c r="Q64" s="18">
        <f t="shared" si="11"/>
        <v>-0.95977919418982838</v>
      </c>
      <c r="R64" s="17">
        <f t="shared" si="5"/>
        <v>0.1726278217976282</v>
      </c>
      <c r="T64" s="17">
        <f t="shared" si="4"/>
        <v>17.696968999999999</v>
      </c>
      <c r="U64" s="17">
        <f t="shared" si="6"/>
        <v>0.1726278217976282</v>
      </c>
      <c r="V64" s="17">
        <f t="shared" si="7"/>
        <v>2.3735394057435073</v>
      </c>
      <c r="X64" s="21">
        <f t="shared" si="8"/>
        <v>17.696968999999999</v>
      </c>
      <c r="Y64" s="20">
        <f t="shared" si="9"/>
        <v>0.12449366176391172</v>
      </c>
    </row>
    <row r="65" spans="1:25" x14ac:dyDescent="0.25">
      <c r="A65">
        <v>17989898</v>
      </c>
      <c r="B65" t="str">
        <f>COMPLEX(0.241117,0.337619)</f>
        <v>0.241117+0.337619i</v>
      </c>
      <c r="C65" t="str">
        <f>COMPLEX(0.751679,-0.477582)</f>
        <v>0.751679-0.477582i</v>
      </c>
      <c r="D65" t="str">
        <f>COMPLEX(0.751824,-0.467814)</f>
        <v>0.751824-0.467814i</v>
      </c>
      <c r="E65" t="str">
        <f>COMPLEX(0.236617,0.336944)</f>
        <v>0.236617+0.336944i</v>
      </c>
      <c r="F65"/>
      <c r="G65" t="str">
        <f t="shared" si="0"/>
        <v>60.000580304834+48.9380918032657i</v>
      </c>
      <c r="H65" t="str">
        <f t="shared" si="1"/>
        <v>59.6365926736365+48.3916881589265i</v>
      </c>
      <c r="N65" s="19">
        <f t="shared" si="10"/>
        <v>0.41487829161092532</v>
      </c>
      <c r="O65" s="19">
        <f t="shared" si="10"/>
        <v>0.89056492507003659</v>
      </c>
      <c r="P65" s="18">
        <f t="shared" si="11"/>
        <v>-7.6415857782451333</v>
      </c>
      <c r="Q65" s="18">
        <f t="shared" si="11"/>
        <v>-1.0066882714191925</v>
      </c>
      <c r="R65" s="17">
        <f t="shared" si="5"/>
        <v>0.18634121438440873</v>
      </c>
      <c r="T65" s="17">
        <f t="shared" si="4"/>
        <v>17.989898</v>
      </c>
      <c r="U65" s="17">
        <f t="shared" si="6"/>
        <v>0.18634121438440873</v>
      </c>
      <c r="V65" s="17">
        <f t="shared" si="7"/>
        <v>2.4180922897328339</v>
      </c>
      <c r="X65" s="21">
        <f t="shared" si="8"/>
        <v>17.989898</v>
      </c>
      <c r="Y65" s="20">
        <f t="shared" si="9"/>
        <v>0.12537067358487883</v>
      </c>
    </row>
    <row r="66" spans="1:25" x14ac:dyDescent="0.25">
      <c r="A66">
        <v>18282828</v>
      </c>
      <c r="B66" t="str">
        <f>COMPLEX(0.247013,0.336232)</f>
        <v>0.247013+0.336232i</v>
      </c>
      <c r="C66" t="str">
        <f>COMPLEX(0.74426,-0.491585)</f>
        <v>0.74426-0.491585i</v>
      </c>
      <c r="D66" t="str">
        <f>COMPLEX(0.743935,-0.482799)</f>
        <v>0.743935-0.482799i</v>
      </c>
      <c r="E66" t="str">
        <f>COMPLEX(0.245119,0.335635)</f>
        <v>0.245119+0.335635i</v>
      </c>
      <c r="F66"/>
      <c r="G66" t="str">
        <f t="shared" si="0"/>
        <v>60.726644312108+49.4428736091708i</v>
      </c>
      <c r="H66" t="str">
        <f t="shared" si="1"/>
        <v>60.605894217787+49.1775648158942i</v>
      </c>
      <c r="N66" s="19">
        <f t="shared" si="10"/>
        <v>0.41721383005959906</v>
      </c>
      <c r="O66" s="19">
        <f t="shared" si="10"/>
        <v>0.89195221835309091</v>
      </c>
      <c r="P66" s="18">
        <f t="shared" si="11"/>
        <v>-7.5928260749476895</v>
      </c>
      <c r="Q66" s="18">
        <f t="shared" si="11"/>
        <v>-0.99316820084973489</v>
      </c>
      <c r="R66" s="17">
        <f t="shared" si="5"/>
        <v>0.16261438891126492</v>
      </c>
      <c r="T66" s="17">
        <f t="shared" si="4"/>
        <v>18.282827999999999</v>
      </c>
      <c r="U66" s="17">
        <f t="shared" si="6"/>
        <v>0.16261438891126492</v>
      </c>
      <c r="V66" s="17">
        <f t="shared" si="7"/>
        <v>2.4317904287339758</v>
      </c>
      <c r="X66" s="21">
        <f t="shared" si="8"/>
        <v>18.282827999999999</v>
      </c>
      <c r="Y66" s="20">
        <f t="shared" si="9"/>
        <v>0.12619620369672482</v>
      </c>
    </row>
    <row r="67" spans="1:25" x14ac:dyDescent="0.25">
      <c r="A67">
        <v>18575757</v>
      </c>
      <c r="B67" t="str">
        <f>COMPLEX(0.253288,0.337143)</f>
        <v>0.253288+0.337143i</v>
      </c>
      <c r="C67" t="str">
        <f>COMPLEX(0.738315,-0.491591)</f>
        <v>0.738315-0.491591i</v>
      </c>
      <c r="D67" t="str">
        <f>COMPLEX(0.741383,-0.480778)</f>
        <v>0.741383-0.480778i</v>
      </c>
      <c r="E67" t="str">
        <f>COMPLEX(0.251319,0.335564)</f>
        <v>0.251319+0.335564i</v>
      </c>
      <c r="F67"/>
      <c r="G67" t="str">
        <f t="shared" si="0"/>
        <v>61.2429701591805+50.2265782368255i</v>
      </c>
      <c r="H67" t="str">
        <f t="shared" si="1"/>
        <v>61.224423510023+49.8515555366268i</v>
      </c>
      <c r="N67" s="19">
        <f t="shared" si="10"/>
        <v>0.42168734080240067</v>
      </c>
      <c r="O67" s="19">
        <f t="shared" si="10"/>
        <v>0.88700098675593386</v>
      </c>
      <c r="P67" s="18">
        <f t="shared" si="11"/>
        <v>-7.5001887291542415</v>
      </c>
      <c r="Q67" s="18">
        <f t="shared" si="11"/>
        <v>-1.041517940627734</v>
      </c>
      <c r="R67" s="17">
        <f t="shared" si="5"/>
        <v>0.19118589454135976</v>
      </c>
      <c r="T67" s="17">
        <f t="shared" si="4"/>
        <v>18.575756999999999</v>
      </c>
      <c r="U67" s="17">
        <f t="shared" si="6"/>
        <v>0.19118589454135976</v>
      </c>
      <c r="V67" s="17">
        <f t="shared" si="7"/>
        <v>2.4583368843680025</v>
      </c>
      <c r="X67" s="21">
        <f t="shared" si="8"/>
        <v>18.575756999999999</v>
      </c>
      <c r="Y67" s="20">
        <f t="shared" si="9"/>
        <v>0.12697024646308533</v>
      </c>
    </row>
    <row r="68" spans="1:25" x14ac:dyDescent="0.25">
      <c r="A68">
        <v>18868686</v>
      </c>
      <c r="B68" t="str">
        <f>COMPLEX(0.260237,0.339917)</f>
        <v>0.260237+0.339917i</v>
      </c>
      <c r="C68" t="str">
        <f>COMPLEX(0.731842,-0.500919)</f>
        <v>0.731842-0.500919i</v>
      </c>
      <c r="D68" t="str">
        <f>COMPLEX(0.727557,-0.492262)</f>
        <v>0.727557-0.492262i</v>
      </c>
      <c r="E68" t="str">
        <f>COMPLEX(0.258663,0.339041)</f>
        <v>0.258663+0.339041i</v>
      </c>
      <c r="F68"/>
      <c r="G68" t="str">
        <f t="shared" si="0"/>
        <v>61.6130002648+51.2855552535205i</v>
      </c>
      <c r="H68" t="str">
        <f t="shared" si="1"/>
        <v>61.558203270909+51.0197181513565i</v>
      </c>
      <c r="N68" s="19">
        <f t="shared" si="10"/>
        <v>0.42809679169318704</v>
      </c>
      <c r="O68" s="19">
        <f t="shared" si="10"/>
        <v>0.88685543214494666</v>
      </c>
      <c r="P68" s="18">
        <f t="shared" si="11"/>
        <v>-7.3691605381592327</v>
      </c>
      <c r="Q68" s="18">
        <f t="shared" si="11"/>
        <v>-1.0429433900347012</v>
      </c>
      <c r="R68" s="17">
        <f t="shared" si="5"/>
        <v>0.1637451538187108</v>
      </c>
      <c r="T68" s="17">
        <f t="shared" si="4"/>
        <v>18.868686</v>
      </c>
      <c r="U68" s="17">
        <f t="shared" si="6"/>
        <v>0.1637451538187108</v>
      </c>
      <c r="V68" s="17">
        <f t="shared" si="7"/>
        <v>2.4970952618385134</v>
      </c>
      <c r="X68" s="21">
        <f t="shared" si="8"/>
        <v>18.868686</v>
      </c>
      <c r="Y68" s="20">
        <f t="shared" si="9"/>
        <v>0.12769280479002124</v>
      </c>
    </row>
    <row r="69" spans="1:25" x14ac:dyDescent="0.25">
      <c r="A69">
        <v>19161616</v>
      </c>
      <c r="B69" t="str">
        <f>COMPLEX(0.26591,0.340637)</f>
        <v>0.26591+0.340637i</v>
      </c>
      <c r="C69" t="str">
        <f>COMPLEX(0.715418,-0.495209)</f>
        <v>0.715418-0.495209i</v>
      </c>
      <c r="D69" t="str">
        <f>COMPLEX(0.718668,-0.487535)</f>
        <v>0.718668-0.487535i</v>
      </c>
      <c r="E69" t="str">
        <f>COMPLEX(0.264475,0.340721)</f>
        <v>0.264475+0.340721i</v>
      </c>
      <c r="F69"/>
      <c r="G69" t="str">
        <f t="shared" si="0"/>
        <v>62.088209456509+52.011866943613i</v>
      </c>
      <c r="H69" t="str">
        <f t="shared" si="1"/>
        <v>61.9370914349805+51.8531902121855i</v>
      </c>
      <c r="N69" s="19">
        <f t="shared" si="10"/>
        <v>0.43213619828591077</v>
      </c>
      <c r="O69" s="19">
        <f t="shared" si="10"/>
        <v>0.87008900027813241</v>
      </c>
      <c r="P69" s="18">
        <f t="shared" si="11"/>
        <v>-7.2875870617699867</v>
      </c>
      <c r="Q69" s="18">
        <f t="shared" si="11"/>
        <v>-1.2087264337709638</v>
      </c>
      <c r="R69" s="17">
        <f t="shared" si="5"/>
        <v>0.31101150976161579</v>
      </c>
      <c r="T69" s="17">
        <f t="shared" si="4"/>
        <v>19.161615999999999</v>
      </c>
      <c r="U69" s="17">
        <f t="shared" si="6"/>
        <v>0.31101150976161579</v>
      </c>
      <c r="V69" s="17">
        <f t="shared" si="7"/>
        <v>2.5219712789634183</v>
      </c>
      <c r="X69" s="21">
        <f t="shared" si="8"/>
        <v>19.161615999999999</v>
      </c>
      <c r="Y69" s="20">
        <f t="shared" si="9"/>
        <v>0.12836388088056325</v>
      </c>
    </row>
    <row r="70" spans="1:25" x14ac:dyDescent="0.25">
      <c r="A70">
        <v>19454545</v>
      </c>
      <c r="B70" t="str">
        <f>COMPLEX(0.271987,0.344088)</f>
        <v>0.271987+0.344088i</v>
      </c>
      <c r="C70" t="str">
        <f>COMPLEX(0.725396,-0.497107)</f>
        <v>0.725396-0.497107i</v>
      </c>
      <c r="D70" t="str">
        <f>COMPLEX(0.720596,-0.495238)</f>
        <v>0.720596-0.495238i</v>
      </c>
      <c r="E70" t="str">
        <f>COMPLEX(0.271659,0.343251)</f>
        <v>0.271659+0.343251i</v>
      </c>
      <c r="F70"/>
      <c r="G70" t="str">
        <f t="shared" si="0"/>
        <v>62.2784676042125+53.0672850086445i</v>
      </c>
      <c r="H70" t="str">
        <f t="shared" si="1"/>
        <v>62.3459677502275+52.946169138128i</v>
      </c>
      <c r="N70" s="19">
        <f t="shared" si="10"/>
        <v>0.43860401265036325</v>
      </c>
      <c r="O70" s="19">
        <f t="shared" si="10"/>
        <v>0.87938315100131415</v>
      </c>
      <c r="P70" s="18">
        <f t="shared" si="11"/>
        <v>-7.1585479883300209</v>
      </c>
      <c r="Q70" s="18">
        <f t="shared" si="11"/>
        <v>-1.116437194550391</v>
      </c>
      <c r="R70" s="17">
        <f t="shared" si="5"/>
        <v>0.18854290918246408</v>
      </c>
      <c r="T70" s="17">
        <f t="shared" si="4"/>
        <v>19.454545</v>
      </c>
      <c r="U70" s="17">
        <f t="shared" si="6"/>
        <v>0.18854290918246408</v>
      </c>
      <c r="V70" s="17">
        <f t="shared" si="7"/>
        <v>2.562547729352405</v>
      </c>
      <c r="X70" s="21">
        <f t="shared" si="8"/>
        <v>19.454545</v>
      </c>
      <c r="Y70" s="20">
        <f t="shared" si="9"/>
        <v>0.12898347015289255</v>
      </c>
    </row>
    <row r="71" spans="1:25" x14ac:dyDescent="0.25">
      <c r="A71">
        <v>19747474</v>
      </c>
      <c r="B71" t="str">
        <f>COMPLEX(0.280437,0.345247)</f>
        <v>0.280437+0.345247i</v>
      </c>
      <c r="C71" t="str">
        <f>COMPLEX(0.717111,-0.501467)</f>
        <v>0.717111-0.501467i</v>
      </c>
      <c r="D71" t="str">
        <f>COMPLEX(0.71302,-0.498607)</f>
        <v>0.71302-0.498607i</v>
      </c>
      <c r="E71" t="str">
        <f>COMPLEX(0.278811,0.343229)</f>
        <v>0.278811+0.343229i</v>
      </c>
      <c r="F71"/>
      <c r="G71" t="str">
        <f t="shared" ref="G71:G106" si="12">IMPRODUCT($B$4,(IMDIV(IMSUM($E$4,$B71),IMSUB($E$4,$B71))))</f>
        <v>62.967182847558+54.201759924525i</v>
      </c>
      <c r="H71" t="str">
        <f t="shared" ref="H71:H106" si="13">IMPRODUCT($B$4,(IMDIV(IMSUM($E$4,$E71),IMSUB($E$4,$E71))))</f>
        <v>63.053253756892+53.8044191380125i</v>
      </c>
      <c r="N71" s="19">
        <f t="shared" ref="N71:O106" si="14">IMABS(B71)</f>
        <v>0.44479253813210501</v>
      </c>
      <c r="O71" s="19">
        <f t="shared" si="14"/>
        <v>0.87505276321488179</v>
      </c>
      <c r="P71" s="18">
        <f t="shared" ref="P71:Q106" si="15">20*LOG(N71)</f>
        <v>-7.0368501423344565</v>
      </c>
      <c r="Q71" s="18">
        <f t="shared" si="15"/>
        <v>-1.1593151891032518</v>
      </c>
      <c r="R71" s="17">
        <f t="shared" si="5"/>
        <v>0.20192303210191084</v>
      </c>
      <c r="T71" s="17">
        <f t="shared" ref="T71:T106" si="16">A71/1000000</f>
        <v>19.747474</v>
      </c>
      <c r="U71" s="17">
        <f t="shared" si="6"/>
        <v>0.20192303210191084</v>
      </c>
      <c r="V71" s="17">
        <f t="shared" si="7"/>
        <v>2.6022570612998641</v>
      </c>
      <c r="X71" s="21">
        <f t="shared" si="8"/>
        <v>19.747474</v>
      </c>
      <c r="Y71" s="20">
        <f t="shared" si="9"/>
        <v>0.1295515749857972</v>
      </c>
    </row>
    <row r="72" spans="1:25" x14ac:dyDescent="0.25">
      <c r="A72">
        <v>20040404</v>
      </c>
      <c r="B72" t="str">
        <f>COMPLEX(0.285818,0.343836)</f>
        <v>0.285818+0.343836i</v>
      </c>
      <c r="C72" t="str">
        <f>COMPLEX(0.712548,-0.509566)</f>
        <v>0.712548-0.509566i</v>
      </c>
      <c r="D72" t="str">
        <f>COMPLEX(0.711856,-0.504789)</f>
        <v>0.711856-0.504789i</v>
      </c>
      <c r="E72" t="str">
        <f>COMPLEX(0.284887,0.343493)</f>
        <v>0.284887+0.343493i</v>
      </c>
      <c r="F72"/>
      <c r="G72" t="str">
        <f t="shared" si="12"/>
        <v>63.6727248599885+54.7266313418135i</v>
      </c>
      <c r="H72" t="str">
        <f t="shared" si="13"/>
        <v>63.6228935756355+54.576925021606i</v>
      </c>
      <c r="N72" s="19">
        <f t="shared" si="14"/>
        <v>0.44711869119955161</v>
      </c>
      <c r="O72" s="19">
        <f t="shared" si="14"/>
        <v>0.87600351635138995</v>
      </c>
      <c r="P72" s="18">
        <f t="shared" si="15"/>
        <v>-6.9915434930373621</v>
      </c>
      <c r="Q72" s="18">
        <f t="shared" si="15"/>
        <v>-1.1498830106808495</v>
      </c>
      <c r="R72" s="17">
        <f t="shared" ref="R72:R106" si="17">-10*LOG(O72^2/(1-N72^2))</f>
        <v>0.18124362078160983</v>
      </c>
      <c r="T72" s="17">
        <f t="shared" si="16"/>
        <v>20.040403999999999</v>
      </c>
      <c r="U72" s="17">
        <f t="shared" ref="U72:U106" si="18">R72</f>
        <v>0.18124362078160983</v>
      </c>
      <c r="V72" s="17">
        <f t="shared" ref="V72:V106" si="19">(1+N72)/(1-N72)</f>
        <v>2.6174129386635867</v>
      </c>
      <c r="X72" s="21">
        <f t="shared" ref="X72:X106" si="20">T72</f>
        <v>20.040403999999999</v>
      </c>
      <c r="Y72" s="20">
        <f t="shared" ref="Y72:Y106" si="21">-0.0003*X72^2+0.0137*X72-0.024</f>
        <v>0.13006819705503522</v>
      </c>
    </row>
    <row r="73" spans="1:25" x14ac:dyDescent="0.25">
      <c r="A73">
        <v>20333333</v>
      </c>
      <c r="B73" t="str">
        <f>COMPLEX(0.292996,0.346112)</f>
        <v>0.292996+0.346112i</v>
      </c>
      <c r="C73" t="str">
        <f>COMPLEX(0.704075,-0.514177)</f>
        <v>0.704075-0.514177i</v>
      </c>
      <c r="D73" t="str">
        <f>COMPLEX(0.70544,-0.506634)</f>
        <v>0.70544-0.506634i</v>
      </c>
      <c r="E73" t="str">
        <f>COMPLEX(0.291222,0.345328)</f>
        <v>0.291222+0.345328i</v>
      </c>
      <c r="F73"/>
      <c r="G73" t="str">
        <f t="shared" si="12"/>
        <v>64.09764949021+55.856212497179i</v>
      </c>
      <c r="H73" t="str">
        <f t="shared" si="13"/>
        <v>64.0215315320975+55.553117394891i</v>
      </c>
      <c r="N73" s="19">
        <f t="shared" si="14"/>
        <v>0.4534756581780327</v>
      </c>
      <c r="O73" s="19">
        <f t="shared" si="14"/>
        <v>0.87183690731351815</v>
      </c>
      <c r="P73" s="18">
        <f t="shared" si="15"/>
        <v>-6.8689204037286817</v>
      </c>
      <c r="Q73" s="18">
        <f t="shared" si="15"/>
        <v>-1.1912950003944736</v>
      </c>
      <c r="R73" s="17">
        <f t="shared" si="17"/>
        <v>0.19146772835074755</v>
      </c>
      <c r="T73" s="17">
        <f t="shared" si="16"/>
        <v>20.333333</v>
      </c>
      <c r="U73" s="17">
        <f t="shared" si="18"/>
        <v>0.19146772835074755</v>
      </c>
      <c r="V73" s="17">
        <f t="shared" si="19"/>
        <v>2.6594893346059023</v>
      </c>
      <c r="X73" s="21">
        <f t="shared" si="20"/>
        <v>20.333333</v>
      </c>
      <c r="Y73" s="20">
        <f t="shared" si="21"/>
        <v>0.13053333283333335</v>
      </c>
    </row>
    <row r="74" spans="1:25" x14ac:dyDescent="0.25">
      <c r="A74">
        <v>20626262</v>
      </c>
      <c r="B74" t="str">
        <f>COMPLEX(0.298644,0.348211)</f>
        <v>0.298644+0.348211i</v>
      </c>
      <c r="C74" t="str">
        <f>COMPLEX(0.702688,-0.510659)</f>
        <v>0.702688-0.510659i</v>
      </c>
      <c r="D74" t="str">
        <f>COMPLEX(0.702685,-0.505017)</f>
        <v>0.702685-0.505017i</v>
      </c>
      <c r="E74" t="str">
        <f>COMPLEX(0.2972,0.347113)</f>
        <v>0.2972+0.347113i</v>
      </c>
      <c r="F74"/>
      <c r="G74" t="str">
        <f t="shared" si="12"/>
        <v>64.3855005879765+56.7904025134735i</v>
      </c>
      <c r="H74" t="str">
        <f t="shared" si="13"/>
        <v>64.385177071685+56.494851976215i</v>
      </c>
      <c r="N74" s="19">
        <f t="shared" si="14"/>
        <v>0.45873645948082215</v>
      </c>
      <c r="O74" s="19">
        <f t="shared" si="14"/>
        <v>0.86864436890191143</v>
      </c>
      <c r="P74" s="18">
        <f t="shared" si="15"/>
        <v>-6.7687348323250891</v>
      </c>
      <c r="Q74" s="18">
        <f t="shared" si="15"/>
        <v>-1.2231598274255664</v>
      </c>
      <c r="R74" s="17">
        <f t="shared" si="17"/>
        <v>0.19701594561385866</v>
      </c>
      <c r="T74" s="17">
        <f t="shared" si="16"/>
        <v>20.626262000000001</v>
      </c>
      <c r="U74" s="17">
        <f t="shared" si="18"/>
        <v>0.19701594561385866</v>
      </c>
      <c r="V74" s="17">
        <f t="shared" si="19"/>
        <v>2.6950576757518299</v>
      </c>
      <c r="X74" s="21">
        <f t="shared" si="20"/>
        <v>20.626262000000001</v>
      </c>
      <c r="Y74" s="20">
        <f t="shared" si="21"/>
        <v>0.13094698417220682</v>
      </c>
    </row>
    <row r="75" spans="1:25" x14ac:dyDescent="0.25">
      <c r="A75">
        <v>20919191</v>
      </c>
      <c r="B75" t="str">
        <f>COMPLEX(0.304088,0.348846)</f>
        <v>0.304088+0.348846i</v>
      </c>
      <c r="C75" t="str">
        <f>COMPLEX(0.700272,-0.513947)</f>
        <v>0.700272-0.513947i</v>
      </c>
      <c r="D75" t="str">
        <f>COMPLEX(0.698668,-0.504938)</f>
        <v>0.698668-0.504938i</v>
      </c>
      <c r="E75" t="str">
        <f>COMPLEX(0.30418,0.348762)</f>
        <v>0.30418+0.348762i</v>
      </c>
      <c r="F75"/>
      <c r="G75" t="str">
        <f t="shared" si="12"/>
        <v>64.839419012419+57.5665773327755i</v>
      </c>
      <c r="H75" t="str">
        <f t="shared" si="13"/>
        <v>64.859612870259+57.5704468165005i</v>
      </c>
      <c r="N75" s="19">
        <f t="shared" si="14"/>
        <v>0.46277753128258081</v>
      </c>
      <c r="O75" s="19">
        <f t="shared" si="14"/>
        <v>0.86863248430679818</v>
      </c>
      <c r="P75" s="18">
        <f t="shared" si="15"/>
        <v>-6.6925547004071584</v>
      </c>
      <c r="Q75" s="18">
        <f t="shared" si="15"/>
        <v>-1.2232786666092668</v>
      </c>
      <c r="R75" s="17">
        <f t="shared" si="17"/>
        <v>0.17660315728192796</v>
      </c>
      <c r="T75" s="17">
        <f t="shared" si="16"/>
        <v>20.919191000000001</v>
      </c>
      <c r="U75" s="17">
        <f t="shared" si="18"/>
        <v>0.17660315728192796</v>
      </c>
      <c r="V75" s="17">
        <f t="shared" si="19"/>
        <v>2.7228524800439922</v>
      </c>
      <c r="X75" s="21">
        <f t="shared" si="20"/>
        <v>20.919191000000001</v>
      </c>
      <c r="Y75" s="20">
        <f t="shared" si="21"/>
        <v>0.13130915107165575</v>
      </c>
    </row>
    <row r="76" spans="1:25" x14ac:dyDescent="0.25">
      <c r="A76">
        <v>21212121</v>
      </c>
      <c r="B76" t="str">
        <f>COMPLEX(0.311213,0.349229)</f>
        <v>0.311213+0.349229i</v>
      </c>
      <c r="C76" t="str">
        <f>COMPLEX(0.697065,-0.513909)</f>
        <v>0.697065-0.513909i</v>
      </c>
      <c r="D76" t="str">
        <f>COMPLEX(0.696559,-0.509027)</f>
        <v>0.696559-0.509027i</v>
      </c>
      <c r="E76" t="str">
        <f>COMPLEX(0.310922,0.349501)</f>
        <v>0.310922+0.349501i</v>
      </c>
      <c r="F76"/>
      <c r="G76" t="str">
        <f t="shared" si="12"/>
        <v>65.4930193463275+58.5573067629015i</v>
      </c>
      <c r="H76" t="str">
        <f t="shared" si="13"/>
        <v>65.4274259522505+58.544897381338i</v>
      </c>
      <c r="N76" s="19">
        <f t="shared" si="14"/>
        <v>0.4677760423642921</v>
      </c>
      <c r="O76" s="19">
        <f t="shared" si="14"/>
        <v>0.86602660150020794</v>
      </c>
      <c r="P76" s="18">
        <f t="shared" si="15"/>
        <v>-6.5992404960022917</v>
      </c>
      <c r="Q76" s="18">
        <f t="shared" si="15"/>
        <v>-1.2493753534795002</v>
      </c>
      <c r="R76" s="17">
        <f t="shared" si="17"/>
        <v>0.17691750112862303</v>
      </c>
      <c r="T76" s="17">
        <f t="shared" si="16"/>
        <v>21.212121</v>
      </c>
      <c r="U76" s="17">
        <f t="shared" si="18"/>
        <v>0.17691750112862303</v>
      </c>
      <c r="V76" s="17">
        <f t="shared" si="19"/>
        <v>2.7578165569332427</v>
      </c>
      <c r="X76" s="21">
        <f t="shared" si="20"/>
        <v>21.212121</v>
      </c>
      <c r="Y76" s="20">
        <f t="shared" si="21"/>
        <v>0.13161983450440776</v>
      </c>
    </row>
    <row r="77" spans="1:25" x14ac:dyDescent="0.25">
      <c r="A77">
        <v>21505050</v>
      </c>
      <c r="B77" t="str">
        <f>COMPLEX(0.316418,0.350863)</f>
        <v>0.316418+0.350863i</v>
      </c>
      <c r="C77" t="str">
        <f>COMPLEX(0.69002,-0.513535)</f>
        <v>0.69002-0.513535i</v>
      </c>
      <c r="D77" t="str">
        <f>COMPLEX(0.691373,-0.511713)</f>
        <v>0.691373-0.511713i</v>
      </c>
      <c r="E77" t="str">
        <f>COMPLEX(0.315763,0.350219)</f>
        <v>0.315763+0.350219i</v>
      </c>
      <c r="F77"/>
      <c r="G77" t="str">
        <f t="shared" si="12"/>
        <v>65.784977980361+59.4291024765475i</v>
      </c>
      <c r="H77" t="str">
        <f t="shared" si="13"/>
        <v>65.8087449135765+59.2754014104585i</v>
      </c>
      <c r="N77" s="19">
        <f t="shared" si="14"/>
        <v>0.47246713694499426</v>
      </c>
      <c r="O77" s="19">
        <f t="shared" si="14"/>
        <v>0.86014289314334269</v>
      </c>
      <c r="P77" s="18">
        <f t="shared" si="15"/>
        <v>-6.5125678802286737</v>
      </c>
      <c r="Q77" s="18">
        <f t="shared" si="15"/>
        <v>-1.3085878926022889</v>
      </c>
      <c r="R77" s="17">
        <f t="shared" si="17"/>
        <v>0.21153919598593154</v>
      </c>
      <c r="T77" s="17">
        <f t="shared" si="16"/>
        <v>21.505050000000001</v>
      </c>
      <c r="U77" s="17">
        <f t="shared" si="18"/>
        <v>0.21153919598593154</v>
      </c>
      <c r="V77" s="17">
        <f t="shared" si="19"/>
        <v>2.7912330018982345</v>
      </c>
      <c r="X77" s="21">
        <f t="shared" si="20"/>
        <v>21.505050000000001</v>
      </c>
      <c r="Y77" s="20">
        <f t="shared" si="21"/>
        <v>0.13187903234925002</v>
      </c>
    </row>
    <row r="78" spans="1:25" x14ac:dyDescent="0.25">
      <c r="A78">
        <v>21797979</v>
      </c>
      <c r="B78" t="str">
        <f>COMPLEX(0.322728,0.351666)</f>
        <v>0.322728+0.351666i</v>
      </c>
      <c r="C78" t="str">
        <f>COMPLEX(0.688581,-0.518201)</f>
        <v>0.688581-0.518201i</v>
      </c>
      <c r="D78" t="str">
        <f>COMPLEX(0.689955,-0.513625)</f>
        <v>0.689955-0.513625i</v>
      </c>
      <c r="E78" t="str">
        <f>COMPLEX(0.322235,0.350855)</f>
        <v>0.322235+0.350855i</v>
      </c>
      <c r="F78"/>
      <c r="G78" t="str">
        <f t="shared" si="12"/>
        <v>66.296557053915+60.385701805068i</v>
      </c>
      <c r="H78" t="str">
        <f t="shared" si="13"/>
        <v>66.361572781434+60.2362760222645i</v>
      </c>
      <c r="N78" s="19">
        <f t="shared" si="14"/>
        <v>0.47730738265817763</v>
      </c>
      <c r="O78" s="19">
        <f t="shared" si="14"/>
        <v>0.86178655707895557</v>
      </c>
      <c r="P78" s="18">
        <f t="shared" si="15"/>
        <v>-6.4240369643444195</v>
      </c>
      <c r="Q78" s="18">
        <f t="shared" si="15"/>
        <v>-1.2920056942072482</v>
      </c>
      <c r="R78" s="17">
        <f t="shared" si="17"/>
        <v>0.16917803628366462</v>
      </c>
      <c r="T78" s="17">
        <f t="shared" si="16"/>
        <v>21.797979000000002</v>
      </c>
      <c r="U78" s="17">
        <f t="shared" si="18"/>
        <v>0.16917803628366462</v>
      </c>
      <c r="V78" s="17">
        <f t="shared" si="19"/>
        <v>2.8263406324181375</v>
      </c>
      <c r="X78" s="21">
        <f t="shared" si="20"/>
        <v>21.797979000000002</v>
      </c>
      <c r="Y78" s="20">
        <f t="shared" si="21"/>
        <v>0.13208674575466772</v>
      </c>
    </row>
    <row r="79" spans="1:25" x14ac:dyDescent="0.25">
      <c r="A79">
        <v>22090909</v>
      </c>
      <c r="B79" t="str">
        <f>COMPLEX(0.327847,0.35224)</f>
        <v>0.327847+0.35224i</v>
      </c>
      <c r="C79" t="str">
        <f>COMPLEX(0.685575,-0.519448)</f>
        <v>0.685575-0.519448i</v>
      </c>
      <c r="D79" t="str">
        <f>COMPLEX(0.68432,-0.512961)</f>
        <v>0.68432-0.512961i</v>
      </c>
      <c r="E79" t="str">
        <f>COMPLEX(0.326747,0.352008)</f>
        <v>0.326747+0.352008i</v>
      </c>
      <c r="F79"/>
      <c r="G79" t="str">
        <f t="shared" si="12"/>
        <v>66.7210572075915+61.1673609889445i</v>
      </c>
      <c r="H79" t="str">
        <f t="shared" si="13"/>
        <v>66.645395443116+60.987641138087i</v>
      </c>
      <c r="N79" s="19">
        <f t="shared" si="14"/>
        <v>0.48120335930768393</v>
      </c>
      <c r="O79" s="19">
        <f t="shared" si="14"/>
        <v>0.86013911975272928</v>
      </c>
      <c r="P79" s="18">
        <f t="shared" si="15"/>
        <v>-6.3534269897486908</v>
      </c>
      <c r="Q79" s="18">
        <f t="shared" si="15"/>
        <v>-1.3086259971156</v>
      </c>
      <c r="R79" s="17">
        <f t="shared" si="17"/>
        <v>0.16474443333061919</v>
      </c>
      <c r="T79" s="17">
        <f t="shared" si="16"/>
        <v>22.090909</v>
      </c>
      <c r="U79" s="17">
        <f t="shared" si="18"/>
        <v>0.16474443333061919</v>
      </c>
      <c r="V79" s="17">
        <f t="shared" si="19"/>
        <v>2.8550750778398823</v>
      </c>
      <c r="X79" s="21">
        <f t="shared" si="20"/>
        <v>22.090909</v>
      </c>
      <c r="Y79" s="20">
        <f t="shared" si="21"/>
        <v>0.13224297516611574</v>
      </c>
    </row>
    <row r="80" spans="1:25" x14ac:dyDescent="0.25">
      <c r="A80">
        <v>22383838</v>
      </c>
      <c r="B80" t="str">
        <f>COMPLEX(0.33315,0.352775)</f>
        <v>0.33315+0.352775i</v>
      </c>
      <c r="C80" t="str">
        <f>COMPLEX(0.678804,-0.516031)</f>
        <v>0.678804-0.516031i</v>
      </c>
      <c r="D80" t="str">
        <f>COMPLEX(0.678804,-0.516031)</f>
        <v>0.678804-0.516031i</v>
      </c>
      <c r="E80" t="str">
        <f>COMPLEX(0.33315,0.352775)</f>
        <v>0.33315+0.352775i</v>
      </c>
      <c r="F80"/>
      <c r="G80" t="str">
        <f t="shared" si="12"/>
        <v>67.1681883927595+61.983965899761i</v>
      </c>
      <c r="H80" t="str">
        <f t="shared" si="13"/>
        <v>67.1681883927595+61.983965899761i</v>
      </c>
      <c r="N80" s="19">
        <f t="shared" si="14"/>
        <v>0.48522069527690181</v>
      </c>
      <c r="O80" s="19">
        <f t="shared" si="14"/>
        <v>0.85267981292921435</v>
      </c>
      <c r="P80" s="18">
        <f t="shared" si="15"/>
        <v>-6.2812136840200221</v>
      </c>
      <c r="Q80" s="18">
        <f t="shared" si="15"/>
        <v>-1.38428037507605</v>
      </c>
      <c r="R80" s="17">
        <f t="shared" si="17"/>
        <v>0.21840108601005881</v>
      </c>
      <c r="T80" s="17">
        <f t="shared" si="16"/>
        <v>22.383838000000001</v>
      </c>
      <c r="U80" s="17">
        <f t="shared" si="18"/>
        <v>0.21840108601005881</v>
      </c>
      <c r="V80" s="17">
        <f t="shared" si="19"/>
        <v>2.8851600708303686</v>
      </c>
      <c r="X80" s="21">
        <f t="shared" si="20"/>
        <v>22.383838000000001</v>
      </c>
      <c r="Y80" s="20">
        <f t="shared" si="21"/>
        <v>0.13234771951692681</v>
      </c>
    </row>
    <row r="81" spans="1:25" x14ac:dyDescent="0.25">
      <c r="A81">
        <v>22676767</v>
      </c>
      <c r="B81" t="str">
        <f>COMPLEX(0.338115,0.354318)</f>
        <v>0.338115+0.354318i</v>
      </c>
      <c r="C81" t="str">
        <f>COMPLEX(0.6778,-0.516359)</f>
        <v>0.6778-0.516359i</v>
      </c>
      <c r="D81" t="str">
        <f>COMPLEX(0.6778,-0.516359)</f>
        <v>0.6778-0.516359i</v>
      </c>
      <c r="E81" t="str">
        <f>COMPLEX(0.338115,0.354318)</f>
        <v>0.338115+0.354318i</v>
      </c>
      <c r="F81"/>
      <c r="G81" t="str">
        <f t="shared" si="12"/>
        <v>67.431910824739+62.8632463035115i</v>
      </c>
      <c r="H81" t="str">
        <f t="shared" si="13"/>
        <v>67.431910824739+62.8632463035115i</v>
      </c>
      <c r="N81" s="19">
        <f t="shared" si="14"/>
        <v>0.48975810187173019</v>
      </c>
      <c r="O81" s="19">
        <f t="shared" si="14"/>
        <v>0.85207948976665315</v>
      </c>
      <c r="P81" s="18">
        <f t="shared" si="15"/>
        <v>-6.200367418289555</v>
      </c>
      <c r="Q81" s="18">
        <f t="shared" si="15"/>
        <v>-1.3903977676539605</v>
      </c>
      <c r="R81" s="17">
        <f t="shared" si="17"/>
        <v>0.19931650228919467</v>
      </c>
      <c r="T81" s="17">
        <f t="shared" si="16"/>
        <v>22.676767000000002</v>
      </c>
      <c r="U81" s="17">
        <f t="shared" si="18"/>
        <v>0.19931650228919467</v>
      </c>
      <c r="V81" s="17">
        <f t="shared" si="19"/>
        <v>2.9197094698350696</v>
      </c>
      <c r="X81" s="21">
        <f t="shared" si="20"/>
        <v>22.676767000000002</v>
      </c>
      <c r="Y81" s="20">
        <f t="shared" si="21"/>
        <v>0.13240097942831333</v>
      </c>
    </row>
    <row r="82" spans="1:25" x14ac:dyDescent="0.25">
      <c r="A82">
        <v>22969696</v>
      </c>
      <c r="B82" t="str">
        <f>COMPLEX(0.344611,0.354434)</f>
        <v>0.344611+0.354434i</v>
      </c>
      <c r="C82" t="str">
        <f>COMPLEX(0.673167,-0.520715)</f>
        <v>0.673167-0.520715i</v>
      </c>
      <c r="D82" t="str">
        <f>COMPLEX(0.673167,-0.520715)</f>
        <v>0.673167-0.520715i</v>
      </c>
      <c r="E82" t="str">
        <f>COMPLEX(0.344611,0.354434)</f>
        <v>0.344611+0.354434i</v>
      </c>
      <c r="F82"/>
      <c r="G82" t="str">
        <f t="shared" si="12"/>
        <v>68.0544569134035+63.843783434945i</v>
      </c>
      <c r="H82" t="str">
        <f t="shared" si="13"/>
        <v>68.0544569134035+63.843783434945i</v>
      </c>
      <c r="N82" s="19">
        <f t="shared" si="14"/>
        <v>0.49434825950639288</v>
      </c>
      <c r="O82" s="19">
        <f t="shared" si="14"/>
        <v>0.85105694352023231</v>
      </c>
      <c r="P82" s="18">
        <f t="shared" si="15"/>
        <v>-6.119339811247114</v>
      </c>
      <c r="Q82" s="18">
        <f t="shared" si="15"/>
        <v>-1.4008276131317907</v>
      </c>
      <c r="R82" s="17">
        <f t="shared" si="17"/>
        <v>0.1838608985067342</v>
      </c>
      <c r="T82" s="17">
        <f t="shared" si="16"/>
        <v>22.969695999999999</v>
      </c>
      <c r="U82" s="17">
        <f t="shared" si="18"/>
        <v>0.1838608985067342</v>
      </c>
      <c r="V82" s="17">
        <f t="shared" si="19"/>
        <v>2.9552914384268503</v>
      </c>
      <c r="X82" s="21">
        <f t="shared" si="20"/>
        <v>22.969695999999999</v>
      </c>
      <c r="Y82" s="20">
        <f t="shared" si="21"/>
        <v>0.13240275490027525</v>
      </c>
    </row>
    <row r="83" spans="1:25" x14ac:dyDescent="0.25">
      <c r="A83">
        <v>23262626</v>
      </c>
      <c r="B83" t="str">
        <f>COMPLEX(0.349935,0.357197)</f>
        <v>0.349935+0.357197i</v>
      </c>
      <c r="C83" t="str">
        <f>COMPLEX(0.666691,-0.52277)</f>
        <v>0.666691-0.52277i</v>
      </c>
      <c r="D83" t="str">
        <f>COMPLEX(0.666691,-0.52277)</f>
        <v>0.666691-0.52277i</v>
      </c>
      <c r="E83" t="str">
        <f>COMPLEX(0.349935,0.357197)</f>
        <v>0.349935+0.357197i</v>
      </c>
      <c r="F83"/>
      <c r="G83" t="str">
        <f t="shared" si="12"/>
        <v>68.156212846452+64.9243456579175i</v>
      </c>
      <c r="H83" t="str">
        <f t="shared" si="13"/>
        <v>68.156212846452+64.9243456579175i</v>
      </c>
      <c r="N83" s="19">
        <f t="shared" si="14"/>
        <v>0.50004419908044129</v>
      </c>
      <c r="O83" s="19">
        <f t="shared" si="14"/>
        <v>0.84721034128544492</v>
      </c>
      <c r="P83" s="18">
        <f t="shared" si="15"/>
        <v>-6.0198321305447813</v>
      </c>
      <c r="Q83" s="18">
        <f t="shared" si="15"/>
        <v>-1.4401750349756819</v>
      </c>
      <c r="R83" s="17">
        <f t="shared" si="17"/>
        <v>0.19053171114806852</v>
      </c>
      <c r="T83" s="17">
        <f t="shared" si="16"/>
        <v>23.262626000000001</v>
      </c>
      <c r="U83" s="17">
        <f t="shared" si="18"/>
        <v>0.19053171114806852</v>
      </c>
      <c r="V83" s="17">
        <f t="shared" si="19"/>
        <v>3.0003536239032331</v>
      </c>
      <c r="X83" s="21">
        <f t="shared" si="20"/>
        <v>23.262626000000001</v>
      </c>
      <c r="Y83" s="20">
        <f t="shared" si="21"/>
        <v>0.13235304567523723</v>
      </c>
    </row>
    <row r="84" spans="1:25" x14ac:dyDescent="0.25">
      <c r="A84">
        <v>23555555</v>
      </c>
      <c r="B84" t="str">
        <f>COMPLEX(0.353921,0.355948)</f>
        <v>0.353921+0.355948i</v>
      </c>
      <c r="C84" t="str">
        <f>COMPLEX(0.659112,-0.525545)</f>
        <v>0.659112-0.525545i</v>
      </c>
      <c r="D84" t="str">
        <f>COMPLEX(0.659112,-0.525545)</f>
        <v>0.659112-0.525545i</v>
      </c>
      <c r="E84" t="str">
        <f>COMPLEX(0.353921,0.355948)</f>
        <v>0.353921+0.355948i</v>
      </c>
      <c r="F84"/>
      <c r="G84" t="str">
        <f t="shared" si="12"/>
        <v>68.7389728925305+65.417541698694i</v>
      </c>
      <c r="H84" t="str">
        <f t="shared" si="13"/>
        <v>68.7389728925305+65.417541698694i</v>
      </c>
      <c r="N84" s="19">
        <f t="shared" si="14"/>
        <v>0.50195523002056663</v>
      </c>
      <c r="O84" s="19">
        <f t="shared" si="14"/>
        <v>0.84298646226911622</v>
      </c>
      <c r="P84" s="18">
        <f t="shared" si="15"/>
        <v>-5.9867003273022013</v>
      </c>
      <c r="Q84" s="18">
        <f t="shared" si="15"/>
        <v>-1.4835879952638518</v>
      </c>
      <c r="R84" s="17">
        <f t="shared" si="17"/>
        <v>0.22284170911318879</v>
      </c>
      <c r="T84" s="17">
        <f t="shared" si="16"/>
        <v>23.555554999999998</v>
      </c>
      <c r="U84" s="17">
        <f t="shared" si="18"/>
        <v>0.22284170911318879</v>
      </c>
      <c r="V84" s="17">
        <f t="shared" si="19"/>
        <v>3.0157032470847742</v>
      </c>
      <c r="X84" s="21">
        <f t="shared" si="20"/>
        <v>23.555554999999998</v>
      </c>
      <c r="Y84" s="20">
        <f t="shared" si="21"/>
        <v>0.13225185209259252</v>
      </c>
    </row>
    <row r="85" spans="1:25" x14ac:dyDescent="0.25">
      <c r="A85">
        <v>23848484</v>
      </c>
      <c r="B85" t="str">
        <f>COMPLEX(0.358522,0.357605)</f>
        <v>0.358522+0.357605i</v>
      </c>
      <c r="C85" t="str">
        <f>COMPLEX(0.657482,-0.52644)</f>
        <v>0.657482-0.52644i</v>
      </c>
      <c r="D85" t="str">
        <f>COMPLEX(0.657482,-0.52644)</f>
        <v>0.657482-0.52644i</v>
      </c>
      <c r="E85" t="str">
        <f>COMPLEX(0.358522,0.357605)</f>
        <v>0.358522+0.357605i</v>
      </c>
      <c r="F85"/>
      <c r="G85" t="str">
        <f t="shared" si="12"/>
        <v>68.929793047025+66.299839811469i</v>
      </c>
      <c r="H85" t="str">
        <f t="shared" si="13"/>
        <v>68.929793047025+66.299839811469i</v>
      </c>
      <c r="N85" s="19">
        <f t="shared" si="14"/>
        <v>0.50637867303925821</v>
      </c>
      <c r="O85" s="19">
        <f t="shared" si="14"/>
        <v>0.84227172214434454</v>
      </c>
      <c r="P85" s="18">
        <f t="shared" si="15"/>
        <v>-5.9104918724684143</v>
      </c>
      <c r="Q85" s="18">
        <f t="shared" si="15"/>
        <v>-1.4909555954016889</v>
      </c>
      <c r="R85" s="17">
        <f t="shared" si="17"/>
        <v>0.20423633120280463</v>
      </c>
      <c r="T85" s="17">
        <f t="shared" si="16"/>
        <v>23.848483999999999</v>
      </c>
      <c r="U85" s="17">
        <f t="shared" si="18"/>
        <v>0.20423633120280463</v>
      </c>
      <c r="V85" s="17">
        <f t="shared" si="19"/>
        <v>3.0516887961752555</v>
      </c>
      <c r="X85" s="21">
        <f t="shared" si="20"/>
        <v>23.848483999999999</v>
      </c>
      <c r="Y85" s="20">
        <f t="shared" si="21"/>
        <v>0.13209917407052324</v>
      </c>
    </row>
    <row r="86" spans="1:25" x14ac:dyDescent="0.25">
      <c r="A86">
        <v>24141414</v>
      </c>
      <c r="B86" t="str">
        <f>COMPLEX(0.36522,0.358149)</f>
        <v>0.36522+0.358149i</v>
      </c>
      <c r="C86" t="str">
        <f>COMPLEX(0.651021,-0.527921)</f>
        <v>0.651021-0.527921i</v>
      </c>
      <c r="D86" t="str">
        <f>COMPLEX(0.651021,-0.527921)</f>
        <v>0.651021-0.527921i</v>
      </c>
      <c r="E86" t="str">
        <f>COMPLEX(0.36522,0.358149)</f>
        <v>0.36522+0.358149i</v>
      </c>
      <c r="F86"/>
      <c r="G86" t="str">
        <f t="shared" si="12"/>
        <v>69.4955679549415+67.4205522661305i</v>
      </c>
      <c r="H86" t="str">
        <f t="shared" si="13"/>
        <v>69.4955679549415+67.4205522661305i</v>
      </c>
      <c r="N86" s="19">
        <f t="shared" si="14"/>
        <v>0.51152356211713257</v>
      </c>
      <c r="O86" s="19">
        <f t="shared" si="14"/>
        <v>0.83816998555305</v>
      </c>
      <c r="P86" s="18">
        <f t="shared" si="15"/>
        <v>-5.8226871349593159</v>
      </c>
      <c r="Q86" s="18">
        <f t="shared" si="15"/>
        <v>-1.5333579018276775</v>
      </c>
      <c r="R86" s="17">
        <f t="shared" si="17"/>
        <v>0.21594331632046967</v>
      </c>
      <c r="T86" s="17">
        <f t="shared" si="16"/>
        <v>24.141414000000001</v>
      </c>
      <c r="U86" s="17">
        <f t="shared" si="18"/>
        <v>0.21594331632046967</v>
      </c>
      <c r="V86" s="17">
        <f t="shared" si="19"/>
        <v>3.0943632996267127</v>
      </c>
      <c r="X86" s="21">
        <f t="shared" si="20"/>
        <v>24.141414000000001</v>
      </c>
      <c r="Y86" s="20">
        <f t="shared" si="21"/>
        <v>0.13189501082418123</v>
      </c>
    </row>
    <row r="87" spans="1:25" x14ac:dyDescent="0.25">
      <c r="A87">
        <v>24434343</v>
      </c>
      <c r="B87" t="str">
        <f>COMPLEX(0.370362,0.359027)</f>
        <v>0.370362+0.359027i</v>
      </c>
      <c r="C87" t="str">
        <f>COMPLEX(0.646431,-0.534786)</f>
        <v>0.646431-0.534786i</v>
      </c>
      <c r="D87" t="str">
        <f>COMPLEX(0.646431,-0.534786)</f>
        <v>0.646431-0.534786i</v>
      </c>
      <c r="E87" t="str">
        <f>COMPLEX(0.370362,0.359027)</f>
        <v>0.370362+0.359027i</v>
      </c>
      <c r="F87"/>
      <c r="G87" t="str">
        <f t="shared" si="12"/>
        <v>69.8524249366915+68.341263659032i</v>
      </c>
      <c r="H87" t="str">
        <f t="shared" si="13"/>
        <v>69.8524249366915+68.341263659032i</v>
      </c>
      <c r="N87" s="19">
        <f t="shared" si="14"/>
        <v>0.5158181828638847</v>
      </c>
      <c r="O87" s="19">
        <f t="shared" si="14"/>
        <v>0.83896907187154401</v>
      </c>
      <c r="P87" s="18">
        <f t="shared" si="15"/>
        <v>-5.7500670563591854</v>
      </c>
      <c r="Q87" s="18">
        <f t="shared" si="15"/>
        <v>-1.5250809780171992</v>
      </c>
      <c r="R87" s="17">
        <f t="shared" si="17"/>
        <v>0.18163686110850699</v>
      </c>
      <c r="T87" s="17">
        <f t="shared" si="16"/>
        <v>24.434342999999998</v>
      </c>
      <c r="U87" s="17">
        <f t="shared" si="18"/>
        <v>0.18163686110850699</v>
      </c>
      <c r="V87" s="17">
        <f t="shared" si="19"/>
        <v>3.1306796934874392</v>
      </c>
      <c r="X87" s="21">
        <f t="shared" si="20"/>
        <v>24.434342999999998</v>
      </c>
      <c r="Y87" s="20">
        <f t="shared" si="21"/>
        <v>0.13163936374750534</v>
      </c>
    </row>
    <row r="88" spans="1:25" x14ac:dyDescent="0.25">
      <c r="A88">
        <v>24727272</v>
      </c>
      <c r="B88" t="str">
        <f>COMPLEX(0.374604,0.360263)</f>
        <v>0.374604+0.360263i</v>
      </c>
      <c r="C88" t="str">
        <f>COMPLEX(0.63905,-0.539879)</f>
        <v>0.63905-0.539879i</v>
      </c>
      <c r="D88" t="str">
        <f>COMPLEX(0.63905,-0.539879)</f>
        <v>0.63905-0.539879i</v>
      </c>
      <c r="E88" t="str">
        <f>COMPLEX(0.374604,0.360263)</f>
        <v>0.374604+0.360263i</v>
      </c>
      <c r="F88"/>
      <c r="G88" t="str">
        <f t="shared" si="12"/>
        <v>70.058454830971+69.1603705696395i</v>
      </c>
      <c r="H88" t="str">
        <f t="shared" si="13"/>
        <v>70.058454830971+69.1603705696395i</v>
      </c>
      <c r="N88" s="19">
        <f t="shared" si="14"/>
        <v>0.51972837712116515</v>
      </c>
      <c r="O88" s="19">
        <f t="shared" si="14"/>
        <v>0.8365729120291906</v>
      </c>
      <c r="P88" s="18">
        <f t="shared" si="15"/>
        <v>-5.6844714018270963</v>
      </c>
      <c r="Q88" s="18">
        <f t="shared" si="15"/>
        <v>-1.5499240369606588</v>
      </c>
      <c r="R88" s="17">
        <f t="shared" si="17"/>
        <v>0.18245303463475751</v>
      </c>
      <c r="T88" s="17">
        <f t="shared" si="16"/>
        <v>24.727271999999999</v>
      </c>
      <c r="U88" s="17">
        <f t="shared" si="18"/>
        <v>0.18245303463475751</v>
      </c>
      <c r="V88" s="17">
        <f t="shared" si="19"/>
        <v>3.1643101626776091</v>
      </c>
      <c r="X88" s="21">
        <f t="shared" si="20"/>
        <v>24.727271999999999</v>
      </c>
      <c r="Y88" s="20">
        <f t="shared" si="21"/>
        <v>0.13133223223140486</v>
      </c>
    </row>
    <row r="89" spans="1:25" x14ac:dyDescent="0.25">
      <c r="A89">
        <v>25020202</v>
      </c>
      <c r="B89" t="str">
        <f>COMPLEX(0.379011,0.35897)</f>
        <v>0.379011+0.35897i</v>
      </c>
      <c r="C89" t="str">
        <f>COMPLEX(0.635875,-0.540062)</f>
        <v>0.635875-0.540062i</v>
      </c>
      <c r="D89" t="str">
        <f>COMPLEX(0.635875,-0.540062)</f>
        <v>0.635875-0.540062i</v>
      </c>
      <c r="E89" t="str">
        <f>COMPLEX(0.379011,0.35897)</f>
        <v>0.379011+0.35897i</v>
      </c>
      <c r="F89"/>
      <c r="G89" t="str">
        <f t="shared" si="12"/>
        <v>70.7006673799325+69.7724413304815i</v>
      </c>
      <c r="H89" t="str">
        <f t="shared" si="13"/>
        <v>70.7006673799325+69.7724413304815i</v>
      </c>
      <c r="N89" s="19">
        <f t="shared" si="14"/>
        <v>0.52202375331109208</v>
      </c>
      <c r="O89" s="19">
        <f t="shared" si="14"/>
        <v>0.83426852959284037</v>
      </c>
      <c r="P89" s="18">
        <f t="shared" si="15"/>
        <v>-5.646194702512954</v>
      </c>
      <c r="Q89" s="18">
        <f t="shared" si="15"/>
        <v>-1.5738827726230165</v>
      </c>
      <c r="R89" s="17">
        <f t="shared" si="17"/>
        <v>0.1921602215134473</v>
      </c>
      <c r="T89" s="17">
        <f t="shared" si="16"/>
        <v>25.020202000000001</v>
      </c>
      <c r="U89" s="17">
        <f t="shared" si="18"/>
        <v>0.1921602215134473</v>
      </c>
      <c r="V89" s="17">
        <f t="shared" si="19"/>
        <v>3.1843083497446374</v>
      </c>
      <c r="X89" s="21">
        <f t="shared" si="20"/>
        <v>25.020202000000001</v>
      </c>
      <c r="Y89" s="20">
        <f t="shared" si="21"/>
        <v>0.13097361496375881</v>
      </c>
    </row>
    <row r="90" spans="1:25" x14ac:dyDescent="0.25">
      <c r="A90">
        <v>25313131</v>
      </c>
      <c r="B90" t="str">
        <f>COMPLEX(0.3864,0.360761)</f>
        <v>0.3864+0.360761i</v>
      </c>
      <c r="C90" t="str">
        <f>COMPLEX(0.629227,-0.546449)</f>
        <v>0.629227-0.546449i</v>
      </c>
      <c r="D90" t="str">
        <f>COMPLEX(0.629227,-0.546449)</f>
        <v>0.629227-0.546449i</v>
      </c>
      <c r="E90" t="str">
        <f>COMPLEX(0.3864,0.360761)</f>
        <v>0.3864+0.360761i</v>
      </c>
      <c r="F90"/>
      <c r="G90" t="str">
        <f t="shared" si="12"/>
        <v>71.108420154585+71.20468507723i</v>
      </c>
      <c r="H90" t="str">
        <f t="shared" si="13"/>
        <v>71.108420154585+71.20468507723i</v>
      </c>
      <c r="N90" s="19">
        <f t="shared" si="14"/>
        <v>0.52863357736810479</v>
      </c>
      <c r="O90" s="19">
        <f t="shared" si="14"/>
        <v>0.83338654124601741</v>
      </c>
      <c r="P90" s="18">
        <f t="shared" si="15"/>
        <v>-5.5369051024609082</v>
      </c>
      <c r="Q90" s="18">
        <f t="shared" si="15"/>
        <v>-1.5830703489879432</v>
      </c>
      <c r="R90" s="17">
        <f t="shared" si="17"/>
        <v>0.15969072504245369</v>
      </c>
      <c r="T90" s="17">
        <f t="shared" si="16"/>
        <v>25.313130999999998</v>
      </c>
      <c r="U90" s="17">
        <f t="shared" si="18"/>
        <v>0.15969072504245369</v>
      </c>
      <c r="V90" s="17">
        <f t="shared" si="19"/>
        <v>3.2429835982650435</v>
      </c>
      <c r="X90" s="21">
        <f t="shared" si="20"/>
        <v>25.313130999999998</v>
      </c>
      <c r="Y90" s="20">
        <f t="shared" si="21"/>
        <v>0.13056351439305172</v>
      </c>
    </row>
    <row r="91" spans="1:25" x14ac:dyDescent="0.25">
      <c r="A91">
        <v>25606060</v>
      </c>
      <c r="B91" t="str">
        <f>COMPLEX(0.390307,0.361786)</f>
        <v>0.390307+0.361786i</v>
      </c>
      <c r="C91" t="str">
        <f>COMPLEX(0.62558,-0.547138)</f>
        <v>0.62558-0.547138i</v>
      </c>
      <c r="D91" t="str">
        <f>COMPLEX(0.62558,-0.547138)</f>
        <v>0.62558-0.547138i</v>
      </c>
      <c r="E91" t="str">
        <f>COMPLEX(0.390307,0.361786)</f>
        <v>0.390307+0.361786i</v>
      </c>
      <c r="F91"/>
      <c r="G91" t="str">
        <f t="shared" si="12"/>
        <v>71.304260224571+71.980788838984i</v>
      </c>
      <c r="H91" t="str">
        <f t="shared" si="13"/>
        <v>71.304260224571+71.980788838984i</v>
      </c>
      <c r="N91" s="19">
        <f t="shared" si="14"/>
        <v>0.53219231866403338</v>
      </c>
      <c r="O91" s="19">
        <f t="shared" si="14"/>
        <v>0.83108984318423718</v>
      </c>
      <c r="P91" s="18">
        <f t="shared" si="15"/>
        <v>-5.4786279615662723</v>
      </c>
      <c r="Q91" s="18">
        <f t="shared" si="15"/>
        <v>-1.6070405040993769</v>
      </c>
      <c r="R91" s="17">
        <f t="shared" si="17"/>
        <v>0.16084679757250211</v>
      </c>
      <c r="T91" s="17">
        <f t="shared" si="16"/>
        <v>25.606059999999999</v>
      </c>
      <c r="U91" s="17">
        <f t="shared" si="18"/>
        <v>0.16084679757250211</v>
      </c>
      <c r="V91" s="17">
        <f t="shared" si="19"/>
        <v>3.2752611378427856</v>
      </c>
      <c r="X91" s="21">
        <f t="shared" si="20"/>
        <v>25.606059999999999</v>
      </c>
      <c r="Y91" s="20">
        <f t="shared" si="21"/>
        <v>0.13010192938292003</v>
      </c>
    </row>
    <row r="92" spans="1:25" x14ac:dyDescent="0.25">
      <c r="A92">
        <v>25898989</v>
      </c>
      <c r="B92" t="str">
        <f>COMPLEX(0.395141,0.362356)</f>
        <v>0.395141+0.362356i</v>
      </c>
      <c r="C92" t="str">
        <f>COMPLEX(0.618041,-0.554331)</f>
        <v>0.618041-0.554331i</v>
      </c>
      <c r="D92" t="str">
        <f>COMPLEX(0.618041,-0.554331)</f>
        <v>0.618041-0.554331i</v>
      </c>
      <c r="E92" t="str">
        <f>COMPLEX(0.395141,0.362356)</f>
        <v>0.395141+0.362356i</v>
      </c>
      <c r="F92"/>
      <c r="G92" t="str">
        <f t="shared" si="12"/>
        <v>71.6637551575+72.8857331441725i</v>
      </c>
      <c r="H92" t="str">
        <f t="shared" si="13"/>
        <v>71.6637551575+72.8857331441725i</v>
      </c>
      <c r="N92" s="19">
        <f t="shared" si="14"/>
        <v>0.53613270802759283</v>
      </c>
      <c r="O92" s="19">
        <f t="shared" si="14"/>
        <v>0.83021535473755237</v>
      </c>
      <c r="P92" s="18">
        <f t="shared" si="15"/>
        <v>-5.4145539363524131</v>
      </c>
      <c r="Q92" s="18">
        <f t="shared" si="15"/>
        <v>-1.6161847731340075</v>
      </c>
      <c r="R92" s="17">
        <f t="shared" si="17"/>
        <v>0.14440964557573518</v>
      </c>
      <c r="T92" s="17">
        <f t="shared" si="16"/>
        <v>25.898989</v>
      </c>
      <c r="U92" s="17">
        <f t="shared" si="18"/>
        <v>0.14440964557573518</v>
      </c>
      <c r="V92" s="17">
        <f t="shared" si="19"/>
        <v>3.3115779763126061</v>
      </c>
      <c r="X92" s="21">
        <f t="shared" si="20"/>
        <v>25.898989</v>
      </c>
      <c r="Y92" s="20">
        <f t="shared" si="21"/>
        <v>0.12958885993336369</v>
      </c>
    </row>
    <row r="93" spans="1:25" x14ac:dyDescent="0.25">
      <c r="A93">
        <v>26191919</v>
      </c>
      <c r="B93" t="str">
        <f>COMPLEX(0.397843,0.360244)</f>
        <v>0.397843+0.360244i</v>
      </c>
      <c r="C93" t="str">
        <f>COMPLEX(0.613027,-0.547054)</f>
        <v>0.613027-0.547054i</v>
      </c>
      <c r="D93" t="str">
        <f>COMPLEX(0.613654,-0.546351)</f>
        <v>0.613654-0.546351i</v>
      </c>
      <c r="E93" t="str">
        <f>COMPLEX(0.397843,0.360244)</f>
        <v>0.397843+0.360244i</v>
      </c>
      <c r="F93"/>
      <c r="G93" t="str">
        <f t="shared" si="12"/>
        <v>72.29796233181+73.165481995992i</v>
      </c>
      <c r="H93" t="str">
        <f t="shared" si="13"/>
        <v>72.29796233181+73.165481995992i</v>
      </c>
      <c r="N93" s="19">
        <f t="shared" si="14"/>
        <v>0.53670736177641531</v>
      </c>
      <c r="O93" s="19">
        <f t="shared" si="14"/>
        <v>0.82162654633659438</v>
      </c>
      <c r="P93" s="18">
        <f t="shared" si="15"/>
        <v>-5.4052489529532757</v>
      </c>
      <c r="Q93" s="18">
        <f t="shared" si="15"/>
        <v>-1.7065107469972396</v>
      </c>
      <c r="R93" s="17">
        <f t="shared" si="17"/>
        <v>0.23097645781445406</v>
      </c>
      <c r="T93" s="17">
        <f t="shared" si="16"/>
        <v>26.191918999999999</v>
      </c>
      <c r="U93" s="17">
        <f t="shared" si="18"/>
        <v>0.23097645781445406</v>
      </c>
      <c r="V93" s="17">
        <f t="shared" si="19"/>
        <v>3.31692592325372</v>
      </c>
      <c r="X93" s="21">
        <f t="shared" si="20"/>
        <v>26.191918999999999</v>
      </c>
      <c r="Y93" s="20">
        <f t="shared" si="21"/>
        <v>0.12902430402923173</v>
      </c>
    </row>
    <row r="94" spans="1:25" x14ac:dyDescent="0.25">
      <c r="A94">
        <v>26484848</v>
      </c>
      <c r="B94" t="str">
        <f>COMPLEX(0.404826,0.362661)</f>
        <v>0.404826+0.362661i</v>
      </c>
      <c r="C94" t="str">
        <f>COMPLEX(0.608587,-0.554324)</f>
        <v>0.608587-0.554324i</v>
      </c>
      <c r="D94" t="str">
        <f>COMPLEX(0.608587,-0.554324)</f>
        <v>0.608587-0.554324i</v>
      </c>
      <c r="E94" t="str">
        <f>COMPLEX(0.404826,0.362661)</f>
        <v>0.404826+0.362661i</v>
      </c>
      <c r="F94"/>
      <c r="G94" t="str">
        <f t="shared" si="12"/>
        <v>72.5255300018305+74.6592277821175i</v>
      </c>
      <c r="H94" t="str">
        <f t="shared" si="13"/>
        <v>72.5255300018305+74.6592277821175i</v>
      </c>
      <c r="N94" s="19">
        <f t="shared" si="14"/>
        <v>0.543513653183616</v>
      </c>
      <c r="O94" s="19">
        <f t="shared" si="14"/>
        <v>0.82319695914465085</v>
      </c>
      <c r="P94" s="18">
        <f t="shared" si="15"/>
        <v>-5.2957908373373943</v>
      </c>
      <c r="Q94" s="18">
        <f t="shared" si="15"/>
        <v>-1.6899248501684845</v>
      </c>
      <c r="R94" s="17">
        <f t="shared" si="17"/>
        <v>0.16930753037172303</v>
      </c>
      <c r="T94" s="17">
        <f t="shared" si="16"/>
        <v>26.484848</v>
      </c>
      <c r="U94" s="17">
        <f t="shared" si="18"/>
        <v>0.16930753037172303</v>
      </c>
      <c r="V94" s="17">
        <f t="shared" si="19"/>
        <v>3.381292045092589</v>
      </c>
      <c r="X94" s="21">
        <f t="shared" si="20"/>
        <v>26.484848</v>
      </c>
      <c r="Y94" s="20">
        <f t="shared" si="21"/>
        <v>0.12840826552506884</v>
      </c>
    </row>
    <row r="95" spans="1:25" x14ac:dyDescent="0.25">
      <c r="A95">
        <v>26777777</v>
      </c>
      <c r="B95" t="str">
        <f>COMPLEX(0.40999,0.363012)</f>
        <v>0.40999+0.363012i</v>
      </c>
      <c r="C95" t="str">
        <f>COMPLEX(0.604874,-0.558366)</f>
        <v>0.604874-0.558366i</v>
      </c>
      <c r="D95" t="str">
        <f>COMPLEX(0.604874,-0.558366)</f>
        <v>0.604874-0.558366i</v>
      </c>
      <c r="E95" t="str">
        <f>COMPLEX(0.40999,0.363012)</f>
        <v>0.40999+0.363012i</v>
      </c>
      <c r="F95"/>
      <c r="G95" t="str">
        <f t="shared" si="12"/>
        <v>72.9470502993635+75.644912159578i</v>
      </c>
      <c r="H95" t="str">
        <f t="shared" si="13"/>
        <v>72.9470502993635+75.644912159578i</v>
      </c>
      <c r="N95" s="19">
        <f t="shared" si="14"/>
        <v>0.54760342607036339</v>
      </c>
      <c r="O95" s="19">
        <f t="shared" si="14"/>
        <v>0.82319204674972424</v>
      </c>
      <c r="P95" s="18">
        <f t="shared" si="15"/>
        <v>-5.2306768674885333</v>
      </c>
      <c r="Q95" s="18">
        <f t="shared" si="15"/>
        <v>-1.6899766830221277</v>
      </c>
      <c r="R95" s="17">
        <f t="shared" si="17"/>
        <v>0.14176658075147708</v>
      </c>
      <c r="T95" s="17">
        <f t="shared" si="16"/>
        <v>26.777777</v>
      </c>
      <c r="U95" s="17">
        <f t="shared" si="18"/>
        <v>0.14176658075147708</v>
      </c>
      <c r="V95" s="17">
        <f t="shared" si="19"/>
        <v>3.4208999697488194</v>
      </c>
      <c r="X95" s="21">
        <f t="shared" si="20"/>
        <v>26.777777</v>
      </c>
      <c r="Y95" s="20">
        <f t="shared" si="21"/>
        <v>0.12774074258148133</v>
      </c>
    </row>
    <row r="96" spans="1:25" x14ac:dyDescent="0.25">
      <c r="A96">
        <v>27070707</v>
      </c>
      <c r="B96" t="str">
        <f>COMPLEX(0.414201,0.362327)</f>
        <v>0.414201+0.362327i</v>
      </c>
      <c r="C96" t="str">
        <f>COMPLEX(0.59674,-0.564769)</f>
        <v>0.59674-0.564769i</v>
      </c>
      <c r="D96" t="str">
        <f>COMPLEX(0.59674,-0.564769)</f>
        <v>0.59674-0.564769i</v>
      </c>
      <c r="E96" t="str">
        <f>COMPLEX(0.414201,0.362327)</f>
        <v>0.414201+0.362327i</v>
      </c>
      <c r="F96"/>
      <c r="G96" t="str">
        <f t="shared" si="12"/>
        <v>73.471327473839+76.3691909163615i</v>
      </c>
      <c r="H96" t="str">
        <f t="shared" si="13"/>
        <v>73.471327473839+76.3691909163615i</v>
      </c>
      <c r="N96" s="19">
        <f t="shared" si="14"/>
        <v>0.55031202361024245</v>
      </c>
      <c r="O96" s="19">
        <f t="shared" si="14"/>
        <v>0.82162196353371664</v>
      </c>
      <c r="P96" s="18">
        <f t="shared" si="15"/>
        <v>-5.1878199661815305</v>
      </c>
      <c r="Q96" s="18">
        <f t="shared" si="15"/>
        <v>-1.7065591945933154</v>
      </c>
      <c r="R96" s="17">
        <f t="shared" si="17"/>
        <v>0.13986310422019702</v>
      </c>
      <c r="T96" s="17">
        <f t="shared" si="16"/>
        <v>27.070706999999999</v>
      </c>
      <c r="U96" s="17">
        <f t="shared" si="18"/>
        <v>0.13986310422019702</v>
      </c>
      <c r="V96" s="17">
        <f t="shared" si="19"/>
        <v>3.4475282974133656</v>
      </c>
      <c r="X96" s="21">
        <f t="shared" si="20"/>
        <v>27.070706999999999</v>
      </c>
      <c r="Y96" s="20">
        <f t="shared" si="21"/>
        <v>0.12702173265604533</v>
      </c>
    </row>
    <row r="97" spans="1:25" x14ac:dyDescent="0.25">
      <c r="A97">
        <v>27363636</v>
      </c>
      <c r="B97" t="str">
        <f>COMPLEX(0.420006,0.361182)</f>
        <v>0.420006+0.361182i</v>
      </c>
      <c r="C97" t="str">
        <f>COMPLEX(0.590406,-0.566676)</f>
        <v>0.590406-0.566676i</v>
      </c>
      <c r="D97" t="str">
        <f>COMPLEX(0.590406,-0.566676)</f>
        <v>0.590406-0.566676i</v>
      </c>
      <c r="E97" t="str">
        <f>COMPLEX(0.420006,0.361182)</f>
        <v>0.420006+0.361182i</v>
      </c>
      <c r="F97"/>
      <c r="G97" t="str">
        <f t="shared" si="12"/>
        <v>74.236825325657+77.3664986961445i</v>
      </c>
      <c r="H97" t="str">
        <f t="shared" si="13"/>
        <v>74.236825325657+77.3664986961445i</v>
      </c>
      <c r="N97" s="19">
        <f t="shared" si="14"/>
        <v>0.55394717903424695</v>
      </c>
      <c r="O97" s="19">
        <f t="shared" si="14"/>
        <v>0.81835257304660558</v>
      </c>
      <c r="P97" s="18">
        <f t="shared" si="15"/>
        <v>-5.1306328984863381</v>
      </c>
      <c r="Q97" s="18">
        <f t="shared" si="15"/>
        <v>-1.741190954954825</v>
      </c>
      <c r="R97" s="17">
        <f t="shared" si="17"/>
        <v>0.14941638215446029</v>
      </c>
      <c r="T97" s="17">
        <f t="shared" si="16"/>
        <v>27.363636</v>
      </c>
      <c r="U97" s="17">
        <f t="shared" si="18"/>
        <v>0.14941638215446029</v>
      </c>
      <c r="V97" s="17">
        <f t="shared" si="19"/>
        <v>3.4837739074708276</v>
      </c>
      <c r="X97" s="21">
        <f t="shared" si="20"/>
        <v>27.363636</v>
      </c>
      <c r="Y97" s="20">
        <f t="shared" si="21"/>
        <v>0.12625124065785126</v>
      </c>
    </row>
    <row r="98" spans="1:25" x14ac:dyDescent="0.25">
      <c r="A98">
        <v>27656565</v>
      </c>
      <c r="B98" t="str">
        <f>COMPLEX(0.424876,0.362603)</f>
        <v>0.424876+0.362603i</v>
      </c>
      <c r="C98" t="str">
        <f>COMPLEX(0.586779,-0.566144)</f>
        <v>0.586779-0.566144i</v>
      </c>
      <c r="D98" t="str">
        <f>COMPLEX(0.586779,-0.566144)</f>
        <v>0.586779-0.566144i</v>
      </c>
      <c r="E98" t="str">
        <f>COMPLEX(0.424876,0.362603)</f>
        <v>0.424876+0.362603i</v>
      </c>
      <c r="F98"/>
      <c r="G98" t="str">
        <f t="shared" si="12"/>
        <v>74.418778333534+78.443296193646i</v>
      </c>
      <c r="H98" t="str">
        <f t="shared" si="13"/>
        <v>74.418778333534+78.443296193646i</v>
      </c>
      <c r="N98" s="19">
        <f t="shared" si="14"/>
        <v>0.55857009496123233</v>
      </c>
      <c r="O98" s="19">
        <f t="shared" si="14"/>
        <v>0.81537023711747048</v>
      </c>
      <c r="P98" s="18">
        <f t="shared" si="15"/>
        <v>-5.0584463902792294</v>
      </c>
      <c r="Q98" s="18">
        <f t="shared" si="15"/>
        <v>-1.7729029067711073</v>
      </c>
      <c r="R98" s="17">
        <f t="shared" si="17"/>
        <v>0.148783811076206</v>
      </c>
      <c r="T98" s="17">
        <f t="shared" si="16"/>
        <v>27.656565000000001</v>
      </c>
      <c r="U98" s="17">
        <f t="shared" si="18"/>
        <v>0.148783811076206</v>
      </c>
      <c r="V98" s="17">
        <f t="shared" si="19"/>
        <v>3.530730648673098</v>
      </c>
      <c r="X98" s="21">
        <f t="shared" si="20"/>
        <v>27.656565000000001</v>
      </c>
      <c r="Y98" s="20">
        <f t="shared" si="21"/>
        <v>0.12542926422023251</v>
      </c>
    </row>
    <row r="99" spans="1:25" x14ac:dyDescent="0.25">
      <c r="A99">
        <v>27949494</v>
      </c>
      <c r="B99" t="str">
        <f>COMPLEX(0.429669,0.362757)</f>
        <v>0.429669+0.362757i</v>
      </c>
      <c r="C99" t="str">
        <f>COMPLEX(0.578507,-0.572292)</f>
        <v>0.578507-0.572292i</v>
      </c>
      <c r="D99" t="str">
        <f>COMPLEX(0.579111,-0.571681)</f>
        <v>0.579111-0.571681i</v>
      </c>
      <c r="E99" t="str">
        <f>COMPLEX(0.429669,0.362757)</f>
        <v>0.429669+0.362757i</v>
      </c>
      <c r="F99"/>
      <c r="G99" t="str">
        <f t="shared" si="12"/>
        <v>74.8343920343985+79.400470167714i</v>
      </c>
      <c r="H99" t="str">
        <f t="shared" si="13"/>
        <v>74.8343920343985+79.400470167714i</v>
      </c>
      <c r="N99" s="19">
        <f t="shared" si="14"/>
        <v>0.56232383073279057</v>
      </c>
      <c r="O99" s="19">
        <f t="shared" si="14"/>
        <v>0.81374964351021384</v>
      </c>
      <c r="P99" s="18">
        <f t="shared" si="15"/>
        <v>-5.0002702225223983</v>
      </c>
      <c r="Q99" s="18">
        <f t="shared" si="15"/>
        <v>-1.7901837736137338</v>
      </c>
      <c r="R99" s="17">
        <f t="shared" si="17"/>
        <v>0.1394233529011937</v>
      </c>
      <c r="T99" s="17">
        <f t="shared" si="16"/>
        <v>27.949494000000001</v>
      </c>
      <c r="U99" s="17">
        <f t="shared" si="18"/>
        <v>0.1394233529011937</v>
      </c>
      <c r="V99" s="17">
        <f t="shared" si="19"/>
        <v>3.5695885232877802</v>
      </c>
      <c r="X99" s="21">
        <f t="shared" si="20"/>
        <v>27.949494000000001</v>
      </c>
      <c r="Y99" s="20">
        <f t="shared" si="21"/>
        <v>0.12455580334318922</v>
      </c>
    </row>
    <row r="100" spans="1:25" x14ac:dyDescent="0.25">
      <c r="A100">
        <v>28242424</v>
      </c>
      <c r="B100" t="str">
        <f>COMPLEX(0.43305,0.362253)</f>
        <v>0.43305+0.362253i</v>
      </c>
      <c r="C100" t="str">
        <f>COMPLEX(0.57539,-0.570111)</f>
        <v>0.57539-0.570111i</v>
      </c>
      <c r="D100" t="str">
        <f>COMPLEX(0.57539,-0.570111)</f>
        <v>0.57539-0.570111i</v>
      </c>
      <c r="E100" t="str">
        <f>COMPLEX(0.43305,0.362253)</f>
        <v>0.43305+0.362253i</v>
      </c>
      <c r="F100"/>
      <c r="G100" t="str">
        <f t="shared" si="12"/>
        <v>75.248658598349+80.0276961340995i</v>
      </c>
      <c r="H100" t="str">
        <f t="shared" si="13"/>
        <v>75.248658598349+80.0276961340995i</v>
      </c>
      <c r="N100" s="19">
        <f t="shared" si="14"/>
        <v>0.56458793691417108</v>
      </c>
      <c r="O100" s="19">
        <f t="shared" si="14"/>
        <v>0.81000012618579265</v>
      </c>
      <c r="P100" s="18">
        <f t="shared" si="15"/>
        <v>-4.9653681060553794</v>
      </c>
      <c r="Q100" s="18">
        <f t="shared" si="15"/>
        <v>-1.8302982692964083</v>
      </c>
      <c r="R100" s="17">
        <f t="shared" si="17"/>
        <v>0.16330261405788721</v>
      </c>
      <c r="T100" s="17">
        <f t="shared" si="16"/>
        <v>28.242424</v>
      </c>
      <c r="U100" s="17">
        <f t="shared" si="18"/>
        <v>0.16330261405788721</v>
      </c>
      <c r="V100" s="17">
        <f t="shared" si="19"/>
        <v>3.5933500000567458</v>
      </c>
      <c r="X100" s="21">
        <f t="shared" si="20"/>
        <v>28.242424</v>
      </c>
      <c r="Y100" s="20">
        <f t="shared" si="21"/>
        <v>0.12363085478126726</v>
      </c>
    </row>
    <row r="101" spans="1:25" x14ac:dyDescent="0.25">
      <c r="A101">
        <v>28535353</v>
      </c>
      <c r="B101" t="str">
        <f>COMPLEX(0.437819,0.362657)</f>
        <v>0.437819+0.362657i</v>
      </c>
      <c r="C101" t="str">
        <f>COMPLEX(0.569187,-0.570868)</f>
        <v>0.569187-0.570868i</v>
      </c>
      <c r="D101" t="str">
        <f>COMPLEX(0.569187,-0.570868)</f>
        <v>0.569187-0.570868i</v>
      </c>
      <c r="E101" t="str">
        <f>COMPLEX(0.437819,0.362657)</f>
        <v>0.437819+0.362657i</v>
      </c>
      <c r="F101"/>
      <c r="G101" t="str">
        <f t="shared" si="12"/>
        <v>75.608071189904+81.0284343894885i</v>
      </c>
      <c r="H101" t="str">
        <f t="shared" si="13"/>
        <v>75.608071189904+81.0284343894885i</v>
      </c>
      <c r="N101" s="19">
        <f t="shared" si="14"/>
        <v>0.56851172055640153</v>
      </c>
      <c r="O101" s="19">
        <f t="shared" si="14"/>
        <v>0.80614149774899946</v>
      </c>
      <c r="P101" s="18">
        <f t="shared" si="15"/>
        <v>-4.9052115475636402</v>
      </c>
      <c r="Q101" s="18">
        <f t="shared" si="15"/>
        <v>-1.8717744418601825</v>
      </c>
      <c r="R101" s="17">
        <f t="shared" si="17"/>
        <v>0.17634215886505269</v>
      </c>
      <c r="T101" s="17">
        <f t="shared" si="16"/>
        <v>28.535353000000001</v>
      </c>
      <c r="U101" s="17">
        <f t="shared" si="18"/>
        <v>0.17634215886505269</v>
      </c>
      <c r="V101" s="17">
        <f t="shared" si="19"/>
        <v>3.6351201070374102</v>
      </c>
      <c r="X101" s="21">
        <f t="shared" si="20"/>
        <v>28.535353000000001</v>
      </c>
      <c r="Y101" s="20">
        <f t="shared" si="21"/>
        <v>0.12265442484961733</v>
      </c>
    </row>
    <row r="102" spans="1:25" x14ac:dyDescent="0.25">
      <c r="A102">
        <v>28828282</v>
      </c>
      <c r="B102" t="str">
        <f>COMPLEX(0.441494,0.360544)</f>
        <v>0.441494+0.360544i</v>
      </c>
      <c r="C102" t="str">
        <f>COMPLEX(0.559907,-0.57447)</f>
        <v>0.559907-0.57447i</v>
      </c>
      <c r="D102" t="str">
        <f>COMPLEX(0.559907,-0.57447)</f>
        <v>0.559907-0.57447i</v>
      </c>
      <c r="E102" t="str">
        <f>COMPLEX(0.441494,0.360544)</f>
        <v>0.441494+0.360544i</v>
      </c>
      <c r="F102"/>
      <c r="G102" t="str">
        <f t="shared" si="12"/>
        <v>76.3814326610455+81.5856360671935i</v>
      </c>
      <c r="H102" t="str">
        <f t="shared" si="13"/>
        <v>76.3814326610455+81.5856360671935i</v>
      </c>
      <c r="N102" s="19">
        <f t="shared" si="14"/>
        <v>0.57000783150058554</v>
      </c>
      <c r="O102" s="19">
        <f t="shared" si="14"/>
        <v>0.80219176606906173</v>
      </c>
      <c r="P102" s="18">
        <f t="shared" si="15"/>
        <v>-4.882383547808967</v>
      </c>
      <c r="Q102" s="18">
        <f t="shared" si="15"/>
        <v>-1.914436001141868</v>
      </c>
      <c r="R102" s="17">
        <f t="shared" si="17"/>
        <v>0.20805964665571416</v>
      </c>
      <c r="T102" s="17">
        <f t="shared" si="16"/>
        <v>28.828282000000002</v>
      </c>
      <c r="U102" s="17">
        <f t="shared" si="18"/>
        <v>0.20805964665571416</v>
      </c>
      <c r="V102" s="17">
        <f t="shared" si="19"/>
        <v>3.6512475029012617</v>
      </c>
      <c r="X102" s="21">
        <f t="shared" si="20"/>
        <v>28.828282000000002</v>
      </c>
      <c r="Y102" s="20">
        <f t="shared" si="21"/>
        <v>0.12162651047854281</v>
      </c>
    </row>
    <row r="103" spans="1:25" x14ac:dyDescent="0.25">
      <c r="A103">
        <v>29121212</v>
      </c>
      <c r="B103" t="str">
        <f>COMPLEX(0.44731,0.360373)</f>
        <v>0.44731+0.360373i</v>
      </c>
      <c r="C103" t="str">
        <f>COMPLEX(0.553837,-0.581452)</f>
        <v>0.553837-0.581452i</v>
      </c>
      <c r="D103" t="str">
        <f>COMPLEX(0.553837,-0.581452)</f>
        <v>0.553837-0.581452i</v>
      </c>
      <c r="E103" t="str">
        <f>COMPLEX(0.44731,0.360373)</f>
        <v>0.44731+0.360373i</v>
      </c>
      <c r="F103"/>
      <c r="G103" t="str">
        <f t="shared" si="12"/>
        <v>76.957419511776+82.78062954227i</v>
      </c>
      <c r="H103" t="str">
        <f t="shared" si="13"/>
        <v>76.957419511776+82.78062954227i</v>
      </c>
      <c r="N103" s="19">
        <f t="shared" si="14"/>
        <v>0.57441703946610079</v>
      </c>
      <c r="O103" s="19">
        <f t="shared" si="14"/>
        <v>0.80300800174904863</v>
      </c>
      <c r="P103" s="18">
        <f t="shared" si="15"/>
        <v>-4.8154537138825884</v>
      </c>
      <c r="Q103" s="18">
        <f t="shared" si="15"/>
        <v>-1.9056025415461055</v>
      </c>
      <c r="R103" s="17">
        <f t="shared" si="17"/>
        <v>0.16664266890077581</v>
      </c>
      <c r="T103" s="17">
        <f t="shared" si="16"/>
        <v>29.121212</v>
      </c>
      <c r="U103" s="17">
        <f t="shared" si="18"/>
        <v>0.16664266890077581</v>
      </c>
      <c r="V103" s="17">
        <f t="shared" si="19"/>
        <v>3.699436268526763</v>
      </c>
      <c r="X103" s="21">
        <f t="shared" si="20"/>
        <v>29.121212</v>
      </c>
      <c r="Y103" s="20">
        <f t="shared" si="21"/>
        <v>0.12054710789531684</v>
      </c>
    </row>
    <row r="104" spans="1:25" x14ac:dyDescent="0.25">
      <c r="A104">
        <v>29414141</v>
      </c>
      <c r="B104" t="str">
        <f>COMPLEX(0.451014,0.360124)</f>
        <v>0.451014+0.360124i</v>
      </c>
      <c r="C104" t="str">
        <f>COMPLEX(0.548836,-0.579879)</f>
        <v>0.548836-0.579879i</v>
      </c>
      <c r="D104" t="str">
        <f>COMPLEX(0.548836,-0.579879)</f>
        <v>0.548836-0.579879i</v>
      </c>
      <c r="E104" t="str">
        <f>COMPLEX(0.451014,0.360124)</f>
        <v>0.451014+0.360124i</v>
      </c>
      <c r="F104"/>
      <c r="G104" t="str">
        <f t="shared" si="12"/>
        <v>77.3528034177815+83.540929965473i</v>
      </c>
      <c r="H104" t="str">
        <f t="shared" si="13"/>
        <v>77.3528034177815+83.540929965473i</v>
      </c>
      <c r="N104" s="19">
        <f t="shared" si="14"/>
        <v>0.57715069398901353</v>
      </c>
      <c r="O104" s="19">
        <f t="shared" si="14"/>
        <v>0.79842382826228331</v>
      </c>
      <c r="P104" s="18">
        <f t="shared" si="15"/>
        <v>-4.7742155558377037</v>
      </c>
      <c r="Q104" s="18">
        <f t="shared" si="15"/>
        <v>-1.9553302077503611</v>
      </c>
      <c r="R104" s="17">
        <f t="shared" si="17"/>
        <v>0.19591834319090159</v>
      </c>
      <c r="T104" s="17">
        <f t="shared" si="16"/>
        <v>29.414141000000001</v>
      </c>
      <c r="U104" s="17">
        <f t="shared" si="18"/>
        <v>0.19591834319090159</v>
      </c>
      <c r="V104" s="17">
        <f t="shared" si="19"/>
        <v>3.7298173878238217</v>
      </c>
      <c r="X104" s="21">
        <f t="shared" si="20"/>
        <v>29.414141000000001</v>
      </c>
      <c r="Y104" s="20">
        <f t="shared" si="21"/>
        <v>0.11941622446963571</v>
      </c>
    </row>
    <row r="105" spans="1:25" x14ac:dyDescent="0.25">
      <c r="A105">
        <v>29707070</v>
      </c>
      <c r="B105" t="str">
        <f>COMPLEX(0.456127,0.359407)</f>
        <v>0.456127+0.359407i</v>
      </c>
      <c r="C105" t="str">
        <f>COMPLEX(0.54345,-0.587005)</f>
        <v>0.54345-0.587005i</v>
      </c>
      <c r="D105" t="str">
        <f>COMPLEX(0.54345,-0.587005)</f>
        <v>0.54345-0.587005i</v>
      </c>
      <c r="E105" t="str">
        <f>COMPLEX(0.456127,0.359407)</f>
        <v>0.456127+0.359407i</v>
      </c>
      <c r="F105"/>
      <c r="G105" t="str">
        <f t="shared" si="12"/>
        <v>77.978780522281+84.5720776195385i</v>
      </c>
      <c r="H105" t="str">
        <f t="shared" si="13"/>
        <v>77.978780522281+84.5720776195385i</v>
      </c>
      <c r="N105" s="19">
        <f t="shared" si="14"/>
        <v>0.58071097094682134</v>
      </c>
      <c r="O105" s="19">
        <f t="shared" si="14"/>
        <v>0.79994548097042206</v>
      </c>
      <c r="P105" s="18">
        <f t="shared" si="15"/>
        <v>-4.7207993816356266</v>
      </c>
      <c r="Q105" s="18">
        <f t="shared" si="15"/>
        <v>-1.9387922131744078</v>
      </c>
      <c r="R105" s="17">
        <f t="shared" si="17"/>
        <v>0.15245187826150833</v>
      </c>
      <c r="T105" s="17">
        <f t="shared" si="16"/>
        <v>29.707070000000002</v>
      </c>
      <c r="U105" s="17">
        <f t="shared" si="18"/>
        <v>0.15245187826150833</v>
      </c>
      <c r="V105" s="17">
        <f t="shared" si="19"/>
        <v>3.7699793255175753</v>
      </c>
      <c r="X105" s="21">
        <f t="shared" si="20"/>
        <v>29.707070000000002</v>
      </c>
      <c r="Y105" s="20">
        <f t="shared" si="21"/>
        <v>0.11823385660453004</v>
      </c>
    </row>
    <row r="106" spans="1:25" x14ac:dyDescent="0.25">
      <c r="A106">
        <v>30000000</v>
      </c>
      <c r="B106" t="str">
        <f>COMPLEX(0.457381,0.359443)</f>
        <v>0.457381+0.359443i</v>
      </c>
      <c r="C106" t="str">
        <f>COMPLEX(0.536283,-0.580164)</f>
        <v>0.536283-0.580164i</v>
      </c>
      <c r="D106" t="str">
        <f>COMPLEX(0.536839,-0.57965)</f>
        <v>0.536839-0.57965i</v>
      </c>
      <c r="E106" t="str">
        <f>COMPLEX(0.457679,0.359051)</f>
        <v>0.457679+0.359051i</v>
      </c>
      <c r="F106"/>
      <c r="G106" t="str">
        <f t="shared" si="12"/>
        <v>78.086548339639+84.8474034172135i</v>
      </c>
      <c r="H106" t="str">
        <f t="shared" si="13"/>
        <v>78.1992767512225+84.876076192519i</v>
      </c>
      <c r="M106" s="16">
        <f>IMARGUMENT(B106)*180/PI()</f>
        <v>38.16281941108145</v>
      </c>
      <c r="N106" s="19">
        <f t="shared" si="14"/>
        <v>0.58171870299140283</v>
      </c>
      <c r="O106" s="19">
        <f t="shared" si="14"/>
        <v>0.7900567846585459</v>
      </c>
      <c r="P106" s="18">
        <f t="shared" si="15"/>
        <v>-4.7057394572152491</v>
      </c>
      <c r="Q106" s="18">
        <f t="shared" si="15"/>
        <v>-2.0468338608345045</v>
      </c>
      <c r="R106" s="17">
        <f t="shared" si="17"/>
        <v>0.25281082052159964</v>
      </c>
      <c r="T106" s="17">
        <f t="shared" si="16"/>
        <v>30</v>
      </c>
      <c r="U106" s="17">
        <f t="shared" si="18"/>
        <v>0.25281082052159964</v>
      </c>
      <c r="V106" s="17">
        <f t="shared" si="19"/>
        <v>3.7814712594211279</v>
      </c>
      <c r="X106" s="21">
        <f t="shared" si="20"/>
        <v>30</v>
      </c>
      <c r="Y106" s="20">
        <f t="shared" si="21"/>
        <v>0.11700000000000008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06"/>
  <sheetViews>
    <sheetView tabSelected="1" workbookViewId="0">
      <selection activeCell="Y7" sqref="Y7:Y106"/>
    </sheetView>
  </sheetViews>
  <sheetFormatPr defaultRowHeight="15" x14ac:dyDescent="0.25"/>
  <cols>
    <col min="1" max="1" width="9.140625" style="16"/>
    <col min="2" max="2" width="22.42578125" style="16" customWidth="1"/>
    <col min="3" max="3" width="19.5703125" style="16" customWidth="1"/>
    <col min="4" max="15" width="9.140625" style="16"/>
    <col min="16" max="16" width="10.28515625" style="16" bestFit="1" customWidth="1"/>
    <col min="17" max="17" width="9.28515625" style="16" bestFit="1" customWidth="1"/>
    <col min="18" max="18" width="10.28515625" style="16" bestFit="1" customWidth="1"/>
    <col min="19" max="19" width="9.140625" style="16"/>
    <col min="20" max="20" width="11.5703125" style="16" bestFit="1" customWidth="1"/>
    <col min="21" max="16384" width="9.140625" style="16"/>
  </cols>
  <sheetData>
    <row r="1" spans="1:25" x14ac:dyDescent="0.25">
      <c r="A1" s="16" t="s">
        <v>48</v>
      </c>
    </row>
    <row r="2" spans="1:25" x14ac:dyDescent="0.25">
      <c r="A2" s="16" t="s">
        <v>47</v>
      </c>
      <c r="S2" s="16">
        <f>10^(-0.03)</f>
        <v>0.93325430079699101</v>
      </c>
    </row>
    <row r="3" spans="1:25" x14ac:dyDescent="0.25">
      <c r="A3" s="16" t="s">
        <v>46</v>
      </c>
      <c r="B3" s="16" t="s">
        <v>45</v>
      </c>
    </row>
    <row r="4" spans="1:25" x14ac:dyDescent="0.25">
      <c r="A4" s="16" t="s">
        <v>44</v>
      </c>
      <c r="B4" s="16" t="str">
        <f>COMPLEX(50,0)</f>
        <v>50</v>
      </c>
      <c r="D4" s="16" t="s">
        <v>43</v>
      </c>
      <c r="E4" s="16" t="str">
        <f>COMPLEX(1,0)</f>
        <v>1</v>
      </c>
    </row>
    <row r="6" spans="1:25" x14ac:dyDescent="0.25">
      <c r="A6" s="16" t="s">
        <v>42</v>
      </c>
      <c r="B6" s="16" t="s">
        <v>41</v>
      </c>
      <c r="C6" s="16" t="s">
        <v>40</v>
      </c>
      <c r="D6" s="16" t="s">
        <v>39</v>
      </c>
      <c r="E6" s="16" t="s">
        <v>38</v>
      </c>
      <c r="G6" s="16" t="s">
        <v>37</v>
      </c>
      <c r="H6" s="16" t="s">
        <v>36</v>
      </c>
      <c r="P6" s="16" t="s">
        <v>35</v>
      </c>
      <c r="Q6" s="16" t="s">
        <v>34</v>
      </c>
      <c r="R6" s="16" t="s">
        <v>33</v>
      </c>
    </row>
    <row r="7" spans="1:25" x14ac:dyDescent="0.25">
      <c r="A7">
        <v>1000000</v>
      </c>
      <c r="B7" t="str">
        <f>COMPLEX(-0.0132648,0.00979448)</f>
        <v>-0.0132648+0.00979448i</v>
      </c>
      <c r="C7" t="str">
        <f>COMPLEX(0.995186,-0.0506549)</f>
        <v>0.995186-0.0506549i</v>
      </c>
      <c r="D7" t="str">
        <f>COMPLEX(0.995186,-0.0506549)</f>
        <v>0.995186-0.0506549i</v>
      </c>
      <c r="E7" t="str">
        <f>COMPLEX(-0.0132648,0.00979448)</f>
        <v>-0.0132648+0.00979448i</v>
      </c>
      <c r="F7"/>
      <c r="G7" t="str">
        <f t="shared" ref="G7:G70" si="0">IMPRODUCT($B$4,(IMDIV(IMSUM($E$4,$B7),IMSUB($E$4,$B7))))</f>
        <v>48.6816646711082+0.95388253000388i</v>
      </c>
      <c r="H7" t="str">
        <f t="shared" ref="H7:H70" si="1">IMPRODUCT($B$4,(IMDIV(IMSUM($E$4,$E7),IMSUB($E$4,$E7))))</f>
        <v>48.6816646711082+0.95388253000388i</v>
      </c>
      <c r="N7" s="19">
        <f t="shared" ref="N7:O38" si="2">IMABS(B7)</f>
        <v>1.6488988977811831E-2</v>
      </c>
      <c r="O7" s="19">
        <f t="shared" si="2"/>
        <v>0.99647433157608745</v>
      </c>
      <c r="P7" s="18">
        <f t="shared" ref="P7:Q38" si="3">20*LOG(N7)</f>
        <v>-35.65611944601595</v>
      </c>
      <c r="Q7" s="18">
        <f t="shared" si="3"/>
        <v>-3.067767832538041E-2</v>
      </c>
      <c r="R7" s="17">
        <f>-10*LOG(O7^2/(1-N7^2))</f>
        <v>2.9496728590914068E-2</v>
      </c>
      <c r="T7" s="17">
        <f t="shared" ref="T7:T70" si="4">A7/1000000</f>
        <v>1</v>
      </c>
      <c r="U7" s="17">
        <f>R7</f>
        <v>2.9496728590914068E-2</v>
      </c>
      <c r="V7" s="17">
        <f>(1+N7)/(1-N7)</f>
        <v>1.0335308680696405</v>
      </c>
      <c r="X7" s="21">
        <f>T7</f>
        <v>1</v>
      </c>
      <c r="Y7" s="20">
        <f t="shared" ref="Y7:Y12" si="5">-0.0003*X7^2+0.0101*X7+0.0602</f>
        <v>6.9999999999999993E-2</v>
      </c>
    </row>
    <row r="8" spans="1:25" x14ac:dyDescent="0.25">
      <c r="A8">
        <v>1292929</v>
      </c>
      <c r="B8" t="str">
        <f>COMPLEX(-0.0154897,0.00828166)</f>
        <v>-0.0154897+0.00828166i</v>
      </c>
      <c r="C8" t="str">
        <f>COMPLEX(0.986655,-0.0367001)</f>
        <v>0.986655-0.0367001i</v>
      </c>
      <c r="D8" t="str">
        <f>COMPLEX(0.986655,-0.0367001)</f>
        <v>0.986655-0.0367001i</v>
      </c>
      <c r="E8" t="str">
        <f>COMPLEX(-0.0154897,0.00828166)</f>
        <v>-0.0154897+0.00828166i</v>
      </c>
      <c r="F8"/>
      <c r="G8" t="str">
        <f t="shared" si="0"/>
        <v>48.4681080382458+0.803040534646505i</v>
      </c>
      <c r="H8" t="str">
        <f t="shared" si="1"/>
        <v>48.4681080382458+0.803040534646505i</v>
      </c>
      <c r="N8" s="19">
        <f t="shared" si="2"/>
        <v>1.7564643419255628E-2</v>
      </c>
      <c r="O8" s="19">
        <f t="shared" si="2"/>
        <v>0.98733732146871156</v>
      </c>
      <c r="P8" s="18">
        <f t="shared" si="3"/>
        <v>-35.107213248348927</v>
      </c>
      <c r="Q8" s="18">
        <f t="shared" si="3"/>
        <v>-0.11068892584766379</v>
      </c>
      <c r="R8" s="17">
        <f t="shared" ref="R8:R71" si="6">-10*LOG(O8^2/(1-N8^2))</f>
        <v>0.10934884812175569</v>
      </c>
      <c r="T8" s="17">
        <f t="shared" si="4"/>
        <v>1.292929</v>
      </c>
      <c r="U8" s="17">
        <f t="shared" ref="U8:U71" si="7">R8</f>
        <v>0.10934884812175569</v>
      </c>
      <c r="V8" s="17">
        <f t="shared" ref="V8:V71" si="8">(1+N8)/(1-N8)</f>
        <v>1.0357573519755792</v>
      </c>
      <c r="X8" s="21">
        <f t="shared" ref="X8:X71" si="9">T8</f>
        <v>1.292929</v>
      </c>
      <c r="Y8" s="20">
        <f t="shared" si="5"/>
        <v>7.2757083280287696E-2</v>
      </c>
    </row>
    <row r="9" spans="1:25" x14ac:dyDescent="0.25">
      <c r="A9">
        <v>1585858</v>
      </c>
      <c r="B9" t="str">
        <f>COMPLEX(-0.0157653,0.00733497)</f>
        <v>-0.0157653+0.00733497i</v>
      </c>
      <c r="C9" t="str">
        <f>COMPLEX(1.00327,-0.0669801)</f>
        <v>1.00327-0.0669801i</v>
      </c>
      <c r="D9" t="str">
        <f>COMPLEX(1.00327,-0.0669801)</f>
        <v>1.00327-0.0669801i</v>
      </c>
      <c r="E9" t="str">
        <f>COMPLEX(-0.0157653,0.00733497)</f>
        <v>-0.0157653+0.00733497i</v>
      </c>
      <c r="F9"/>
      <c r="G9" t="str">
        <f t="shared" si="0"/>
        <v>48.4428054440425+0.71086797771876i</v>
      </c>
      <c r="H9" t="str">
        <f t="shared" si="1"/>
        <v>48.4428054440425+0.71086797771876i</v>
      </c>
      <c r="N9" s="19">
        <f t="shared" si="2"/>
        <v>1.7388112864566412E-2</v>
      </c>
      <c r="O9" s="19">
        <f t="shared" si="2"/>
        <v>1.0055033698083811</v>
      </c>
      <c r="P9" s="18">
        <f t="shared" si="3"/>
        <v>-35.194950990167705</v>
      </c>
      <c r="Q9" s="18">
        <f t="shared" si="3"/>
        <v>4.767060828689311E-2</v>
      </c>
      <c r="R9" s="17">
        <f t="shared" si="6"/>
        <v>-4.8983880859618099E-2</v>
      </c>
      <c r="T9" s="17">
        <f t="shared" si="4"/>
        <v>1.585858</v>
      </c>
      <c r="U9" s="17">
        <f t="shared" si="7"/>
        <v>-4.8983880859618099E-2</v>
      </c>
      <c r="V9" s="17">
        <f t="shared" si="8"/>
        <v>1.0353916191982111</v>
      </c>
      <c r="X9" s="21">
        <f t="shared" si="9"/>
        <v>1.585858</v>
      </c>
      <c r="Y9" s="20">
        <f t="shared" si="5"/>
        <v>7.5462682121150801E-2</v>
      </c>
    </row>
    <row r="10" spans="1:25" x14ac:dyDescent="0.25">
      <c r="A10">
        <v>1878787</v>
      </c>
      <c r="B10" t="str">
        <f>COMPLEX(-0.0159756,0.00661556)</f>
        <v>-0.0159756+0.00661556i</v>
      </c>
      <c r="C10" t="str">
        <f>COMPLEX(0.975268,-0.0714455)</f>
        <v>0.975268-0.0714455i</v>
      </c>
      <c r="D10" t="str">
        <f>COMPLEX(0.975268,-0.0714455)</f>
        <v>0.975268-0.0714455i</v>
      </c>
      <c r="E10" t="str">
        <f>COMPLEX(-0.0159756,0.00661556)</f>
        <v>-0.0159756+0.00661556i</v>
      </c>
      <c r="F10"/>
      <c r="G10" t="str">
        <f t="shared" si="0"/>
        <v>48.4233875024491+0.640887266806115i</v>
      </c>
      <c r="H10" t="str">
        <f t="shared" si="1"/>
        <v>48.4233875024491+0.640887266806115i</v>
      </c>
      <c r="N10" s="19">
        <f t="shared" si="2"/>
        <v>1.7291195143008479E-2</v>
      </c>
      <c r="O10" s="19">
        <f t="shared" si="2"/>
        <v>0.97788145053183728</v>
      </c>
      <c r="P10" s="18">
        <f t="shared" si="3"/>
        <v>-35.243499757337673</v>
      </c>
      <c r="Q10" s="18">
        <f t="shared" si="3"/>
        <v>-0.1942758388193315</v>
      </c>
      <c r="R10" s="17">
        <f t="shared" si="6"/>
        <v>0.19297716744584797</v>
      </c>
      <c r="T10" s="17">
        <f t="shared" si="4"/>
        <v>1.878787</v>
      </c>
      <c r="U10" s="17">
        <f t="shared" si="7"/>
        <v>0.19297716744584797</v>
      </c>
      <c r="V10" s="17">
        <f t="shared" si="8"/>
        <v>1.0351908827061438</v>
      </c>
      <c r="X10" s="21">
        <f t="shared" si="9"/>
        <v>1.878787</v>
      </c>
      <c r="Y10" s="20">
        <f t="shared" si="5"/>
        <v>7.8116796522589294E-2</v>
      </c>
    </row>
    <row r="11" spans="1:25" x14ac:dyDescent="0.25">
      <c r="A11">
        <v>2171717</v>
      </c>
      <c r="B11" t="str">
        <f>COMPLEX(-0.0167292,0.0125414)</f>
        <v>-0.0167292+0.0125414i</v>
      </c>
      <c r="C11" t="str">
        <f>COMPLEX(0.985308,-0.0799152)</f>
        <v>0.985308-0.0799152i</v>
      </c>
      <c r="D11" t="str">
        <f>COMPLEX(0.985308,-0.0799152)</f>
        <v>0.985308-0.0799152i</v>
      </c>
      <c r="E11" t="str">
        <f>COMPLEX(-0.0167292,0.0125414)</f>
        <v>-0.0167292+0.0125414i</v>
      </c>
      <c r="F11"/>
      <c r="G11" t="str">
        <f t="shared" si="0"/>
        <v>48.3396434195566+1.21302388480829i</v>
      </c>
      <c r="H11" t="str">
        <f t="shared" si="1"/>
        <v>48.3396434195566+1.21302388480829i</v>
      </c>
      <c r="N11" s="19">
        <f t="shared" si="2"/>
        <v>2.0908200462976242E-2</v>
      </c>
      <c r="O11" s="19">
        <f t="shared" si="2"/>
        <v>0.98854352157861014</v>
      </c>
      <c r="P11" s="18">
        <f t="shared" si="3"/>
        <v>-33.593666892791411</v>
      </c>
      <c r="Q11" s="18">
        <f t="shared" si="3"/>
        <v>-0.10008411394888592</v>
      </c>
      <c r="R11" s="17">
        <f t="shared" si="6"/>
        <v>9.8185168163593795E-2</v>
      </c>
      <c r="T11" s="17">
        <f t="shared" si="4"/>
        <v>2.1717170000000001</v>
      </c>
      <c r="U11" s="17">
        <f t="shared" si="7"/>
        <v>9.8185168163593795E-2</v>
      </c>
      <c r="V11" s="17">
        <f t="shared" si="8"/>
        <v>1.0427093771449478</v>
      </c>
      <c r="X11" s="21">
        <f t="shared" si="9"/>
        <v>2.1717170000000001</v>
      </c>
      <c r="Y11" s="20">
        <f t="shared" si="5"/>
        <v>8.0719435281573299E-2</v>
      </c>
    </row>
    <row r="12" spans="1:25" x14ac:dyDescent="0.25">
      <c r="A12">
        <v>2464646</v>
      </c>
      <c r="B12" t="str">
        <f>COMPLEX(-0.0178796,0.0235242)</f>
        <v>-0.0178796+0.0235242i</v>
      </c>
      <c r="C12" t="str">
        <f>COMPLEX(0.977435,-0.0968984)</f>
        <v>0.977435-0.0968984i</v>
      </c>
      <c r="D12" t="str">
        <f>COMPLEX(0.977435,-0.0968984)</f>
        <v>0.977435-0.0968984i</v>
      </c>
      <c r="E12" t="str">
        <f>COMPLEX(-0.0178796,0.0235242)</f>
        <v>-0.0178796+0.0235242i</v>
      </c>
      <c r="F12"/>
      <c r="G12" t="str">
        <f t="shared" si="0"/>
        <v>48.1910009306868+2.26929073349506i</v>
      </c>
      <c r="H12" t="str">
        <f t="shared" si="1"/>
        <v>48.1910009306868+2.26929073349506i</v>
      </c>
      <c r="N12" s="19">
        <f t="shared" si="2"/>
        <v>2.9547725492836161E-2</v>
      </c>
      <c r="O12" s="19">
        <f t="shared" si="2"/>
        <v>0.98222628713935367</v>
      </c>
      <c r="P12" s="18">
        <f t="shared" si="3"/>
        <v>-30.589518887146021</v>
      </c>
      <c r="Q12" s="18">
        <f t="shared" si="3"/>
        <v>-0.15576894212947134</v>
      </c>
      <c r="R12" s="17">
        <f t="shared" si="6"/>
        <v>0.15197559946269165</v>
      </c>
      <c r="T12" s="17">
        <f t="shared" si="4"/>
        <v>2.4646460000000001</v>
      </c>
      <c r="U12" s="17">
        <f t="shared" si="7"/>
        <v>0.15197559946269165</v>
      </c>
      <c r="V12" s="17">
        <f t="shared" si="8"/>
        <v>1.060894752413954</v>
      </c>
      <c r="X12" s="21">
        <f t="shared" si="9"/>
        <v>2.4646460000000001</v>
      </c>
      <c r="Y12" s="20">
        <f t="shared" si="5"/>
        <v>8.32705806284052E-2</v>
      </c>
    </row>
    <row r="13" spans="1:25" x14ac:dyDescent="0.25">
      <c r="A13">
        <v>2757575</v>
      </c>
      <c r="B13" t="str">
        <f>COMPLEX(-0.0186621,0.0421458)</f>
        <v>-0.0186621+0.0421458i</v>
      </c>
      <c r="C13" t="str">
        <f>COMPLEX(0.983375,-0.115808)</f>
        <v>0.983375-0.115808i</v>
      </c>
      <c r="D13" t="str">
        <f>COMPLEX(0.983375,-0.115808)</f>
        <v>0.983375-0.115808i</v>
      </c>
      <c r="E13" t="str">
        <f>COMPLEX(-0.0186621,0.0421458)</f>
        <v>-0.0186621+0.0421458i</v>
      </c>
      <c r="F13"/>
      <c r="G13" t="str">
        <f t="shared" si="0"/>
        <v>48.0002243895765+4.05462994753433i</v>
      </c>
      <c r="H13" t="str">
        <f t="shared" si="1"/>
        <v>48.0002243895765+4.05462994753433i</v>
      </c>
      <c r="N13" s="19">
        <f t="shared" si="2"/>
        <v>4.6092759019720222E-2</v>
      </c>
      <c r="O13" s="19">
        <f t="shared" si="2"/>
        <v>0.99017063352181878</v>
      </c>
      <c r="P13" s="18">
        <f t="shared" si="3"/>
        <v>-26.727345902088672</v>
      </c>
      <c r="Q13" s="18">
        <f t="shared" si="3"/>
        <v>-8.5799162363967771E-2</v>
      </c>
      <c r="R13" s="17">
        <f t="shared" si="6"/>
        <v>7.6562576570017471E-2</v>
      </c>
      <c r="T13" s="17">
        <f t="shared" si="4"/>
        <v>2.7575750000000001</v>
      </c>
      <c r="U13" s="17">
        <f t="shared" si="7"/>
        <v>7.6562576570017471E-2</v>
      </c>
      <c r="V13" s="17">
        <f t="shared" si="8"/>
        <v>1.0966399185152491</v>
      </c>
      <c r="X13" s="21">
        <f t="shared" si="9"/>
        <v>2.7575750000000001</v>
      </c>
      <c r="Y13" s="20">
        <f>-0.0003*X13^2+0.0101*X13+0.0602</f>
        <v>8.5770241535812503E-2</v>
      </c>
    </row>
    <row r="14" spans="1:25" x14ac:dyDescent="0.25">
      <c r="A14">
        <v>3050505</v>
      </c>
      <c r="B14" t="str">
        <f>COMPLEX(-0.016364,0.0567372)</f>
        <v>-0.016364+0.0567372i</v>
      </c>
      <c r="C14" t="str">
        <f>COMPLEX(0.980144,-0.124084)</f>
        <v>0.980144-0.124084i</v>
      </c>
      <c r="D14" t="str">
        <f>COMPLEX(0.980144,-0.124084)</f>
        <v>0.980144-0.124084i</v>
      </c>
      <c r="E14" t="str">
        <f>COMPLEX(-0.016364,0.0567372)</f>
        <v>-0.016364+0.0567372i</v>
      </c>
      <c r="F14"/>
      <c r="G14" t="str">
        <f t="shared" si="0"/>
        <v>48.0842882548285+5.4754279761698i</v>
      </c>
      <c r="H14" t="str">
        <f t="shared" si="1"/>
        <v>48.0842882548285+5.4754279761698i</v>
      </c>
      <c r="N14" s="19">
        <f t="shared" si="2"/>
        <v>5.9049897204313577E-2</v>
      </c>
      <c r="O14" s="19">
        <f t="shared" si="2"/>
        <v>0.98796715521924106</v>
      </c>
      <c r="P14" s="18">
        <f t="shared" si="3"/>
        <v>-24.575617081631933</v>
      </c>
      <c r="Q14" s="18">
        <f t="shared" si="3"/>
        <v>-0.10514986420183831</v>
      </c>
      <c r="R14" s="17">
        <f t="shared" si="6"/>
        <v>8.998002860534679E-2</v>
      </c>
      <c r="T14" s="17">
        <f t="shared" si="4"/>
        <v>3.0505049999999998</v>
      </c>
      <c r="U14" s="17">
        <f t="shared" si="7"/>
        <v>8.998002860534679E-2</v>
      </c>
      <c r="V14" s="17">
        <f t="shared" si="8"/>
        <v>1.1255112189878476</v>
      </c>
      <c r="X14" s="21">
        <f t="shared" si="9"/>
        <v>3.0505049999999998</v>
      </c>
      <c r="Y14" s="20">
        <f t="shared" ref="Y14:Y77" si="10">-0.0003*X14^2+0.0101*X14+0.0602</f>
        <v>8.8218426273492495E-2</v>
      </c>
    </row>
    <row r="15" spans="1:25" x14ac:dyDescent="0.25">
      <c r="A15">
        <v>3343434</v>
      </c>
      <c r="B15" t="str">
        <f>COMPLEX(-0.0133099,0.0673159)</f>
        <v>-0.0133099+0.0673159i</v>
      </c>
      <c r="C15" t="str">
        <f>COMPLEX(0.975233,-0.133421)</f>
        <v>0.975233-0.133421i</v>
      </c>
      <c r="D15" t="str">
        <f>COMPLEX(0.975233,-0.133421)</f>
        <v>0.975233-0.133421i</v>
      </c>
      <c r="E15" t="str">
        <f>COMPLEX(-0.0133099,0.0673159)</f>
        <v>-0.0133099+0.0673159i</v>
      </c>
      <c r="F15"/>
      <c r="G15" t="str">
        <f t="shared" si="0"/>
        <v>48.2528858787061+6.52710630826995i</v>
      </c>
      <c r="H15" t="str">
        <f t="shared" si="1"/>
        <v>48.2528858787061+6.52710630826995i</v>
      </c>
      <c r="N15" s="19">
        <f t="shared" si="2"/>
        <v>6.8619121466395941E-2</v>
      </c>
      <c r="O15" s="19">
        <f t="shared" si="2"/>
        <v>0.98431731038827119</v>
      </c>
      <c r="P15" s="18">
        <f t="shared" si="3"/>
        <v>-23.271096930708786</v>
      </c>
      <c r="Q15" s="18">
        <f t="shared" si="3"/>
        <v>-0.13729754486333232</v>
      </c>
      <c r="R15" s="17">
        <f t="shared" si="6"/>
        <v>0.11680013025308988</v>
      </c>
      <c r="T15" s="17">
        <f t="shared" si="4"/>
        <v>3.3434339999999998</v>
      </c>
      <c r="U15" s="17">
        <f t="shared" si="7"/>
        <v>0.11680013025308988</v>
      </c>
      <c r="V15" s="17">
        <f t="shared" si="8"/>
        <v>1.1473492167338288</v>
      </c>
      <c r="X15" s="21">
        <f t="shared" si="9"/>
        <v>3.3434339999999998</v>
      </c>
      <c r="Y15" s="20">
        <f t="shared" si="10"/>
        <v>9.0615118126293193E-2</v>
      </c>
    </row>
    <row r="16" spans="1:25" x14ac:dyDescent="0.25">
      <c r="A16">
        <v>3636363</v>
      </c>
      <c r="B16" t="str">
        <f>COMPLEX(-0.0106502,0.0738075)</f>
        <v>-0.0106502+0.0738075i</v>
      </c>
      <c r="C16" t="str">
        <f>COMPLEX(0.972256,-0.140781)</f>
        <v>0.972256-0.140781i</v>
      </c>
      <c r="D16" t="str">
        <f>COMPLEX(0.972256,-0.140781)</f>
        <v>0.972256-0.140781i</v>
      </c>
      <c r="E16" t="str">
        <f>COMPLEX(-0.0106502,0.0738075)</f>
        <v>-0.0106502+0.0738075i</v>
      </c>
      <c r="F16"/>
      <c r="G16" t="str">
        <f t="shared" si="0"/>
        <v>48.4212889656135+7.18767906574355i</v>
      </c>
      <c r="H16" t="str">
        <f t="shared" si="1"/>
        <v>48.4212889656135+7.18767906574355i</v>
      </c>
      <c r="N16" s="19">
        <f t="shared" si="2"/>
        <v>7.4571937190138757E-2</v>
      </c>
      <c r="O16" s="19">
        <f t="shared" si="2"/>
        <v>0.98239555144402002</v>
      </c>
      <c r="P16" s="18">
        <f t="shared" si="3"/>
        <v>-22.548491497832938</v>
      </c>
      <c r="Q16" s="18">
        <f t="shared" si="3"/>
        <v>-0.15427225605507283</v>
      </c>
      <c r="R16" s="17">
        <f t="shared" si="6"/>
        <v>0.13005385208983619</v>
      </c>
      <c r="T16" s="17">
        <f t="shared" si="4"/>
        <v>3.6363629999999998</v>
      </c>
      <c r="U16" s="17">
        <f t="shared" si="7"/>
        <v>0.13005385208983619</v>
      </c>
      <c r="V16" s="17">
        <f t="shared" si="8"/>
        <v>1.161162039896904</v>
      </c>
      <c r="X16" s="21">
        <f t="shared" si="9"/>
        <v>3.6363629999999998</v>
      </c>
      <c r="Y16" s="20">
        <f t="shared" si="10"/>
        <v>9.2960325539669292E-2</v>
      </c>
    </row>
    <row r="17" spans="1:25" x14ac:dyDescent="0.25">
      <c r="A17">
        <v>3929292</v>
      </c>
      <c r="B17" t="str">
        <f>COMPLEX(-0.0090621,0.0802811)</f>
        <v>-0.0090621+0.0802811i</v>
      </c>
      <c r="C17" t="str">
        <f>COMPLEX(0.972637,-0.15471)</f>
        <v>0.972637-0.15471i</v>
      </c>
      <c r="D17" t="str">
        <f>COMPLEX(0.972637,-0.15471)</f>
        <v>0.972637-0.15471i</v>
      </c>
      <c r="E17" t="str">
        <f>COMPLEX(-0.0090621,0.0802811)</f>
        <v>-0.0090621+0.0802811i</v>
      </c>
      <c r="F17"/>
      <c r="G17" t="str">
        <f t="shared" si="0"/>
        <v>48.4785774919633+7.83496727058725i</v>
      </c>
      <c r="H17" t="str">
        <f t="shared" si="1"/>
        <v>48.4785774919633+7.83496727058725i</v>
      </c>
      <c r="N17" s="19">
        <f t="shared" si="2"/>
        <v>8.0790944255033914E-2</v>
      </c>
      <c r="O17" s="19">
        <f t="shared" si="2"/>
        <v>0.98486441598272811</v>
      </c>
      <c r="P17" s="18">
        <f t="shared" si="3"/>
        <v>-21.852746319279184</v>
      </c>
      <c r="Q17" s="18">
        <f t="shared" si="3"/>
        <v>-0.13247107418014897</v>
      </c>
      <c r="R17" s="17">
        <f t="shared" si="6"/>
        <v>0.10403098802630273</v>
      </c>
      <c r="T17" s="17">
        <f t="shared" si="4"/>
        <v>3.9292919999999998</v>
      </c>
      <c r="U17" s="17">
        <f t="shared" si="7"/>
        <v>0.10403098802630273</v>
      </c>
      <c r="V17" s="17">
        <f t="shared" si="8"/>
        <v>1.1757836125527668</v>
      </c>
      <c r="X17" s="21">
        <f t="shared" si="9"/>
        <v>3.9292919999999998</v>
      </c>
      <c r="Y17" s="20">
        <f t="shared" si="10"/>
        <v>9.5254048513620793E-2</v>
      </c>
    </row>
    <row r="18" spans="1:25" x14ac:dyDescent="0.25">
      <c r="A18">
        <v>4222222</v>
      </c>
      <c r="B18" t="str">
        <f>COMPLEX(-0.00717403,0.0856559)</f>
        <v>-0.00717403+0.0856559i</v>
      </c>
      <c r="C18" t="str">
        <f>COMPLEX(0.968511,-0.171619)</f>
        <v>0.968511-0.171619i</v>
      </c>
      <c r="D18" t="str">
        <f>COMPLEX(0.968511,-0.171619)</f>
        <v>0.968511-0.171619i</v>
      </c>
      <c r="E18" t="str">
        <f>COMPLEX(-0.00717403,0.0856559)</f>
        <v>-0.00717403+0.0856559i</v>
      </c>
      <c r="F18"/>
      <c r="G18" t="str">
        <f t="shared" si="0"/>
        <v>48.5747371770881+8.3833653158898i</v>
      </c>
      <c r="H18" t="str">
        <f t="shared" si="1"/>
        <v>48.5747371770881+8.3833653158898i</v>
      </c>
      <c r="N18" s="19">
        <f t="shared" si="2"/>
        <v>8.5955802080202232E-2</v>
      </c>
      <c r="O18" s="19">
        <f t="shared" si="2"/>
        <v>0.98359881978477393</v>
      </c>
      <c r="P18" s="18">
        <f t="shared" si="3"/>
        <v>-21.314496055776178</v>
      </c>
      <c r="Q18" s="18">
        <f t="shared" si="3"/>
        <v>-0.14364002081499899</v>
      </c>
      <c r="R18" s="17">
        <f t="shared" si="6"/>
        <v>0.1114334832573404</v>
      </c>
      <c r="T18" s="17">
        <f t="shared" si="4"/>
        <v>4.2222220000000004</v>
      </c>
      <c r="U18" s="17">
        <f t="shared" si="7"/>
        <v>0.1114334832573404</v>
      </c>
      <c r="V18" s="17">
        <f t="shared" si="8"/>
        <v>1.1880779994574058</v>
      </c>
      <c r="X18" s="21">
        <f t="shared" si="9"/>
        <v>4.2222220000000004</v>
      </c>
      <c r="Y18" s="20">
        <f t="shared" si="10"/>
        <v>9.7496294614814794E-2</v>
      </c>
    </row>
    <row r="19" spans="1:25" x14ac:dyDescent="0.25">
      <c r="A19">
        <v>4515151</v>
      </c>
      <c r="B19" t="str">
        <f>COMPLEX(-0.00443619,0.0913798)</f>
        <v>-0.00443619+0.0913798i</v>
      </c>
      <c r="C19" t="str">
        <f>COMPLEX(0.96187,-0.187885)</f>
        <v>0.96187-0.187885i</v>
      </c>
      <c r="D19" t="str">
        <f>COMPLEX(0.96187,-0.187885)</f>
        <v>0.96187-0.187885i</v>
      </c>
      <c r="E19" t="str">
        <f>COMPLEX(-0.00443619,0.0913798)</f>
        <v>-0.00443619+0.0913798i</v>
      </c>
      <c r="F19"/>
      <c r="G19" t="str">
        <f t="shared" si="0"/>
        <v>48.7410927286525+8.98309060859875i</v>
      </c>
      <c r="H19" t="str">
        <f t="shared" si="1"/>
        <v>48.7410927286525+8.98309060859875i</v>
      </c>
      <c r="N19" s="19">
        <f t="shared" si="2"/>
        <v>9.14874178767556E-2</v>
      </c>
      <c r="O19" s="19">
        <f t="shared" si="2"/>
        <v>0.98004829989393893</v>
      </c>
      <c r="P19" s="18">
        <f t="shared" si="3"/>
        <v>-20.772772593519129</v>
      </c>
      <c r="Q19" s="18">
        <f t="shared" si="3"/>
        <v>-0.17505040736409391</v>
      </c>
      <c r="R19" s="17">
        <f t="shared" si="6"/>
        <v>0.13854720773290682</v>
      </c>
      <c r="T19" s="17">
        <f t="shared" si="4"/>
        <v>4.5151510000000004</v>
      </c>
      <c r="U19" s="17">
        <f t="shared" si="7"/>
        <v>0.13854720773290682</v>
      </c>
      <c r="V19" s="17">
        <f t="shared" si="8"/>
        <v>1.2014004421665672</v>
      </c>
      <c r="X19" s="21">
        <f t="shared" si="9"/>
        <v>4.5151510000000004</v>
      </c>
      <c r="Y19" s="20">
        <f t="shared" si="10"/>
        <v>9.9687048534159689E-2</v>
      </c>
    </row>
    <row r="20" spans="1:25" x14ac:dyDescent="0.25">
      <c r="A20">
        <v>4808080</v>
      </c>
      <c r="B20" t="str">
        <f>COMPLEX(-0.00315887,0.0959273)</f>
        <v>-0.00315887+0.0959273i</v>
      </c>
      <c r="C20" t="str">
        <f>COMPLEX(0.959462,-0.189034)</f>
        <v>0.959462-0.189034i</v>
      </c>
      <c r="D20" t="str">
        <f>COMPLEX(0.959462,-0.189034)</f>
        <v>0.959462-0.189034i</v>
      </c>
      <c r="E20" t="str">
        <f>COMPLEX(-0.00315887,0.0959273)</f>
        <v>-0.00315887+0.0959273i</v>
      </c>
      <c r="F20"/>
      <c r="G20" t="str">
        <f t="shared" si="0"/>
        <v>48.7818283848367+9.44603528852885i</v>
      </c>
      <c r="H20" t="str">
        <f t="shared" si="1"/>
        <v>48.7818283848367+9.44603528852885i</v>
      </c>
      <c r="N20" s="19">
        <f t="shared" si="2"/>
        <v>9.5979296439215989E-2</v>
      </c>
      <c r="O20" s="19">
        <f t="shared" si="2"/>
        <v>0.97790653060504718</v>
      </c>
      <c r="P20" s="18">
        <f t="shared" si="3"/>
        <v>-20.356448758354521</v>
      </c>
      <c r="Q20" s="18">
        <f t="shared" si="3"/>
        <v>-0.19405307157653348</v>
      </c>
      <c r="R20" s="17">
        <f t="shared" si="6"/>
        <v>0.15386034004985832</v>
      </c>
      <c r="T20" s="17">
        <f t="shared" si="4"/>
        <v>4.8080800000000004</v>
      </c>
      <c r="U20" s="17">
        <f t="shared" si="7"/>
        <v>0.15386034004985832</v>
      </c>
      <c r="V20" s="17">
        <f t="shared" si="8"/>
        <v>1.2123387131758596</v>
      </c>
      <c r="X20" s="21">
        <f t="shared" si="9"/>
        <v>4.8080800000000004</v>
      </c>
      <c r="Y20" s="20">
        <f t="shared" si="10"/>
        <v>0.10182631801407999</v>
      </c>
    </row>
    <row r="21" spans="1:25" x14ac:dyDescent="0.25">
      <c r="A21">
        <v>5101010</v>
      </c>
      <c r="B21" t="str">
        <f>COMPLEX(-0.000453549,0.101181)</f>
        <v>-0.000453549+0.101181i</v>
      </c>
      <c r="C21" t="str">
        <f>COMPLEX(0.966672,-0.197903)</f>
        <v>0.966672-0.197903i</v>
      </c>
      <c r="D21" t="str">
        <f>COMPLEX(0.966672,-0.197903)</f>
        <v>0.966672-0.197903i</v>
      </c>
      <c r="E21" t="str">
        <f>COMPLEX(-0.000453549,0.101181)</f>
        <v>-0.000453549+0.101181i</v>
      </c>
      <c r="F21"/>
      <c r="G21" t="str">
        <f t="shared" si="0"/>
        <v>48.942649121417+10.0065777074414i</v>
      </c>
      <c r="H21" t="str">
        <f t="shared" si="1"/>
        <v>48.942649121417+10.0065777074414i</v>
      </c>
      <c r="N21" s="19">
        <f t="shared" si="2"/>
        <v>0.10118201652317174</v>
      </c>
      <c r="O21" s="19">
        <f t="shared" si="2"/>
        <v>0.98672202417550203</v>
      </c>
      <c r="P21" s="18">
        <f t="shared" si="3"/>
        <v>-19.897933389998087</v>
      </c>
      <c r="Q21" s="18">
        <f t="shared" si="3"/>
        <v>-0.11610355998040446</v>
      </c>
      <c r="R21" s="17">
        <f t="shared" si="6"/>
        <v>7.1412194477028346E-2</v>
      </c>
      <c r="T21" s="17">
        <f t="shared" si="4"/>
        <v>5.1010099999999996</v>
      </c>
      <c r="U21" s="17">
        <f t="shared" si="7"/>
        <v>7.1412194477028346E-2</v>
      </c>
      <c r="V21" s="17">
        <f t="shared" si="8"/>
        <v>1.2251446196743354</v>
      </c>
      <c r="X21" s="21">
        <f t="shared" si="9"/>
        <v>5.1010099999999996</v>
      </c>
      <c r="Y21" s="20">
        <f t="shared" si="10"/>
        <v>0.10391411009397</v>
      </c>
    </row>
    <row r="22" spans="1:25" x14ac:dyDescent="0.25">
      <c r="A22">
        <v>5393939</v>
      </c>
      <c r="B22" t="str">
        <f>COMPLEX(0.0010125,0.106161)</f>
        <v>0.0010125+0.106161i</v>
      </c>
      <c r="C22" t="str">
        <f>COMPLEX(0.960824,-0.20429)</f>
        <v>0.960824-0.20429i</v>
      </c>
      <c r="D22" t="str">
        <f>COMPLEX(0.960824,-0.20429)</f>
        <v>0.960824-0.20429i</v>
      </c>
      <c r="E22" t="str">
        <f>COMPLEX(0.0010125,0.106161)</f>
        <v>0.0010125+0.106161i</v>
      </c>
      <c r="F22"/>
      <c r="G22" t="str">
        <f t="shared" si="0"/>
        <v>48.9835301585218+10.5188408715413i</v>
      </c>
      <c r="H22" t="str">
        <f t="shared" si="1"/>
        <v>48.9835301585218+10.5188408715413i</v>
      </c>
      <c r="N22" s="19">
        <f t="shared" si="2"/>
        <v>0.10616582819933164</v>
      </c>
      <c r="O22" s="19">
        <f t="shared" si="2"/>
        <v>0.98230197143037445</v>
      </c>
      <c r="P22" s="18">
        <f t="shared" si="3"/>
        <v>-19.480304959366141</v>
      </c>
      <c r="Q22" s="18">
        <f t="shared" si="3"/>
        <v>-0.15509968690588341</v>
      </c>
      <c r="R22" s="17">
        <f t="shared" si="6"/>
        <v>0.10587160728955095</v>
      </c>
      <c r="T22" s="17">
        <f t="shared" si="4"/>
        <v>5.3939389999999996</v>
      </c>
      <c r="U22" s="17">
        <f t="shared" si="7"/>
        <v>0.10587160728955095</v>
      </c>
      <c r="V22" s="17">
        <f t="shared" si="8"/>
        <v>1.2375515091025349</v>
      </c>
      <c r="X22" s="21">
        <f t="shared" si="9"/>
        <v>5.3939389999999996</v>
      </c>
      <c r="Y22" s="20">
        <f t="shared" si="10"/>
        <v>0.10595041051928369</v>
      </c>
    </row>
    <row r="23" spans="1:25" x14ac:dyDescent="0.25">
      <c r="A23">
        <v>5686868</v>
      </c>
      <c r="B23" t="str">
        <f>COMPLEX(0.00164458,0.110883)</f>
        <v>0.00164458+0.110883i</v>
      </c>
      <c r="C23" t="str">
        <f>COMPLEX(0.957978,-0.211759)</f>
        <v>0.957978-0.211759i</v>
      </c>
      <c r="D23" t="str">
        <f>COMPLEX(0.957978,-0.211759)</f>
        <v>0.957978-0.211759i</v>
      </c>
      <c r="E23" t="str">
        <f>COMPLEX(0.00164458,0.110883)</f>
        <v>0.00164458+0.110883i</v>
      </c>
      <c r="F23"/>
      <c r="G23" t="str">
        <f t="shared" si="0"/>
        <v>48.9441948762582+10.9893019466596i</v>
      </c>
      <c r="H23" t="str">
        <f t="shared" si="1"/>
        <v>48.9441948762582+10.9893019466596i</v>
      </c>
      <c r="N23" s="19">
        <f t="shared" si="2"/>
        <v>0.11089519526280837</v>
      </c>
      <c r="O23" s="19">
        <f t="shared" si="2"/>
        <v>0.9811033190062094</v>
      </c>
      <c r="P23" s="18">
        <f t="shared" si="3"/>
        <v>-19.101745400921772</v>
      </c>
      <c r="Q23" s="18">
        <f t="shared" si="3"/>
        <v>-0.16570510191099613</v>
      </c>
      <c r="R23" s="17">
        <f t="shared" si="6"/>
        <v>0.11196555782001875</v>
      </c>
      <c r="T23" s="17">
        <f t="shared" si="4"/>
        <v>5.6868679999999996</v>
      </c>
      <c r="U23" s="17">
        <f t="shared" si="7"/>
        <v>0.11196555782001875</v>
      </c>
      <c r="V23" s="17">
        <f t="shared" si="8"/>
        <v>1.2494535957334918</v>
      </c>
      <c r="X23" s="21">
        <f t="shared" si="9"/>
        <v>5.6868679999999996</v>
      </c>
      <c r="Y23" s="20">
        <f t="shared" si="10"/>
        <v>0.10793522650517279</v>
      </c>
    </row>
    <row r="24" spans="1:25" x14ac:dyDescent="0.25">
      <c r="A24">
        <v>5979797</v>
      </c>
      <c r="B24" t="str">
        <f>COMPLEX(0.00505193,0.115422)</f>
        <v>0.00505193+0.115422i</v>
      </c>
      <c r="C24" t="str">
        <f>COMPLEX(0.955474,-0.219908)</f>
        <v>0.955474-0.219908i</v>
      </c>
      <c r="D24" t="str">
        <f>COMPLEX(0.955474,-0.219908)</f>
        <v>0.955474-0.219908i</v>
      </c>
      <c r="E24" t="str">
        <f>COMPLEX(0.00505193,0.115422)</f>
        <v>0.00505193+0.115422i</v>
      </c>
      <c r="F24"/>
      <c r="G24" t="str">
        <f t="shared" si="0"/>
        <v>49.1730993749319+11.5048793210418i</v>
      </c>
      <c r="H24" t="str">
        <f t="shared" si="1"/>
        <v>49.1730993749319+11.5048793210418i</v>
      </c>
      <c r="N24" s="19">
        <f t="shared" si="2"/>
        <v>0.11553250659760178</v>
      </c>
      <c r="O24" s="19">
        <f t="shared" si="2"/>
        <v>0.98045402398072701</v>
      </c>
      <c r="P24" s="18">
        <f t="shared" si="3"/>
        <v>-18.745916081720026</v>
      </c>
      <c r="Q24" s="18">
        <f t="shared" si="3"/>
        <v>-0.17145533415378458</v>
      </c>
      <c r="R24" s="17">
        <f t="shared" si="6"/>
        <v>0.11309639583110424</v>
      </c>
      <c r="T24" s="17">
        <f t="shared" si="4"/>
        <v>5.9797969999999996</v>
      </c>
      <c r="U24" s="17">
        <f t="shared" si="7"/>
        <v>0.11309639583110424</v>
      </c>
      <c r="V24" s="17">
        <f t="shared" si="8"/>
        <v>1.2612476036924041</v>
      </c>
      <c r="X24" s="21">
        <f t="shared" si="9"/>
        <v>5.9797969999999996</v>
      </c>
      <c r="Y24" s="20">
        <f t="shared" si="10"/>
        <v>0.10986855805163728</v>
      </c>
    </row>
    <row r="25" spans="1:25" x14ac:dyDescent="0.25">
      <c r="A25">
        <v>6272727</v>
      </c>
      <c r="B25" t="str">
        <f>COMPLEX(0.00660531,0.120246)</f>
        <v>0.00660531+0.120246i</v>
      </c>
      <c r="C25" t="str">
        <f>COMPLEX(0.952782,-0.232909)</f>
        <v>0.952782-0.232909i</v>
      </c>
      <c r="D25" t="str">
        <f>COMPLEX(0.952782,-0.232909)</f>
        <v>0.952782-0.232909i</v>
      </c>
      <c r="E25" t="str">
        <f>COMPLEX(0.00660531,0.120246)</f>
        <v>0.00660531+0.120246i</v>
      </c>
      <c r="F25"/>
      <c r="G25" t="str">
        <f t="shared" si="0"/>
        <v>49.2112770536883+12.0090829362072i</v>
      </c>
      <c r="H25" t="str">
        <f t="shared" si="1"/>
        <v>49.2112770536883+12.0090829362072i</v>
      </c>
      <c r="N25" s="19">
        <f t="shared" si="2"/>
        <v>0.12042728360382501</v>
      </c>
      <c r="O25" s="19">
        <f t="shared" si="2"/>
        <v>0.98083645007972664</v>
      </c>
      <c r="P25" s="18">
        <f t="shared" si="3"/>
        <v>-18.385502192421384</v>
      </c>
      <c r="Q25" s="18">
        <f t="shared" si="3"/>
        <v>-0.16806806339847755</v>
      </c>
      <c r="R25" s="17">
        <f t="shared" si="6"/>
        <v>0.10462231604853137</v>
      </c>
      <c r="T25" s="17">
        <f t="shared" si="4"/>
        <v>6.2727269999999997</v>
      </c>
      <c r="U25" s="17">
        <f t="shared" si="7"/>
        <v>0.10462231604853137</v>
      </c>
      <c r="V25" s="17">
        <f t="shared" si="8"/>
        <v>1.2738313305061237</v>
      </c>
      <c r="X25" s="21">
        <f t="shared" si="9"/>
        <v>6.2727269999999997</v>
      </c>
      <c r="Y25" s="20">
        <f t="shared" si="10"/>
        <v>0.11175041149504128</v>
      </c>
    </row>
    <row r="26" spans="1:25" x14ac:dyDescent="0.25">
      <c r="A26">
        <v>6565656</v>
      </c>
      <c r="B26" t="str">
        <f>COMPLEX(0.00899677,0.124812)</f>
        <v>0.00899677+0.124812i</v>
      </c>
      <c r="C26" t="str">
        <f>COMPLEX(0.950617,-0.237828)</f>
        <v>0.950617-0.237828i</v>
      </c>
      <c r="D26" t="str">
        <f>COMPLEX(0.950617,-0.237828)</f>
        <v>0.950617-0.237828i</v>
      </c>
      <c r="E26" t="str">
        <f>COMPLEX(0.00899677,0.124812)</f>
        <v>0.00899677+0.124812i</v>
      </c>
      <c r="F26"/>
      <c r="G26" t="str">
        <f t="shared" si="0"/>
        <v>49.3322203049317+12.5104063290481i</v>
      </c>
      <c r="H26" t="str">
        <f t="shared" si="1"/>
        <v>49.3322203049317+12.5104063290481i</v>
      </c>
      <c r="N26" s="19">
        <f t="shared" si="2"/>
        <v>0.12513583505308504</v>
      </c>
      <c r="O26" s="19">
        <f t="shared" si="2"/>
        <v>0.97991573018959144</v>
      </c>
      <c r="P26" s="18">
        <f t="shared" si="3"/>
        <v>-18.052366078358059</v>
      </c>
      <c r="Q26" s="18">
        <f t="shared" si="3"/>
        <v>-0.1762254144615662</v>
      </c>
      <c r="R26" s="17">
        <f t="shared" si="6"/>
        <v>0.10768126316324042</v>
      </c>
      <c r="T26" s="17">
        <f t="shared" si="4"/>
        <v>6.5656559999999997</v>
      </c>
      <c r="U26" s="17">
        <f t="shared" si="7"/>
        <v>0.10768126316324042</v>
      </c>
      <c r="V26" s="17">
        <f t="shared" si="8"/>
        <v>1.2860691752317415</v>
      </c>
      <c r="X26" s="21">
        <f t="shared" si="9"/>
        <v>6.5656559999999997</v>
      </c>
      <c r="Y26" s="20">
        <f t="shared" si="10"/>
        <v>0.1135807739868992</v>
      </c>
    </row>
    <row r="27" spans="1:25" x14ac:dyDescent="0.25">
      <c r="A27">
        <v>6858585</v>
      </c>
      <c r="B27" t="str">
        <f>COMPLEX(0.0121274,0.129612)</f>
        <v>0.0121274+0.129612i</v>
      </c>
      <c r="C27" t="str">
        <f>COMPLEX(0.951014,-0.248677)</f>
        <v>0.951014-0.248677i</v>
      </c>
      <c r="D27" t="str">
        <f>COMPLEX(0.951014,-0.248677)</f>
        <v>0.951014-0.248677i</v>
      </c>
      <c r="E27" t="str">
        <f>COMPLEX(0.0121274,0.129612)</f>
        <v>0.0121274+0.129612i</v>
      </c>
      <c r="F27"/>
      <c r="G27" t="str">
        <f t="shared" si="0"/>
        <v>49.5145577292295+13.0566237553313i</v>
      </c>
      <c r="H27" t="str">
        <f t="shared" si="1"/>
        <v>49.5145577292295+13.0566237553313i</v>
      </c>
      <c r="N27" s="19">
        <f t="shared" si="2"/>
        <v>0.13017812556170871</v>
      </c>
      <c r="O27" s="19">
        <f t="shared" si="2"/>
        <v>0.98298925656641845</v>
      </c>
      <c r="P27" s="18">
        <f t="shared" si="3"/>
        <v>-17.70923972333814</v>
      </c>
      <c r="Q27" s="18">
        <f t="shared" si="3"/>
        <v>-0.14902457396600019</v>
      </c>
      <c r="R27" s="17">
        <f t="shared" si="6"/>
        <v>7.4796799144179513E-2</v>
      </c>
      <c r="T27" s="17">
        <f t="shared" si="4"/>
        <v>6.8585849999999997</v>
      </c>
      <c r="U27" s="17">
        <f t="shared" si="7"/>
        <v>7.4796799144179513E-2</v>
      </c>
      <c r="V27" s="17">
        <f t="shared" si="8"/>
        <v>1.2993213424203074</v>
      </c>
      <c r="X27" s="21">
        <f t="shared" si="9"/>
        <v>6.8585849999999997</v>
      </c>
      <c r="Y27" s="20">
        <f t="shared" si="10"/>
        <v>0.11535965203933249</v>
      </c>
    </row>
    <row r="28" spans="1:25" x14ac:dyDescent="0.25">
      <c r="A28">
        <v>7151515</v>
      </c>
      <c r="B28" t="str">
        <f>COMPLEX(0.0137659,0.134589)</f>
        <v>0.0137659+0.134589i</v>
      </c>
      <c r="C28" t="str">
        <f>COMPLEX(0.947368,-0.255155)</f>
        <v>0.947368-0.255155i</v>
      </c>
      <c r="D28" t="str">
        <f>COMPLEX(0.947368,-0.255155)</f>
        <v>0.947368-0.255155i</v>
      </c>
      <c r="E28" t="str">
        <f>COMPLEX(0.0137659,0.134589)</f>
        <v>0.0137659+0.134589i</v>
      </c>
      <c r="F28"/>
      <c r="G28" t="str">
        <f t="shared" si="0"/>
        <v>49.5419935780638+13.5842568956783i</v>
      </c>
      <c r="H28" t="str">
        <f t="shared" si="1"/>
        <v>49.5419935780638+13.5842568956783i</v>
      </c>
      <c r="N28" s="19">
        <f t="shared" si="2"/>
        <v>0.13529116350970596</v>
      </c>
      <c r="O28" s="19">
        <f t="shared" si="2"/>
        <v>0.98112700576887613</v>
      </c>
      <c r="P28" s="18">
        <f t="shared" si="3"/>
        <v>-17.374611365061334</v>
      </c>
      <c r="Q28" s="18">
        <f t="shared" si="3"/>
        <v>-0.16549540113956418</v>
      </c>
      <c r="R28" s="17">
        <f t="shared" si="6"/>
        <v>8.5266947377280883E-2</v>
      </c>
      <c r="T28" s="17">
        <f t="shared" si="4"/>
        <v>7.1515149999999998</v>
      </c>
      <c r="U28" s="17">
        <f t="shared" si="7"/>
        <v>8.5266947377280883E-2</v>
      </c>
      <c r="V28" s="17">
        <f t="shared" si="8"/>
        <v>1.3129172683346912</v>
      </c>
      <c r="X28" s="21">
        <f t="shared" si="9"/>
        <v>7.1515149999999998</v>
      </c>
      <c r="Y28" s="20">
        <f t="shared" si="10"/>
        <v>0.1170870514614325</v>
      </c>
    </row>
    <row r="29" spans="1:25" x14ac:dyDescent="0.25">
      <c r="A29">
        <v>7444444</v>
      </c>
      <c r="B29" t="str">
        <f>COMPLEX(0.017085,0.139534)</f>
        <v>0.017085+0.139534i</v>
      </c>
      <c r="C29" t="str">
        <f>COMPLEX(0.944758,-0.262737)</f>
        <v>0.944758-0.262737i</v>
      </c>
      <c r="D29" t="str">
        <f>COMPLEX(0.944758,-0.262737)</f>
        <v>0.944758-0.262737i</v>
      </c>
      <c r="E29" t="str">
        <f>COMPLEX(0.017085,0.139534)</f>
        <v>0.017085+0.139534i</v>
      </c>
      <c r="F29"/>
      <c r="G29" t="str">
        <f t="shared" si="0"/>
        <v>49.7284235896867+14.1573847760624i</v>
      </c>
      <c r="H29" t="str">
        <f t="shared" si="1"/>
        <v>49.7284235896867+14.1573847760624i</v>
      </c>
      <c r="N29" s="19">
        <f t="shared" si="2"/>
        <v>0.14057608040132574</v>
      </c>
      <c r="O29" s="19">
        <f t="shared" si="2"/>
        <v>0.98061124291586621</v>
      </c>
      <c r="P29" s="18">
        <f t="shared" si="3"/>
        <v>-17.041771400471358</v>
      </c>
      <c r="Q29" s="18">
        <f t="shared" si="3"/>
        <v>-0.17006263565913435</v>
      </c>
      <c r="R29" s="17">
        <f t="shared" si="6"/>
        <v>8.3379599577406732E-2</v>
      </c>
      <c r="T29" s="17">
        <f t="shared" si="4"/>
        <v>7.4444439999999998</v>
      </c>
      <c r="U29" s="17">
        <f t="shared" si="7"/>
        <v>8.3379599577406732E-2</v>
      </c>
      <c r="V29" s="17">
        <f t="shared" si="8"/>
        <v>1.3271402556888821</v>
      </c>
      <c r="X29" s="21">
        <f t="shared" si="9"/>
        <v>7.4444439999999998</v>
      </c>
      <c r="Y29" s="20">
        <f t="shared" si="10"/>
        <v>0.11876296045925919</v>
      </c>
    </row>
    <row r="30" spans="1:25" x14ac:dyDescent="0.25">
      <c r="A30">
        <v>7737373</v>
      </c>
      <c r="B30" t="str">
        <f>COMPLEX(0.019255,0.144014)</f>
        <v>0.019255+0.144014i</v>
      </c>
      <c r="C30" t="str">
        <f>COMPLEX(0.942512,-0.265784)</f>
        <v>0.942512-0.265784i</v>
      </c>
      <c r="D30" t="str">
        <f>COMPLEX(0.942512,-0.265784)</f>
        <v>0.942512-0.265784i</v>
      </c>
      <c r="E30" t="str">
        <f>COMPLEX(0.019255,0.144014)</f>
        <v>0.019255+0.144014i</v>
      </c>
      <c r="F30"/>
      <c r="G30" t="str">
        <f t="shared" si="0"/>
        <v>49.8111351786875+14.6564099960984i</v>
      </c>
      <c r="H30" t="str">
        <f t="shared" si="1"/>
        <v>49.8111351786875+14.6564099960984i</v>
      </c>
      <c r="N30" s="19">
        <f t="shared" si="2"/>
        <v>0.14529551686476772</v>
      </c>
      <c r="O30" s="19">
        <f t="shared" si="2"/>
        <v>0.97927013882789271</v>
      </c>
      <c r="P30" s="18">
        <f t="shared" si="3"/>
        <v>-16.754955715544089</v>
      </c>
      <c r="Q30" s="18">
        <f t="shared" si="3"/>
        <v>-0.18194976722527567</v>
      </c>
      <c r="R30" s="17">
        <f t="shared" si="6"/>
        <v>8.9285193925244394E-2</v>
      </c>
      <c r="T30" s="17">
        <f t="shared" si="4"/>
        <v>7.7373729999999998</v>
      </c>
      <c r="U30" s="17">
        <f t="shared" si="7"/>
        <v>8.9285193925244394E-2</v>
      </c>
      <c r="V30" s="17">
        <f t="shared" si="8"/>
        <v>1.3399900661145332</v>
      </c>
      <c r="X30" s="21">
        <f t="shared" si="9"/>
        <v>7.7373729999999998</v>
      </c>
      <c r="Y30" s="20">
        <f t="shared" si="10"/>
        <v>0.1203873850176613</v>
      </c>
    </row>
    <row r="31" spans="1:25" x14ac:dyDescent="0.25">
      <c r="A31">
        <v>8030303</v>
      </c>
      <c r="B31" t="str">
        <f>COMPLEX(0.021966,0.148593)</f>
        <v>0.021966+0.148593i</v>
      </c>
      <c r="C31" t="str">
        <f>COMPLEX(0.93181,-0.273065)</f>
        <v>0.93181-0.273065i</v>
      </c>
      <c r="D31" t="str">
        <f>COMPLEX(0.93181,-0.273065)</f>
        <v>0.93181-0.273065i</v>
      </c>
      <c r="E31" t="str">
        <f>COMPLEX(0.021966,0.148593)</f>
        <v>0.021966+0.148593i</v>
      </c>
      <c r="F31"/>
      <c r="G31" t="str">
        <f t="shared" si="0"/>
        <v>49.9390592388853+15.1837713509793i</v>
      </c>
      <c r="H31" t="str">
        <f t="shared" si="1"/>
        <v>49.9390592388853+15.1837713509793i</v>
      </c>
      <c r="N31" s="19">
        <f t="shared" si="2"/>
        <v>0.15020780540637693</v>
      </c>
      <c r="O31" s="19">
        <f t="shared" si="2"/>
        <v>0.97099658615517281</v>
      </c>
      <c r="P31" s="18">
        <f t="shared" si="3"/>
        <v>-16.466149980879091</v>
      </c>
      <c r="Q31" s="18">
        <f t="shared" si="3"/>
        <v>-0.25564593977145406</v>
      </c>
      <c r="R31" s="17">
        <f t="shared" si="6"/>
        <v>0.1565364215127697</v>
      </c>
      <c r="T31" s="17">
        <f t="shared" si="4"/>
        <v>8.030303</v>
      </c>
      <c r="U31" s="17">
        <f t="shared" si="7"/>
        <v>0.1565364215127697</v>
      </c>
      <c r="V31" s="17">
        <f t="shared" si="8"/>
        <v>1.3535165570171126</v>
      </c>
      <c r="X31" s="21">
        <f t="shared" si="9"/>
        <v>8.030303</v>
      </c>
      <c r="Y31" s="20">
        <f t="shared" si="10"/>
        <v>0.12196033041845729</v>
      </c>
    </row>
    <row r="32" spans="1:25" x14ac:dyDescent="0.25">
      <c r="A32">
        <v>8323232</v>
      </c>
      <c r="B32" t="str">
        <f>COMPLEX(0.0246605,0.15299)</f>
        <v>0.0246605+0.15299i</v>
      </c>
      <c r="C32" t="str">
        <f>COMPLEX(0.935799,-0.282223)</f>
        <v>0.935799-0.282223i</v>
      </c>
      <c r="D32" t="str">
        <f>COMPLEX(0.935799,-0.282223)</f>
        <v>0.935799-0.282223i</v>
      </c>
      <c r="E32" t="str">
        <f>COMPLEX(0.0246605,0.15299)</f>
        <v>0.0246605+0.15299i</v>
      </c>
      <c r="F32"/>
      <c r="G32" t="str">
        <f t="shared" si="0"/>
        <v>50.066320327165+15.6962230555134i</v>
      </c>
      <c r="H32" t="str">
        <f t="shared" si="1"/>
        <v>50.066320327165+15.6962230555134i</v>
      </c>
      <c r="N32" s="19">
        <f t="shared" si="2"/>
        <v>0.15496477135223347</v>
      </c>
      <c r="O32" s="19">
        <f t="shared" si="2"/>
        <v>0.977430094753584</v>
      </c>
      <c r="P32" s="18">
        <f t="shared" si="3"/>
        <v>-16.195340403852622</v>
      </c>
      <c r="Q32" s="18">
        <f t="shared" si="3"/>
        <v>-0.19828586633284689</v>
      </c>
      <c r="R32" s="17">
        <f t="shared" si="6"/>
        <v>9.272138862609984E-2</v>
      </c>
      <c r="T32" s="17">
        <f t="shared" si="4"/>
        <v>8.3232320000000009</v>
      </c>
      <c r="U32" s="17">
        <f t="shared" si="7"/>
        <v>9.272138862609984E-2</v>
      </c>
      <c r="V32" s="17">
        <f t="shared" si="8"/>
        <v>1.3667652332085838</v>
      </c>
      <c r="X32" s="21">
        <f t="shared" si="9"/>
        <v>8.3232320000000009</v>
      </c>
      <c r="Y32" s="20">
        <f t="shared" si="10"/>
        <v>0.12348178592225281</v>
      </c>
    </row>
    <row r="33" spans="1:25" x14ac:dyDescent="0.25">
      <c r="A33">
        <v>8616161</v>
      </c>
      <c r="B33" t="str">
        <f>COMPLEX(0.0264458,0.157284)</f>
        <v>0.0264458+0.157284i</v>
      </c>
      <c r="C33" t="str">
        <f>COMPLEX(0.932362,-0.286289)</f>
        <v>0.932362-0.286289i</v>
      </c>
      <c r="D33" t="str">
        <f>COMPLEX(0.932362,-0.286289)</f>
        <v>0.932362-0.286289i</v>
      </c>
      <c r="E33" t="str">
        <f>COMPLEX(0.0264458,0.157284)</f>
        <v>0.0264458+0.157284i</v>
      </c>
      <c r="F33"/>
      <c r="G33" t="str">
        <f t="shared" si="0"/>
        <v>50.1036622399365+16.1723963717132i</v>
      </c>
      <c r="H33" t="str">
        <f t="shared" si="1"/>
        <v>50.1036622399365+16.1723963717132i</v>
      </c>
      <c r="N33" s="19">
        <f t="shared" si="2"/>
        <v>0.15949180854714767</v>
      </c>
      <c r="O33" s="19">
        <f t="shared" si="2"/>
        <v>0.97532573562118219</v>
      </c>
      <c r="P33" s="18">
        <f t="shared" si="3"/>
        <v>-15.945232345443479</v>
      </c>
      <c r="Q33" s="18">
        <f t="shared" si="3"/>
        <v>-0.21700632075329238</v>
      </c>
      <c r="R33" s="17">
        <f t="shared" si="6"/>
        <v>0.10510267261097053</v>
      </c>
      <c r="T33" s="17">
        <f t="shared" si="4"/>
        <v>8.616161</v>
      </c>
      <c r="U33" s="17">
        <f t="shared" si="7"/>
        <v>0.10510267261097053</v>
      </c>
      <c r="V33" s="17">
        <f t="shared" si="8"/>
        <v>1.3795127999203904</v>
      </c>
      <c r="X33" s="21">
        <f t="shared" si="9"/>
        <v>8.616161</v>
      </c>
      <c r="Y33" s="20">
        <f t="shared" si="10"/>
        <v>0.1249517569866237</v>
      </c>
    </row>
    <row r="34" spans="1:25" x14ac:dyDescent="0.25">
      <c r="A34">
        <v>8909090</v>
      </c>
      <c r="B34" t="str">
        <f>COMPLEX(0.0296133,0.16162)</f>
        <v>0.0296133+0.16162i</v>
      </c>
      <c r="C34" t="str">
        <f>COMPLEX(0.925997,-0.288933)</f>
        <v>0.925997-0.288933i</v>
      </c>
      <c r="D34" t="str">
        <f>COMPLEX(0.925997,-0.288933)</f>
        <v>0.925997-0.288933i</v>
      </c>
      <c r="E34" t="str">
        <f>COMPLEX(0.0296133,0.16162)</f>
        <v>0.0296133+0.16162i</v>
      </c>
      <c r="F34"/>
      <c r="G34" t="str">
        <f t="shared" si="0"/>
        <v>50.2702423463795+16.7002253514211i</v>
      </c>
      <c r="H34" t="str">
        <f t="shared" si="1"/>
        <v>50.2702423463795+16.7002253514211i</v>
      </c>
      <c r="N34" s="19">
        <f t="shared" si="2"/>
        <v>0.16431059593614164</v>
      </c>
      <c r="O34" s="19">
        <f t="shared" si="2"/>
        <v>0.97002717616466816</v>
      </c>
      <c r="P34" s="18">
        <f t="shared" si="3"/>
        <v>-15.686688584224335</v>
      </c>
      <c r="Q34" s="18">
        <f t="shared" si="3"/>
        <v>-0.26432196842716471</v>
      </c>
      <c r="R34" s="17">
        <f t="shared" si="6"/>
        <v>0.14545942327614841</v>
      </c>
      <c r="T34" s="17">
        <f t="shared" si="4"/>
        <v>8.9090900000000008</v>
      </c>
      <c r="U34" s="17">
        <f t="shared" si="7"/>
        <v>0.14545942327614841</v>
      </c>
      <c r="V34" s="17">
        <f t="shared" si="8"/>
        <v>1.3932336467044304</v>
      </c>
      <c r="X34" s="21">
        <f t="shared" si="9"/>
        <v>8.9090900000000008</v>
      </c>
      <c r="Y34" s="20">
        <f t="shared" si="10"/>
        <v>0.12637024361157001</v>
      </c>
    </row>
    <row r="35" spans="1:25" x14ac:dyDescent="0.25">
      <c r="A35">
        <v>9202020</v>
      </c>
      <c r="B35" t="str">
        <f>COMPLEX(0.0326081,0.166329)</f>
        <v>0.0326081+0.166329i</v>
      </c>
      <c r="C35" t="str">
        <f>COMPLEX(0.92917,-0.295759)</f>
        <v>0.92917-0.295759i</v>
      </c>
      <c r="D35" t="str">
        <f>COMPLEX(0.92917,-0.295759)</f>
        <v>0.92917-0.295759i</v>
      </c>
      <c r="E35" t="str">
        <f>COMPLEX(0.0326081,0.166329)</f>
        <v>0.0326081+0.166329i</v>
      </c>
      <c r="F35"/>
      <c r="G35" t="str">
        <f t="shared" si="0"/>
        <v>50.402638873671+17.2627768758647i</v>
      </c>
      <c r="H35" t="str">
        <f t="shared" si="1"/>
        <v>50.402638873671+17.2627768758647i</v>
      </c>
      <c r="N35" s="19">
        <f t="shared" si="2"/>
        <v>0.16949520473042889</v>
      </c>
      <c r="O35" s="19">
        <f t="shared" si="2"/>
        <v>0.97510526353876292</v>
      </c>
      <c r="P35" s="18">
        <f t="shared" si="3"/>
        <v>-15.416851682382939</v>
      </c>
      <c r="Q35" s="18">
        <f t="shared" si="3"/>
        <v>-0.21896998538449358</v>
      </c>
      <c r="R35" s="17">
        <f t="shared" si="6"/>
        <v>9.2375883308614473E-2</v>
      </c>
      <c r="T35" s="17">
        <f t="shared" si="4"/>
        <v>9.2020199999999992</v>
      </c>
      <c r="U35" s="17">
        <f t="shared" si="7"/>
        <v>9.2375883308614473E-2</v>
      </c>
      <c r="V35" s="17">
        <f t="shared" si="8"/>
        <v>1.4081739339636516</v>
      </c>
      <c r="X35" s="21">
        <f t="shared" si="9"/>
        <v>9.2020199999999992</v>
      </c>
      <c r="Y35" s="20">
        <f t="shared" si="10"/>
        <v>0.12773725037587999</v>
      </c>
    </row>
    <row r="36" spans="1:25" x14ac:dyDescent="0.25">
      <c r="A36">
        <v>9494949</v>
      </c>
      <c r="B36" t="str">
        <f>COMPLEX(0.0351649,0.17058)</f>
        <v>0.0351649+0.17058i</v>
      </c>
      <c r="C36" t="str">
        <f>COMPLEX(0.928522,-0.297825)</f>
        <v>0.928522-0.297825i</v>
      </c>
      <c r="D36" t="str">
        <f>COMPLEX(0.928522,-0.297825)</f>
        <v>0.928522-0.297825i</v>
      </c>
      <c r="E36" t="str">
        <f>COMPLEX(0.0351649,0.17058)</f>
        <v>0.0351649+0.17058i</v>
      </c>
      <c r="F36"/>
      <c r="G36" t="str">
        <f t="shared" si="0"/>
        <v>50.5032053892695+17.7686702891526i</v>
      </c>
      <c r="H36" t="str">
        <f t="shared" si="1"/>
        <v>50.5032053892695+17.7686702891526i</v>
      </c>
      <c r="N36" s="19">
        <f t="shared" si="2"/>
        <v>0.17416689292747345</v>
      </c>
      <c r="O36" s="19">
        <f t="shared" si="2"/>
        <v>0.97511683151763917</v>
      </c>
      <c r="P36" s="18">
        <f t="shared" si="3"/>
        <v>-15.180687914855127</v>
      </c>
      <c r="Q36" s="18">
        <f t="shared" si="3"/>
        <v>-0.21886694256889794</v>
      </c>
      <c r="R36" s="17">
        <f t="shared" si="6"/>
        <v>8.5088144569126417E-2</v>
      </c>
      <c r="T36" s="17">
        <f t="shared" si="4"/>
        <v>9.4949490000000001</v>
      </c>
      <c r="U36" s="17">
        <f t="shared" si="7"/>
        <v>8.5088144569126417E-2</v>
      </c>
      <c r="V36" s="17">
        <f t="shared" si="8"/>
        <v>1.4217968290103382</v>
      </c>
      <c r="X36" s="21">
        <f t="shared" si="9"/>
        <v>9.4949490000000001</v>
      </c>
      <c r="Y36" s="20">
        <f t="shared" si="10"/>
        <v>0.1290527679462197</v>
      </c>
    </row>
    <row r="37" spans="1:25" x14ac:dyDescent="0.25">
      <c r="A37">
        <v>9787878</v>
      </c>
      <c r="B37" t="str">
        <f>COMPLEX(0.0378335,0.175278)</f>
        <v>0.0378335+0.175278i</v>
      </c>
      <c r="C37" t="str">
        <f>COMPLEX(0.923652,-0.310411)</f>
        <v>0.923652-0.310411i</v>
      </c>
      <c r="D37" t="str">
        <f>COMPLEX(0.923652,-0.310411)</f>
        <v>0.923652-0.310411i</v>
      </c>
      <c r="E37" t="str">
        <f>COMPLEX(0.0378335,0.175278)</f>
        <v>0.0378335+0.175278i</v>
      </c>
      <c r="F37"/>
      <c r="G37" t="str">
        <f t="shared" si="0"/>
        <v>50.593813661065+18.3251884896056i</v>
      </c>
      <c r="H37" t="str">
        <f t="shared" si="1"/>
        <v>50.593813661065+18.3251884896056i</v>
      </c>
      <c r="N37" s="19">
        <f t="shared" si="2"/>
        <v>0.17931467035981746</v>
      </c>
      <c r="O37" s="19">
        <f t="shared" si="2"/>
        <v>0.97441675171612274</v>
      </c>
      <c r="P37" s="18">
        <f t="shared" si="3"/>
        <v>-14.927683556700373</v>
      </c>
      <c r="Q37" s="18">
        <f t="shared" si="3"/>
        <v>-0.22510516919652532</v>
      </c>
      <c r="R37" s="17">
        <f t="shared" si="6"/>
        <v>8.3168881566817898E-2</v>
      </c>
      <c r="T37" s="17">
        <f t="shared" si="4"/>
        <v>9.7878779999999992</v>
      </c>
      <c r="U37" s="17">
        <f t="shared" si="7"/>
        <v>8.3168881566817898E-2</v>
      </c>
      <c r="V37" s="17">
        <f t="shared" si="8"/>
        <v>1.4369876343188328</v>
      </c>
      <c r="X37" s="21">
        <f t="shared" si="9"/>
        <v>9.7878779999999992</v>
      </c>
      <c r="Y37" s="20">
        <f t="shared" si="10"/>
        <v>0.13031680107713481</v>
      </c>
    </row>
    <row r="38" spans="1:25" x14ac:dyDescent="0.25">
      <c r="A38">
        <v>10080808</v>
      </c>
      <c r="B38" t="str">
        <f>COMPLEX(0.0394124,0.179333)</f>
        <v>0.0394124+0.179333i</v>
      </c>
      <c r="C38" t="str">
        <f>COMPLEX(0.921669,-0.309122)</f>
        <v>0.921669-0.309122i</v>
      </c>
      <c r="D38" t="str">
        <f>COMPLEX(0.921669,-0.309122)</f>
        <v>0.921669-0.309122i</v>
      </c>
      <c r="E38" t="str">
        <f>COMPLEX(0.0394124,0.179333)</f>
        <v>0.0394124+0.179333i</v>
      </c>
      <c r="F38"/>
      <c r="G38" t="str">
        <f t="shared" si="0"/>
        <v>50.59679592705+18.7805101835435i</v>
      </c>
      <c r="H38" t="str">
        <f t="shared" si="1"/>
        <v>50.59679592705+18.7805101835435i</v>
      </c>
      <c r="N38" s="19">
        <f t="shared" si="2"/>
        <v>0.18361280500760291</v>
      </c>
      <c r="O38" s="19">
        <f t="shared" si="2"/>
        <v>0.97212661543905898</v>
      </c>
      <c r="P38" s="18">
        <f t="shared" si="3"/>
        <v>-14.721940694697345</v>
      </c>
      <c r="Q38" s="18">
        <f t="shared" si="3"/>
        <v>-0.24554332687888006</v>
      </c>
      <c r="R38" s="17">
        <f t="shared" si="6"/>
        <v>9.6601718527794062E-2</v>
      </c>
      <c r="T38" s="17">
        <f t="shared" si="4"/>
        <v>10.080807999999999</v>
      </c>
      <c r="U38" s="17">
        <f t="shared" si="7"/>
        <v>9.6601718527794062E-2</v>
      </c>
      <c r="V38" s="17">
        <f t="shared" si="8"/>
        <v>1.4498179445583119</v>
      </c>
      <c r="X38" s="21">
        <f t="shared" si="9"/>
        <v>10.080807999999999</v>
      </c>
      <c r="Y38" s="20">
        <f t="shared" si="10"/>
        <v>0.13152935382014078</v>
      </c>
    </row>
    <row r="39" spans="1:25" x14ac:dyDescent="0.25">
      <c r="A39">
        <v>10373737</v>
      </c>
      <c r="B39" t="str">
        <f>COMPLEX(0.0434704,0.184121)</f>
        <v>0.0434704+0.184121i</v>
      </c>
      <c r="C39" t="str">
        <f>COMPLEX(0.919956,-0.30849)</f>
        <v>0.919956-0.30849i</v>
      </c>
      <c r="D39" t="str">
        <f>COMPLEX(0.919956,-0.30849)</f>
        <v>0.919956-0.30849i</v>
      </c>
      <c r="E39" t="str">
        <f>COMPLEX(0.0434704,0.184121)</f>
        <v>0.0434704+0.184121i</v>
      </c>
      <c r="F39"/>
      <c r="G39" t="str">
        <f t="shared" si="0"/>
        <v>50.80942049756+19.4046596272936i</v>
      </c>
      <c r="H39" t="str">
        <f t="shared" si="1"/>
        <v>50.80942049756+19.4046596272936i</v>
      </c>
      <c r="N39" s="19">
        <f t="shared" ref="N39:O70" si="11">IMABS(B39)</f>
        <v>0.18918302861821404</v>
      </c>
      <c r="O39" s="19">
        <f t="shared" si="11"/>
        <v>0.97030156242067356</v>
      </c>
      <c r="P39" s="18">
        <f t="shared" ref="P39:Q70" si="12">20*LOG(N39)</f>
        <v>-14.462356524440636</v>
      </c>
      <c r="Q39" s="18">
        <f t="shared" si="12"/>
        <v>-0.26186538598692433</v>
      </c>
      <c r="R39" s="17">
        <f t="shared" si="6"/>
        <v>0.10358071584026318</v>
      </c>
      <c r="T39" s="17">
        <f t="shared" si="4"/>
        <v>10.373737</v>
      </c>
      <c r="U39" s="17">
        <f t="shared" si="7"/>
        <v>0.10358071584026318</v>
      </c>
      <c r="V39" s="17">
        <f t="shared" si="8"/>
        <v>1.4666479249831446</v>
      </c>
      <c r="X39" s="21">
        <f t="shared" si="9"/>
        <v>10.373737</v>
      </c>
      <c r="Y39" s="20">
        <f t="shared" si="10"/>
        <v>0.13269041789644928</v>
      </c>
    </row>
    <row r="40" spans="1:25" x14ac:dyDescent="0.25">
      <c r="A40">
        <v>10666666</v>
      </c>
      <c r="B40" t="str">
        <f>COMPLEX(0.0446748,0.186374)</f>
        <v>0.0446748+0.186374i</v>
      </c>
      <c r="C40" t="str">
        <f>COMPLEX(0.906976,-0.313883)</f>
        <v>0.906976-0.313883i</v>
      </c>
      <c r="D40" t="str">
        <f>COMPLEX(0.906976,-0.313883)</f>
        <v>0.906976-0.313883i</v>
      </c>
      <c r="E40" t="str">
        <f>COMPLEX(0.0446748,0.186374)</f>
        <v>0.0446748+0.186374i</v>
      </c>
      <c r="F40"/>
      <c r="G40" t="str">
        <f t="shared" si="0"/>
        <v>50.838489491482+19.6725394038444i</v>
      </c>
      <c r="H40" t="str">
        <f t="shared" si="1"/>
        <v>50.838489491482+19.6725394038444i</v>
      </c>
      <c r="N40" s="19">
        <f t="shared" si="11"/>
        <v>0.19165360844774096</v>
      </c>
      <c r="O40" s="19">
        <f t="shared" si="11"/>
        <v>0.95975413636253748</v>
      </c>
      <c r="P40" s="18">
        <f t="shared" si="12"/>
        <v>-14.34965998901292</v>
      </c>
      <c r="Q40" s="18">
        <f t="shared" si="12"/>
        <v>-0.3568001495551637</v>
      </c>
      <c r="R40" s="17">
        <f t="shared" si="6"/>
        <v>0.19427551342554272</v>
      </c>
      <c r="T40" s="17">
        <f t="shared" si="4"/>
        <v>10.666665999999999</v>
      </c>
      <c r="U40" s="17">
        <f t="shared" si="7"/>
        <v>0.19427551342554272</v>
      </c>
      <c r="V40" s="17">
        <f t="shared" si="8"/>
        <v>1.4741868348783262</v>
      </c>
      <c r="X40" s="21">
        <f t="shared" si="9"/>
        <v>10.666665999999999</v>
      </c>
      <c r="Y40" s="20">
        <f t="shared" si="10"/>
        <v>0.13379999753333319</v>
      </c>
    </row>
    <row r="41" spans="1:25" x14ac:dyDescent="0.25">
      <c r="A41">
        <v>10959595</v>
      </c>
      <c r="B41" t="str">
        <f>COMPLEX(0.0507148,0.192867)</f>
        <v>0.0507148+0.192867i</v>
      </c>
      <c r="C41" t="str">
        <f>COMPLEX(0.912783,-0.324218)</f>
        <v>0.912783-0.324218i</v>
      </c>
      <c r="D41" t="str">
        <f>COMPLEX(0.912783,-0.324218)</f>
        <v>0.912783-0.324218i</v>
      </c>
      <c r="E41" t="str">
        <f>COMPLEX(0.0507148,0.192867)</f>
        <v>0.0507148+0.192867i</v>
      </c>
      <c r="F41"/>
      <c r="G41" t="str">
        <f t="shared" si="0"/>
        <v>51.166435252481+20.5540620119646i</v>
      </c>
      <c r="H41" t="str">
        <f t="shared" si="1"/>
        <v>51.166435252481+20.5540620119646i</v>
      </c>
      <c r="N41" s="19">
        <f t="shared" si="11"/>
        <v>0.199423345243329</v>
      </c>
      <c r="O41" s="19">
        <f t="shared" si="11"/>
        <v>0.96865376508482126</v>
      </c>
      <c r="P41" s="18">
        <f t="shared" si="12"/>
        <v>-14.00448005821087</v>
      </c>
      <c r="Q41" s="18">
        <f t="shared" si="12"/>
        <v>-0.27662858248527489</v>
      </c>
      <c r="R41" s="17">
        <f t="shared" si="6"/>
        <v>0.10038277514312807</v>
      </c>
      <c r="T41" s="17">
        <f t="shared" si="4"/>
        <v>10.959595</v>
      </c>
      <c r="U41" s="17">
        <f t="shared" si="7"/>
        <v>0.10038277514312807</v>
      </c>
      <c r="V41" s="17">
        <f t="shared" si="8"/>
        <v>1.4981992518978513</v>
      </c>
      <c r="X41" s="21">
        <f t="shared" si="9"/>
        <v>10.959595</v>
      </c>
      <c r="Y41" s="20">
        <f t="shared" si="10"/>
        <v>0.13485809273079249</v>
      </c>
    </row>
    <row r="42" spans="1:25" x14ac:dyDescent="0.25">
      <c r="A42">
        <v>11252525</v>
      </c>
      <c r="B42" t="str">
        <f>COMPLEX(0.0524923,0.197454)</f>
        <v>0.0524923+0.197454i</v>
      </c>
      <c r="C42" t="str">
        <f>COMPLEX(0.907641,-0.326416)</f>
        <v>0.907641-0.326416i</v>
      </c>
      <c r="D42" t="str">
        <f>COMPLEX(0.907641,-0.326416)</f>
        <v>0.907641-0.326416i</v>
      </c>
      <c r="E42" t="str">
        <f>COMPLEX(0.0524923,0.197454)</f>
        <v>0.0524923+0.197454i</v>
      </c>
      <c r="F42"/>
      <c r="G42" t="str">
        <f t="shared" si="0"/>
        <v>51.147443173804+21.0784221008867i</v>
      </c>
      <c r="H42" t="str">
        <f t="shared" si="1"/>
        <v>51.147443173804+21.0784221008867i</v>
      </c>
      <c r="N42" s="19">
        <f t="shared" si="11"/>
        <v>0.20431231895137894</v>
      </c>
      <c r="O42" s="19">
        <f t="shared" si="11"/>
        <v>0.96455149677816576</v>
      </c>
      <c r="P42" s="18">
        <f t="shared" si="12"/>
        <v>-13.794108938392306</v>
      </c>
      <c r="Q42" s="18">
        <f t="shared" si="12"/>
        <v>-0.31349161401391135</v>
      </c>
      <c r="R42" s="17">
        <f t="shared" si="6"/>
        <v>0.12830924493530979</v>
      </c>
      <c r="T42" s="17">
        <f t="shared" si="4"/>
        <v>11.252525</v>
      </c>
      <c r="U42" s="17">
        <f t="shared" si="7"/>
        <v>0.12830924493530979</v>
      </c>
      <c r="V42" s="17">
        <f t="shared" si="8"/>
        <v>1.5135490314041804</v>
      </c>
      <c r="X42" s="21">
        <f t="shared" si="9"/>
        <v>11.252525</v>
      </c>
      <c r="Y42" s="20">
        <f t="shared" si="10"/>
        <v>0.1358647068373125</v>
      </c>
    </row>
    <row r="43" spans="1:25" x14ac:dyDescent="0.25">
      <c r="A43">
        <v>11545454</v>
      </c>
      <c r="B43" t="str">
        <f>COMPLEX(0.0559556,0.20145)</f>
        <v>0.0559556+0.20145i</v>
      </c>
      <c r="C43" t="str">
        <f>COMPLEX(0.903754,-0.325065)</f>
        <v>0.903754-0.325065i</v>
      </c>
      <c r="D43" t="str">
        <f>COMPLEX(0.903754,-0.325065)</f>
        <v>0.903754-0.325065i</v>
      </c>
      <c r="E43" t="str">
        <f>COMPLEX(0.0559556,0.20145)</f>
        <v>0.0559556+0.20145i</v>
      </c>
      <c r="F43"/>
      <c r="G43" t="str">
        <f t="shared" si="0"/>
        <v>51.313848781863+21.619401414919i</v>
      </c>
      <c r="H43" t="str">
        <f t="shared" si="1"/>
        <v>51.313848781863+21.619401414919i</v>
      </c>
      <c r="N43" s="19">
        <f t="shared" si="11"/>
        <v>0.20907685589600775</v>
      </c>
      <c r="O43" s="19">
        <f t="shared" si="11"/>
        <v>0.96043664379333193</v>
      </c>
      <c r="P43" s="18">
        <f t="shared" si="12"/>
        <v>-13.59388078917096</v>
      </c>
      <c r="Q43" s="18">
        <f t="shared" si="12"/>
        <v>-0.35062557093313135</v>
      </c>
      <c r="R43" s="17">
        <f t="shared" si="6"/>
        <v>0.15650749205864636</v>
      </c>
      <c r="T43" s="17">
        <f t="shared" si="4"/>
        <v>11.545453999999999</v>
      </c>
      <c r="U43" s="17">
        <f t="shared" si="7"/>
        <v>0.15650749205864636</v>
      </c>
      <c r="V43" s="17">
        <f t="shared" si="8"/>
        <v>1.5286907013774726</v>
      </c>
      <c r="X43" s="21">
        <f t="shared" si="9"/>
        <v>11.545453999999999</v>
      </c>
      <c r="Y43" s="20">
        <f t="shared" si="10"/>
        <v>0.1368198329801652</v>
      </c>
    </row>
    <row r="44" spans="1:25" x14ac:dyDescent="0.25">
      <c r="A44">
        <v>11838383</v>
      </c>
      <c r="B44" t="str">
        <f>COMPLEX(0.0590296,0.205939)</f>
        <v>0.0590296+0.205939i</v>
      </c>
      <c r="C44" t="str">
        <f>COMPLEX(0.903408,-0.337871)</f>
        <v>0.903408-0.337871i</v>
      </c>
      <c r="D44" t="str">
        <f>COMPLEX(0.903408,-0.337871)</f>
        <v>0.903408-0.337871i</v>
      </c>
      <c r="E44" t="str">
        <f>COMPLEX(0.0590296,0.205939)</f>
        <v>0.0590296+0.205939i</v>
      </c>
      <c r="F44"/>
      <c r="G44" t="str">
        <f t="shared" si="0"/>
        <v>51.415576918929+22.1956211322985i</v>
      </c>
      <c r="H44" t="str">
        <f t="shared" si="1"/>
        <v>51.415576918929+22.1956211322985i</v>
      </c>
      <c r="N44" s="19">
        <f t="shared" si="11"/>
        <v>0.21423203634648111</v>
      </c>
      <c r="O44" s="19">
        <f t="shared" si="11"/>
        <v>0.96452207185994443</v>
      </c>
      <c r="P44" s="18">
        <f t="shared" si="12"/>
        <v>-13.382311681460315</v>
      </c>
      <c r="Q44" s="18">
        <f t="shared" si="12"/>
        <v>-0.31375659259892186</v>
      </c>
      <c r="R44" s="17">
        <f t="shared" si="6"/>
        <v>0.10971664717407235</v>
      </c>
      <c r="T44" s="17">
        <f t="shared" si="4"/>
        <v>11.838383</v>
      </c>
      <c r="U44" s="17">
        <f t="shared" si="7"/>
        <v>0.10971664717407235</v>
      </c>
      <c r="V44" s="17">
        <f t="shared" si="8"/>
        <v>1.5452806585557002</v>
      </c>
      <c r="X44" s="21">
        <f t="shared" si="9"/>
        <v>11.838383</v>
      </c>
      <c r="Y44" s="20">
        <f t="shared" si="10"/>
        <v>0.13772347468359331</v>
      </c>
    </row>
    <row r="45" spans="1:25" x14ac:dyDescent="0.25">
      <c r="A45">
        <v>12131313</v>
      </c>
      <c r="B45" t="str">
        <f>COMPLEX(0.0627113,0.210629)</f>
        <v>0.0627113+0.210629i</v>
      </c>
      <c r="C45" t="str">
        <f>COMPLEX(0.899675,-0.337395)</f>
        <v>0.899675-0.337395i</v>
      </c>
      <c r="D45" t="str">
        <f>COMPLEX(0.899675,-0.337395)</f>
        <v>0.899675-0.337395i</v>
      </c>
      <c r="E45" t="str">
        <f>COMPLEX(0.0627113,0.210629)</f>
        <v>0.0627113+0.210629i</v>
      </c>
      <c r="F45"/>
      <c r="G45" t="str">
        <f t="shared" si="0"/>
        <v>51.5618607249855+22.823142072067i</v>
      </c>
      <c r="H45" t="str">
        <f t="shared" si="1"/>
        <v>51.5618607249855+22.823142072067i</v>
      </c>
      <c r="N45" s="19">
        <f t="shared" si="11"/>
        <v>0.21976642780163216</v>
      </c>
      <c r="O45" s="19">
        <f t="shared" si="11"/>
        <v>0.96085924653405919</v>
      </c>
      <c r="P45" s="18">
        <f t="shared" si="12"/>
        <v>-13.160773020243246</v>
      </c>
      <c r="Q45" s="18">
        <f t="shared" si="12"/>
        <v>-0.34680452406119694</v>
      </c>
      <c r="R45" s="17">
        <f t="shared" si="6"/>
        <v>0.13181761675752077</v>
      </c>
      <c r="T45" s="17">
        <f t="shared" si="4"/>
        <v>12.131313</v>
      </c>
      <c r="U45" s="17">
        <f t="shared" si="7"/>
        <v>0.13181761675752077</v>
      </c>
      <c r="V45" s="17">
        <f t="shared" si="8"/>
        <v>1.5633349695077166</v>
      </c>
      <c r="X45" s="21">
        <f t="shared" si="9"/>
        <v>12.131313</v>
      </c>
      <c r="Y45" s="20">
        <f t="shared" si="10"/>
        <v>0.1385756347688093</v>
      </c>
    </row>
    <row r="46" spans="1:25" x14ac:dyDescent="0.25">
      <c r="A46">
        <v>12424242</v>
      </c>
      <c r="B46" t="str">
        <f>COMPLEX(0.0661403,0.214279)</f>
        <v>0.0661403+0.214279i</v>
      </c>
      <c r="C46" t="str">
        <f>COMPLEX(0.898113,-0.344665)</f>
        <v>0.898113-0.344665i</v>
      </c>
      <c r="D46" t="str">
        <f>COMPLEX(0.898113,-0.344665)</f>
        <v>0.898113-0.344665i</v>
      </c>
      <c r="E46" t="str">
        <f>COMPLEX(0.0661403,0.214279)</f>
        <v>0.0661403+0.214279i</v>
      </c>
      <c r="F46"/>
      <c r="G46" t="str">
        <f t="shared" si="0"/>
        <v>51.726591293296+23.341699246403i</v>
      </c>
      <c r="H46" t="str">
        <f t="shared" si="1"/>
        <v>51.726591293296+23.341699246403i</v>
      </c>
      <c r="N46" s="19">
        <f t="shared" si="11"/>
        <v>0.22425438485142268</v>
      </c>
      <c r="O46" s="19">
        <f t="shared" si="11"/>
        <v>0.9619776104431953</v>
      </c>
      <c r="P46" s="18">
        <f t="shared" si="12"/>
        <v>-12.985181128606358</v>
      </c>
      <c r="Q46" s="18">
        <f t="shared" si="12"/>
        <v>-0.33670071671002733</v>
      </c>
      <c r="R46" s="17">
        <f t="shared" si="6"/>
        <v>0.11261069297073019</v>
      </c>
      <c r="T46" s="17">
        <f t="shared" si="4"/>
        <v>12.424242</v>
      </c>
      <c r="U46" s="17">
        <f t="shared" si="7"/>
        <v>0.11261069297073019</v>
      </c>
      <c r="V46" s="17">
        <f t="shared" si="8"/>
        <v>1.5781647500733127</v>
      </c>
      <c r="X46" s="21">
        <f t="shared" si="9"/>
        <v>12.424242</v>
      </c>
      <c r="Y46" s="20">
        <f t="shared" si="10"/>
        <v>0.1393763074176308</v>
      </c>
    </row>
    <row r="47" spans="1:25" x14ac:dyDescent="0.25">
      <c r="A47">
        <v>12717171</v>
      </c>
      <c r="B47" t="str">
        <f>COMPLEX(0.0690692,0.217948)</f>
        <v>0.0690692+0.217948i</v>
      </c>
      <c r="C47" t="str">
        <f>COMPLEX(0.893826,-0.341935)</f>
        <v>0.893826-0.341935i</v>
      </c>
      <c r="D47" t="str">
        <f>COMPLEX(0.893826,-0.341935)</f>
        <v>0.893826-0.341935i</v>
      </c>
      <c r="E47" t="str">
        <f>COMPLEX(0.0690692,0.217948)</f>
        <v>0.0690692+0.217948i</v>
      </c>
      <c r="F47"/>
      <c r="G47" t="str">
        <f t="shared" si="0"/>
        <v>51.837512265034+23.8420322145745i</v>
      </c>
      <c r="H47" t="str">
        <f t="shared" si="1"/>
        <v>51.837512265034+23.8420322145745i</v>
      </c>
      <c r="N47" s="19">
        <f t="shared" si="11"/>
        <v>0.22863045530427481</v>
      </c>
      <c r="O47" s="19">
        <f t="shared" si="11"/>
        <v>0.95699762930793086</v>
      </c>
      <c r="P47" s="18">
        <f t="shared" si="12"/>
        <v>-12.817318375611544</v>
      </c>
      <c r="Q47" s="18">
        <f t="shared" si="12"/>
        <v>-0.38178276128150196</v>
      </c>
      <c r="R47" s="17">
        <f t="shared" si="6"/>
        <v>0.14862040543204574</v>
      </c>
      <c r="T47" s="17">
        <f t="shared" si="4"/>
        <v>12.717171</v>
      </c>
      <c r="U47" s="17">
        <f t="shared" si="7"/>
        <v>0.14862040543204574</v>
      </c>
      <c r="V47" s="17">
        <f t="shared" si="8"/>
        <v>1.5927909829379134</v>
      </c>
      <c r="X47" s="21">
        <f t="shared" si="9"/>
        <v>12.717171</v>
      </c>
      <c r="Y47" s="20">
        <f t="shared" si="10"/>
        <v>0.1401254956270277</v>
      </c>
    </row>
    <row r="48" spans="1:25" x14ac:dyDescent="0.25">
      <c r="A48">
        <v>13010101</v>
      </c>
      <c r="B48" t="str">
        <f>COMPLEX(0.0731889,0.222537)</f>
        <v>0.0731889+0.222537i</v>
      </c>
      <c r="C48" t="str">
        <f>COMPLEX(0.894123,-0.350708)</f>
        <v>0.894123-0.350708i</v>
      </c>
      <c r="D48" t="str">
        <f>COMPLEX(0.894123,-0.350708)</f>
        <v>0.894123-0.350708i</v>
      </c>
      <c r="E48" t="str">
        <f>COMPLEX(0.0731889,0.222537)</f>
        <v>0.0731889+0.222537i</v>
      </c>
      <c r="F48"/>
      <c r="G48" t="str">
        <f t="shared" si="0"/>
        <v>52.0153591286215+24.4949504536642i</v>
      </c>
      <c r="H48" t="str">
        <f t="shared" si="1"/>
        <v>52.0153591286215+24.4949504536642i</v>
      </c>
      <c r="N48" s="19">
        <f t="shared" si="11"/>
        <v>0.23426338051904314</v>
      </c>
      <c r="O48" s="19">
        <f t="shared" si="11"/>
        <v>0.96044366851627494</v>
      </c>
      <c r="P48" s="18">
        <f t="shared" si="12"/>
        <v>-12.605911879059803</v>
      </c>
      <c r="Q48" s="18">
        <f t="shared" si="12"/>
        <v>-0.35056204176077194</v>
      </c>
      <c r="R48" s="17">
        <f t="shared" si="6"/>
        <v>0.10543464895760066</v>
      </c>
      <c r="T48" s="17">
        <f t="shared" si="4"/>
        <v>13.010101000000001</v>
      </c>
      <c r="U48" s="17">
        <f t="shared" si="7"/>
        <v>0.10543464895760066</v>
      </c>
      <c r="V48" s="17">
        <f t="shared" si="8"/>
        <v>1.6118641176592419</v>
      </c>
      <c r="X48" s="21">
        <f t="shared" si="9"/>
        <v>13.010101000000001</v>
      </c>
      <c r="Y48" s="20">
        <f t="shared" si="10"/>
        <v>0.1408232016909397</v>
      </c>
    </row>
    <row r="49" spans="1:25" x14ac:dyDescent="0.25">
      <c r="A49">
        <v>13303030</v>
      </c>
      <c r="B49" t="str">
        <f>COMPLEX(0.0774083,0.227518)</f>
        <v>0.0774083+0.227518i</v>
      </c>
      <c r="C49" t="str">
        <f>COMPLEX(0.893189,-0.353073)</f>
        <v>0.893189-0.353073i</v>
      </c>
      <c r="D49" t="str">
        <f>COMPLEX(0.893189,-0.353073)</f>
        <v>0.893189-0.353073i</v>
      </c>
      <c r="E49" t="str">
        <f>COMPLEX(0.0774083,0.227518)</f>
        <v>0.0774083+0.227518i</v>
      </c>
      <c r="F49"/>
      <c r="G49" t="str">
        <f t="shared" si="0"/>
        <v>52.176425594716+25.1974692580246i</v>
      </c>
      <c r="H49" t="str">
        <f t="shared" si="1"/>
        <v>52.176425594716+25.1974692580246i</v>
      </c>
      <c r="N49" s="19">
        <f t="shared" si="11"/>
        <v>0.24032578977897898</v>
      </c>
      <c r="O49" s="19">
        <f t="shared" si="11"/>
        <v>0.96044111378574382</v>
      </c>
      <c r="P49" s="18">
        <f t="shared" si="12"/>
        <v>-12.383992435964146</v>
      </c>
      <c r="Q49" s="18">
        <f t="shared" si="12"/>
        <v>-0.35058514580912803</v>
      </c>
      <c r="R49" s="17">
        <f t="shared" si="6"/>
        <v>9.2216715695751184E-2</v>
      </c>
      <c r="T49" s="17">
        <f t="shared" si="4"/>
        <v>13.30303</v>
      </c>
      <c r="U49" s="17">
        <f t="shared" si="7"/>
        <v>9.2216715695751184E-2</v>
      </c>
      <c r="V49" s="17">
        <f t="shared" si="8"/>
        <v>1.632707512103269</v>
      </c>
      <c r="X49" s="21">
        <f t="shared" si="9"/>
        <v>13.30303</v>
      </c>
      <c r="Y49" s="20">
        <f t="shared" si="10"/>
        <v>0.14146942084573</v>
      </c>
    </row>
    <row r="50" spans="1:25" x14ac:dyDescent="0.25">
      <c r="A50">
        <v>13595959</v>
      </c>
      <c r="B50" t="str">
        <f>COMPLEX(0.0811866,0.229793)</f>
        <v>0.0811866+0.229793i</v>
      </c>
      <c r="C50" t="str">
        <f>COMPLEX(0.885797,-0.36085)</f>
        <v>0.885797-0.36085i</v>
      </c>
      <c r="D50" t="str">
        <f>COMPLEX(0.885797,-0.36085)</f>
        <v>0.885797-0.36085i</v>
      </c>
      <c r="E50" t="str">
        <f>COMPLEX(0.0811866,0.229793)</f>
        <v>0.0811866+0.229793i</v>
      </c>
      <c r="F50"/>
      <c r="G50" t="str">
        <f t="shared" si="0"/>
        <v>52.429203697077+25.617295095133i</v>
      </c>
      <c r="H50" t="str">
        <f t="shared" si="1"/>
        <v>52.429203697077+25.617295095133i</v>
      </c>
      <c r="N50" s="19">
        <f t="shared" si="11"/>
        <v>0.24371312412047078</v>
      </c>
      <c r="O50" s="19">
        <f t="shared" si="11"/>
        <v>0.95647741620437632</v>
      </c>
      <c r="P50" s="18">
        <f t="shared" si="12"/>
        <v>-12.262421662540209</v>
      </c>
      <c r="Q50" s="18">
        <f t="shared" si="12"/>
        <v>-0.38650559655199279</v>
      </c>
      <c r="R50" s="17">
        <f t="shared" si="6"/>
        <v>0.12057340835253873</v>
      </c>
      <c r="T50" s="17">
        <f t="shared" si="4"/>
        <v>13.595959000000001</v>
      </c>
      <c r="U50" s="17">
        <f t="shared" si="7"/>
        <v>0.12057340835253873</v>
      </c>
      <c r="V50" s="17">
        <f t="shared" si="8"/>
        <v>1.644499149445223</v>
      </c>
      <c r="X50" s="21">
        <f t="shared" si="9"/>
        <v>13.595959000000001</v>
      </c>
      <c r="Y50" s="20">
        <f t="shared" si="10"/>
        <v>0.1420641555610957</v>
      </c>
    </row>
    <row r="51" spans="1:25" x14ac:dyDescent="0.25">
      <c r="A51">
        <v>13888888</v>
      </c>
      <c r="B51" t="str">
        <f>COMPLEX(0.0853587,0.234563)</f>
        <v>0.0853587+0.234563i</v>
      </c>
      <c r="C51" t="str">
        <f>COMPLEX(0.879859,-0.362834)</f>
        <v>0.879859-0.362834i</v>
      </c>
      <c r="D51" t="str">
        <f>COMPLEX(0.879859,-0.362834)</f>
        <v>0.879859-0.362834i</v>
      </c>
      <c r="E51" t="str">
        <f>COMPLEX(0.0853587,0.234563)</f>
        <v>0.0853587+0.234563i</v>
      </c>
      <c r="F51"/>
      <c r="G51" t="str">
        <f t="shared" si="0"/>
        <v>52.5855864159365+26.3084368773653i</v>
      </c>
      <c r="H51" t="str">
        <f t="shared" si="1"/>
        <v>52.5855864159365+26.3084368773653i</v>
      </c>
      <c r="N51" s="19">
        <f t="shared" si="11"/>
        <v>0.24961151542885598</v>
      </c>
      <c r="O51" s="19">
        <f t="shared" si="11"/>
        <v>0.95173545244306201</v>
      </c>
      <c r="P51" s="18">
        <f t="shared" si="12"/>
        <v>-12.054707660894152</v>
      </c>
      <c r="Q51" s="18">
        <f t="shared" si="12"/>
        <v>-0.42967505564072428</v>
      </c>
      <c r="R51" s="17">
        <f t="shared" si="6"/>
        <v>0.15028684987338145</v>
      </c>
      <c r="T51" s="17">
        <f t="shared" si="4"/>
        <v>13.888888</v>
      </c>
      <c r="U51" s="17">
        <f t="shared" si="7"/>
        <v>0.15028684987338145</v>
      </c>
      <c r="V51" s="17">
        <f t="shared" si="8"/>
        <v>1.6652861032949138</v>
      </c>
      <c r="X51" s="21">
        <f t="shared" si="9"/>
        <v>13.888888</v>
      </c>
      <c r="Y51" s="20">
        <f t="shared" si="10"/>
        <v>0.14260740583703679</v>
      </c>
    </row>
    <row r="52" spans="1:25" x14ac:dyDescent="0.25">
      <c r="A52">
        <v>14181818</v>
      </c>
      <c r="B52" t="str">
        <f>COMPLEX(0.087578,0.237518)</f>
        <v>0.087578+0.237518i</v>
      </c>
      <c r="C52" t="str">
        <f>COMPLEX(0.874172,-0.364276)</f>
        <v>0.874172-0.364276i</v>
      </c>
      <c r="D52" t="str">
        <f>COMPLEX(0.874172,-0.364276)</f>
        <v>0.874172-0.364276i</v>
      </c>
      <c r="E52" t="str">
        <f>COMPLEX(0.087578,0.237518)</f>
        <v>0.087578+0.237518i</v>
      </c>
      <c r="F52"/>
      <c r="G52" t="str">
        <f t="shared" si="0"/>
        <v>52.6428771421875+26.7195781042742i</v>
      </c>
      <c r="H52" t="str">
        <f t="shared" si="1"/>
        <v>52.6428771421875+26.7195781042742i</v>
      </c>
      <c r="N52" s="19">
        <f t="shared" si="11"/>
        <v>0.25314957319339887</v>
      </c>
      <c r="O52" s="19">
        <f t="shared" si="11"/>
        <v>0.94703415448440931</v>
      </c>
      <c r="P52" s="18">
        <f t="shared" si="12"/>
        <v>-11.93245600981758</v>
      </c>
      <c r="Q52" s="18">
        <f t="shared" si="12"/>
        <v>-0.47268716044915848</v>
      </c>
      <c r="R52" s="17">
        <f t="shared" si="6"/>
        <v>0.18505260092550013</v>
      </c>
      <c r="T52" s="17">
        <f t="shared" si="4"/>
        <v>14.181818</v>
      </c>
      <c r="U52" s="17">
        <f t="shared" si="7"/>
        <v>0.18505260092550013</v>
      </c>
      <c r="V52" s="17">
        <f t="shared" si="8"/>
        <v>1.6779123747061941</v>
      </c>
      <c r="X52" s="21">
        <f t="shared" si="9"/>
        <v>14.181818</v>
      </c>
      <c r="Y52" s="20">
        <f t="shared" si="10"/>
        <v>0.14309917326446281</v>
      </c>
    </row>
    <row r="53" spans="1:25" x14ac:dyDescent="0.25">
      <c r="A53">
        <v>14474747</v>
      </c>
      <c r="B53" t="str">
        <f>COMPLEX(0.0915642,0.241845)</f>
        <v>0.0915642+0.241845i</v>
      </c>
      <c r="C53" t="str">
        <f>COMPLEX(0.870363,-0.371918)</f>
        <v>0.870363-0.371918i</v>
      </c>
      <c r="D53" t="str">
        <f>COMPLEX(0.870363,-0.371918)</f>
        <v>0.870363-0.371918i</v>
      </c>
      <c r="E53" t="str">
        <f>COMPLEX(0.0915642,0.241845)</f>
        <v>0.0915642+0.241845i</v>
      </c>
      <c r="F53"/>
      <c r="G53" t="str">
        <f t="shared" si="0"/>
        <v>52.7939285925895+27.3659378686691i</v>
      </c>
      <c r="H53" t="str">
        <f t="shared" si="1"/>
        <v>52.7939285925895+27.3659378686691i</v>
      </c>
      <c r="N53" s="19">
        <f t="shared" si="11"/>
        <v>0.25859815688948751</v>
      </c>
      <c r="O53" s="19">
        <f t="shared" si="11"/>
        <v>0.94649603828700735</v>
      </c>
      <c r="P53" s="18">
        <f t="shared" si="12"/>
        <v>-11.747491495963047</v>
      </c>
      <c r="Q53" s="18">
        <f t="shared" si="12"/>
        <v>-0.47762399013031143</v>
      </c>
      <c r="R53" s="17">
        <f t="shared" si="6"/>
        <v>0.17703151779932907</v>
      </c>
      <c r="T53" s="17">
        <f t="shared" si="4"/>
        <v>14.474747000000001</v>
      </c>
      <c r="U53" s="17">
        <f t="shared" si="7"/>
        <v>0.17703151779932907</v>
      </c>
      <c r="V53" s="17">
        <f t="shared" si="8"/>
        <v>1.6975924305894696</v>
      </c>
      <c r="X53" s="21">
        <f t="shared" si="9"/>
        <v>14.474747000000001</v>
      </c>
      <c r="Y53" s="20">
        <f t="shared" si="10"/>
        <v>0.1435394544857973</v>
      </c>
    </row>
    <row r="54" spans="1:25" x14ac:dyDescent="0.25">
      <c r="A54">
        <v>14767676</v>
      </c>
      <c r="B54" t="str">
        <f>COMPLEX(0.0948826,0.245688)</f>
        <v>0.0948826+0.245688i</v>
      </c>
      <c r="C54" t="str">
        <f>COMPLEX(0.865839,-0.368296)</f>
        <v>0.865839-0.368296i</v>
      </c>
      <c r="D54" t="str">
        <f>COMPLEX(0.865839,-0.368296)</f>
        <v>0.865839-0.368296i</v>
      </c>
      <c r="E54" t="str">
        <f>COMPLEX(0.0948826,0.245688)</f>
        <v>0.0948826+0.245688i</v>
      </c>
      <c r="F54"/>
      <c r="G54" t="str">
        <f t="shared" si="0"/>
        <v>52.9010113619305+27.9317839646989i</v>
      </c>
      <c r="H54" t="str">
        <f t="shared" si="1"/>
        <v>52.9010113619305+27.9317839646989i</v>
      </c>
      <c r="N54" s="19">
        <f t="shared" si="11"/>
        <v>0.26337293165160314</v>
      </c>
      <c r="O54" s="19">
        <f t="shared" si="11"/>
        <v>0.94091397988179559</v>
      </c>
      <c r="P54" s="18">
        <f t="shared" si="12"/>
        <v>-11.58857724036392</v>
      </c>
      <c r="Q54" s="18">
        <f t="shared" si="12"/>
        <v>-0.52900157545674986</v>
      </c>
      <c r="R54" s="17">
        <f t="shared" si="6"/>
        <v>0.21679398788526333</v>
      </c>
      <c r="T54" s="17">
        <f t="shared" si="4"/>
        <v>14.767676</v>
      </c>
      <c r="U54" s="17">
        <f t="shared" si="7"/>
        <v>0.21679398788526333</v>
      </c>
      <c r="V54" s="17">
        <f t="shared" si="8"/>
        <v>1.7150780713017124</v>
      </c>
      <c r="X54" s="21">
        <f t="shared" si="9"/>
        <v>14.767676</v>
      </c>
      <c r="Y54" s="20">
        <f t="shared" si="10"/>
        <v>0.1439282512677072</v>
      </c>
    </row>
    <row r="55" spans="1:25" x14ac:dyDescent="0.25">
      <c r="A55">
        <v>15060606</v>
      </c>
      <c r="B55" t="str">
        <f>COMPLEX(0.0995402,0.249389)</f>
        <v>0.0995402+0.249389i</v>
      </c>
      <c r="C55" t="str">
        <f>COMPLEX(0.869429,-0.378131)</f>
        <v>0.869429-0.378131i</v>
      </c>
      <c r="D55" t="str">
        <f>COMPLEX(0.869429,-0.378131)</f>
        <v>0.869429-0.378131i</v>
      </c>
      <c r="E55" t="str">
        <f>COMPLEX(0.0995402,0.249389)</f>
        <v>0.0995402+0.249389i</v>
      </c>
      <c r="F55"/>
      <c r="G55" t="str">
        <f t="shared" si="0"/>
        <v>53.1427675919+28.5661521669i</v>
      </c>
      <c r="H55" t="str">
        <f t="shared" si="1"/>
        <v>53.1427675919+28.5661521669i</v>
      </c>
      <c r="N55" s="19">
        <f t="shared" si="11"/>
        <v>0.26852025014333653</v>
      </c>
      <c r="O55" s="19">
        <f t="shared" si="11"/>
        <v>0.94809801139017269</v>
      </c>
      <c r="P55" s="18">
        <f t="shared" si="12"/>
        <v>-11.420459138291417</v>
      </c>
      <c r="Q55" s="18">
        <f t="shared" si="12"/>
        <v>-0.4629352868741119</v>
      </c>
      <c r="R55" s="17">
        <f t="shared" si="6"/>
        <v>0.13793240905307164</v>
      </c>
      <c r="T55" s="17">
        <f t="shared" si="4"/>
        <v>15.060606</v>
      </c>
      <c r="U55" s="17">
        <f t="shared" si="7"/>
        <v>0.13793240905307164</v>
      </c>
      <c r="V55" s="17">
        <f t="shared" si="8"/>
        <v>1.7341836877807055</v>
      </c>
      <c r="X55" s="21">
        <f t="shared" si="9"/>
        <v>15.060606</v>
      </c>
      <c r="Y55" s="20">
        <f t="shared" si="10"/>
        <v>0.14426556467382917</v>
      </c>
    </row>
    <row r="56" spans="1:25" x14ac:dyDescent="0.25">
      <c r="A56">
        <v>15353535</v>
      </c>
      <c r="B56" t="str">
        <f>COMPLEX(0.104085,0.252246)</f>
        <v>0.104085+0.252246i</v>
      </c>
      <c r="C56" t="str">
        <f>COMPLEX(0.864869,-0.379558)</f>
        <v>0.864869-0.379558i</v>
      </c>
      <c r="D56" t="str">
        <f>COMPLEX(0.864869,-0.379558)</f>
        <v>0.864869-0.379558i</v>
      </c>
      <c r="E56" t="str">
        <f>COMPLEX(0.104085,0.252246)</f>
        <v>0.104085+0.252246i</v>
      </c>
      <c r="F56"/>
      <c r="G56" t="str">
        <f t="shared" si="0"/>
        <v>53.419548770189+29.1179045993036i</v>
      </c>
      <c r="H56" t="str">
        <f t="shared" si="1"/>
        <v>53.419548770189+29.1179045993036i</v>
      </c>
      <c r="N56" s="19">
        <f t="shared" si="11"/>
        <v>0.27287677024803708</v>
      </c>
      <c r="O56" s="19">
        <f t="shared" si="11"/>
        <v>0.94449068948560855</v>
      </c>
      <c r="P56" s="18">
        <f t="shared" si="12"/>
        <v>-11.280668677037832</v>
      </c>
      <c r="Q56" s="18">
        <f t="shared" si="12"/>
        <v>-0.49604637739358581</v>
      </c>
      <c r="R56" s="17">
        <f t="shared" si="6"/>
        <v>0.15999017986707792</v>
      </c>
      <c r="T56" s="17">
        <f t="shared" si="4"/>
        <v>15.353535000000001</v>
      </c>
      <c r="U56" s="17">
        <f t="shared" si="7"/>
        <v>0.15999017986707792</v>
      </c>
      <c r="V56" s="17">
        <f t="shared" si="8"/>
        <v>1.7505654037242657</v>
      </c>
      <c r="X56" s="21">
        <f t="shared" si="9"/>
        <v>15.353535000000001</v>
      </c>
      <c r="Y56" s="20">
        <f t="shared" si="10"/>
        <v>0.14455139240113249</v>
      </c>
    </row>
    <row r="57" spans="1:25" x14ac:dyDescent="0.25">
      <c r="A57">
        <v>15646464</v>
      </c>
      <c r="B57" t="str">
        <f>COMPLEX(0.107877,0.256272)</f>
        <v>0.107877+0.256272i</v>
      </c>
      <c r="C57" t="str">
        <f>COMPLEX(0.859275,-0.383317)</f>
        <v>0.859275-0.383317i</v>
      </c>
      <c r="D57" t="str">
        <f>COMPLEX(0.859275,-0.383317)</f>
        <v>0.859275-0.383317i</v>
      </c>
      <c r="E57" t="str">
        <f>COMPLEX(0.107877,0.256272)</f>
        <v>0.107877+0.256272i</v>
      </c>
      <c r="F57"/>
      <c r="G57" t="str">
        <f t="shared" si="0"/>
        <v>53.5475483989165+29.745155458706i</v>
      </c>
      <c r="H57" t="str">
        <f t="shared" si="1"/>
        <v>53.5475483989165+29.745155458706i</v>
      </c>
      <c r="N57" s="19">
        <f t="shared" si="11"/>
        <v>0.2780517669661533</v>
      </c>
      <c r="O57" s="19">
        <f t="shared" si="11"/>
        <v>0.94089608784073497</v>
      </c>
      <c r="P57" s="18">
        <f t="shared" si="12"/>
        <v>-11.117486814387775</v>
      </c>
      <c r="Q57" s="18">
        <f t="shared" si="12"/>
        <v>-0.52916674440416123</v>
      </c>
      <c r="R57" s="17">
        <f t="shared" si="6"/>
        <v>0.17971177340012784</v>
      </c>
      <c r="T57" s="17">
        <f t="shared" si="4"/>
        <v>15.646464</v>
      </c>
      <c r="U57" s="17">
        <f t="shared" si="7"/>
        <v>0.17971177340012784</v>
      </c>
      <c r="V57" s="17">
        <f t="shared" si="8"/>
        <v>1.7702817300284674</v>
      </c>
      <c r="X57" s="21">
        <f t="shared" si="9"/>
        <v>15.646464</v>
      </c>
      <c r="Y57" s="20">
        <f t="shared" si="10"/>
        <v>0.14478573568901121</v>
      </c>
    </row>
    <row r="58" spans="1:25" x14ac:dyDescent="0.25">
      <c r="A58">
        <v>15939393</v>
      </c>
      <c r="B58" t="str">
        <f>COMPLEX(0.11153,0.259751)</f>
        <v>0.11153+0.259751i</v>
      </c>
      <c r="C58" t="str">
        <f>COMPLEX(0.85161,-0.385445)</f>
        <v>0.85161-0.385445i</v>
      </c>
      <c r="D58" t="str">
        <f>COMPLEX(0.85161,-0.385445)</f>
        <v>0.85161-0.385445i</v>
      </c>
      <c r="E58" t="str">
        <f>COMPLEX(0.11153,0.259751)</f>
        <v>0.11153+0.259751i</v>
      </c>
      <c r="F58"/>
      <c r="G58" t="str">
        <f t="shared" si="0"/>
        <v>53.690318574485+30.3146577149943i</v>
      </c>
      <c r="H58" t="str">
        <f t="shared" si="1"/>
        <v>53.690318574485+30.3146577149943i</v>
      </c>
      <c r="N58" s="19">
        <f t="shared" si="11"/>
        <v>0.28268272480114526</v>
      </c>
      <c r="O58" s="19">
        <f t="shared" si="11"/>
        <v>0.93477667927960206</v>
      </c>
      <c r="P58" s="18">
        <f t="shared" si="12"/>
        <v>-10.974014622765491</v>
      </c>
      <c r="Q58" s="18">
        <f t="shared" si="12"/>
        <v>-0.58584261764839085</v>
      </c>
      <c r="R58" s="17">
        <f t="shared" si="6"/>
        <v>0.22414797559087485</v>
      </c>
      <c r="T58" s="17">
        <f t="shared" si="4"/>
        <v>15.939393000000001</v>
      </c>
      <c r="U58" s="17">
        <f t="shared" si="7"/>
        <v>0.22414797559087485</v>
      </c>
      <c r="V58" s="17">
        <f t="shared" si="8"/>
        <v>1.7881665047667501</v>
      </c>
      <c r="X58" s="21">
        <f t="shared" si="9"/>
        <v>15.939393000000001</v>
      </c>
      <c r="Y58" s="20">
        <f t="shared" si="10"/>
        <v>0.1449685945374653</v>
      </c>
    </row>
    <row r="59" spans="1:25" x14ac:dyDescent="0.25">
      <c r="A59">
        <v>16232323</v>
      </c>
      <c r="B59" t="str">
        <f>COMPLEX(0.116875,0.263067)</f>
        <v>0.116875+0.263067i</v>
      </c>
      <c r="C59" t="str">
        <f>COMPLEX(0.853854,-0.391349)</f>
        <v>0.853854-0.391349i</v>
      </c>
      <c r="D59" t="str">
        <f>COMPLEX(0.853854,-0.391349)</f>
        <v>0.853854-0.391349i</v>
      </c>
      <c r="E59" t="str">
        <f>COMPLEX(0.116875,0.263067)</f>
        <v>0.116875+0.263067i</v>
      </c>
      <c r="F59"/>
      <c r="G59" t="str">
        <f t="shared" si="0"/>
        <v>54.005467746472+30.9813518852497i</v>
      </c>
      <c r="H59" t="str">
        <f t="shared" si="1"/>
        <v>54.005467746472+30.9813518852497i</v>
      </c>
      <c r="N59" s="19">
        <f t="shared" si="11"/>
        <v>0.28786109864655207</v>
      </c>
      <c r="O59" s="19">
        <f t="shared" si="11"/>
        <v>0.93926603958463228</v>
      </c>
      <c r="P59" s="18">
        <f t="shared" si="12"/>
        <v>-10.816340428360895</v>
      </c>
      <c r="Q59" s="18">
        <f t="shared" si="12"/>
        <v>-0.54422759750619276</v>
      </c>
      <c r="R59" s="17">
        <f t="shared" si="6"/>
        <v>0.16856494995147162</v>
      </c>
      <c r="T59" s="17">
        <f t="shared" si="4"/>
        <v>16.232323000000001</v>
      </c>
      <c r="U59" s="17">
        <f t="shared" si="7"/>
        <v>0.16856494995147162</v>
      </c>
      <c r="V59" s="17">
        <f t="shared" si="8"/>
        <v>1.808440876069151</v>
      </c>
      <c r="X59" s="21">
        <f t="shared" si="9"/>
        <v>16.232323000000001</v>
      </c>
      <c r="Y59" s="20">
        <f t="shared" si="10"/>
        <v>0.14509996930710131</v>
      </c>
    </row>
    <row r="60" spans="1:25" x14ac:dyDescent="0.25">
      <c r="A60">
        <v>16525252</v>
      </c>
      <c r="B60" t="str">
        <f>COMPLEX(0.120618,0.265793)</f>
        <v>0.120618+0.265793i</v>
      </c>
      <c r="C60" t="str">
        <f>COMPLEX(0.853167,-0.392426)</f>
        <v>0.853167-0.392426i</v>
      </c>
      <c r="D60" t="str">
        <f>COMPLEX(0.853167,-0.392426)</f>
        <v>0.853167-0.392426i</v>
      </c>
      <c r="E60" t="str">
        <f>COMPLEX(0.120618,0.265793)</f>
        <v>0.120618+0.265793i</v>
      </c>
      <c r="F60"/>
      <c r="G60" t="str">
        <f t="shared" si="0"/>
        <v>54.197288629454+31.4936056647605i</v>
      </c>
      <c r="H60" t="str">
        <f t="shared" si="1"/>
        <v>54.197288629454+31.4936056647605i</v>
      </c>
      <c r="N60" s="19">
        <f t="shared" si="11"/>
        <v>0.29188117577706174</v>
      </c>
      <c r="O60" s="19">
        <f t="shared" si="11"/>
        <v>0.93909110067394419</v>
      </c>
      <c r="P60" s="18">
        <f t="shared" si="12"/>
        <v>-10.695878259182157</v>
      </c>
      <c r="Q60" s="18">
        <f t="shared" si="12"/>
        <v>-0.54584550077226091</v>
      </c>
      <c r="R60" s="17">
        <f t="shared" si="6"/>
        <v>0.15913259752355027</v>
      </c>
      <c r="T60" s="17">
        <f t="shared" si="4"/>
        <v>16.525251999999998</v>
      </c>
      <c r="U60" s="17">
        <f t="shared" si="7"/>
        <v>0.15913259752355027</v>
      </c>
      <c r="V60" s="17">
        <f t="shared" si="8"/>
        <v>1.8243847382460443</v>
      </c>
      <c r="X60" s="21">
        <f t="shared" si="9"/>
        <v>16.525251999999998</v>
      </c>
      <c r="Y60" s="20">
        <f t="shared" si="10"/>
        <v>0.14517985910094877</v>
      </c>
    </row>
    <row r="61" spans="1:25" x14ac:dyDescent="0.25">
      <c r="A61">
        <v>16818181</v>
      </c>
      <c r="B61" t="str">
        <f>COMPLEX(0.125962,0.268892)</f>
        <v>0.125962+0.268892i</v>
      </c>
      <c r="C61" t="str">
        <f>COMPLEX(0.851422,-0.39152)</f>
        <v>0.851422-0.39152i</v>
      </c>
      <c r="D61" t="str">
        <f>COMPLEX(0.851422,-0.39152)</f>
        <v>0.851422-0.39152i</v>
      </c>
      <c r="E61" t="str">
        <f>COMPLEX(0.125962,0.268892)</f>
        <v>0.125962+0.268892i</v>
      </c>
      <c r="F61"/>
      <c r="G61" t="str">
        <f t="shared" si="0"/>
        <v>54.5193276895835+32.1546786994473i</v>
      </c>
      <c r="H61" t="str">
        <f t="shared" si="1"/>
        <v>54.5193276895835+32.1546786994473i</v>
      </c>
      <c r="N61" s="19">
        <f t="shared" si="11"/>
        <v>0.29693321321132127</v>
      </c>
      <c r="O61" s="19">
        <f t="shared" si="11"/>
        <v>0.93712716985689826</v>
      </c>
      <c r="P61" s="18">
        <f t="shared" si="12"/>
        <v>-10.546824440961334</v>
      </c>
      <c r="Q61" s="18">
        <f t="shared" si="12"/>
        <v>-0.56402941128185757</v>
      </c>
      <c r="R61" s="17">
        <f t="shared" si="6"/>
        <v>0.16317135528462945</v>
      </c>
      <c r="T61" s="17">
        <f t="shared" si="4"/>
        <v>16.818180999999999</v>
      </c>
      <c r="U61" s="17">
        <f t="shared" si="7"/>
        <v>0.16317135528462945</v>
      </c>
      <c r="V61" s="17">
        <f t="shared" si="8"/>
        <v>1.8446799615370557</v>
      </c>
      <c r="X61" s="21">
        <f t="shared" si="9"/>
        <v>16.818180999999999</v>
      </c>
      <c r="Y61" s="20">
        <f t="shared" si="10"/>
        <v>0.14520826445537172</v>
      </c>
    </row>
    <row r="62" spans="1:25" x14ac:dyDescent="0.25">
      <c r="A62">
        <v>17111111</v>
      </c>
      <c r="B62" t="str">
        <f>COMPLEX(0.129955,0.272052)</f>
        <v>0.129955+0.272052i</v>
      </c>
      <c r="C62" t="str">
        <f>COMPLEX(0.848818,-0.39579)</f>
        <v>0.848818-0.39579i</v>
      </c>
      <c r="D62" t="str">
        <f>COMPLEX(0.848818,-0.39579)</f>
        <v>0.848818-0.39579i</v>
      </c>
      <c r="E62" t="str">
        <f>COMPLEX(0.129955,0.272052)</f>
        <v>0.129955+0.272052i</v>
      </c>
      <c r="F62"/>
      <c r="G62" t="str">
        <f t="shared" si="0"/>
        <v>54.6997412019725+32.738276748305i</v>
      </c>
      <c r="H62" t="str">
        <f t="shared" si="1"/>
        <v>54.6997412019725+32.738276748305i</v>
      </c>
      <c r="N62" s="19">
        <f t="shared" si="11"/>
        <v>0.3014972516110222</v>
      </c>
      <c r="O62" s="19">
        <f t="shared" si="11"/>
        <v>0.93655844517253695</v>
      </c>
      <c r="P62" s="18">
        <f t="shared" si="12"/>
        <v>-10.414332848958026</v>
      </c>
      <c r="Q62" s="18">
        <f t="shared" si="12"/>
        <v>-0.56930231294144074</v>
      </c>
      <c r="R62" s="17">
        <f t="shared" si="6"/>
        <v>0.15541605900935349</v>
      </c>
      <c r="T62" s="17">
        <f t="shared" si="4"/>
        <v>17.111111000000001</v>
      </c>
      <c r="U62" s="17">
        <f t="shared" si="7"/>
        <v>0.15541605900935349</v>
      </c>
      <c r="V62" s="17">
        <f t="shared" si="8"/>
        <v>1.863267187728018</v>
      </c>
      <c r="X62" s="21">
        <f t="shared" si="9"/>
        <v>17.111111000000001</v>
      </c>
      <c r="Y62" s="20">
        <f t="shared" si="10"/>
        <v>0.14518518520370371</v>
      </c>
    </row>
    <row r="63" spans="1:25" x14ac:dyDescent="0.25">
      <c r="A63">
        <v>17404040</v>
      </c>
      <c r="B63" t="str">
        <f>COMPLEX(0.135031,0.274983)</f>
        <v>0.135031+0.274983i</v>
      </c>
      <c r="C63" t="str">
        <f>COMPLEX(0.846787,-0.397628)</f>
        <v>0.846787-0.397628i</v>
      </c>
      <c r="D63" t="str">
        <f>COMPLEX(0.846787,-0.397628)</f>
        <v>0.846787-0.397628i</v>
      </c>
      <c r="E63" t="str">
        <f>COMPLEX(0.135031,0.274983)</f>
        <v>0.135031+0.274983i</v>
      </c>
      <c r="F63"/>
      <c r="G63" t="str">
        <f t="shared" si="0"/>
        <v>54.999105070569+33.380351098849i</v>
      </c>
      <c r="H63" t="str">
        <f t="shared" si="1"/>
        <v>54.999105070569+33.380351098849i</v>
      </c>
      <c r="N63" s="19">
        <f t="shared" si="11"/>
        <v>0.30634787619632686</v>
      </c>
      <c r="O63" s="19">
        <f t="shared" si="11"/>
        <v>0.93549786197136764</v>
      </c>
      <c r="P63" s="18">
        <f t="shared" si="12"/>
        <v>-10.275702522694932</v>
      </c>
      <c r="Q63" s="18">
        <f t="shared" si="12"/>
        <v>-0.57914401437719654</v>
      </c>
      <c r="R63" s="17">
        <f t="shared" si="6"/>
        <v>0.1511496531241604</v>
      </c>
      <c r="T63" s="17">
        <f t="shared" si="4"/>
        <v>17.404039999999998</v>
      </c>
      <c r="U63" s="17">
        <f t="shared" si="7"/>
        <v>0.1511496531241604</v>
      </c>
      <c r="V63" s="17">
        <f t="shared" si="8"/>
        <v>1.8832896654780042</v>
      </c>
      <c r="X63" s="21">
        <f t="shared" si="9"/>
        <v>17.404039999999998</v>
      </c>
      <c r="Y63" s="20">
        <f t="shared" si="10"/>
        <v>0.14511062150352003</v>
      </c>
    </row>
    <row r="64" spans="1:25" x14ac:dyDescent="0.25">
      <c r="A64">
        <v>17696969</v>
      </c>
      <c r="B64" t="str">
        <f>COMPLEX(0.140816,0.277504)</f>
        <v>0.140816+0.277504i</v>
      </c>
      <c r="C64" t="str">
        <f>COMPLEX(0.842149,-0.403253)</f>
        <v>0.842149-0.403253i</v>
      </c>
      <c r="D64" t="str">
        <f>COMPLEX(0.842149,-0.403253)</f>
        <v>0.842149-0.403253i</v>
      </c>
      <c r="E64" t="str">
        <f>COMPLEX(0.140816,0.277504)</f>
        <v>0.140816+0.277504i</v>
      </c>
      <c r="F64"/>
      <c r="G64" t="str">
        <f t="shared" si="0"/>
        <v>55.3947597111385+34.0409823726696i</v>
      </c>
      <c r="H64" t="str">
        <f t="shared" si="1"/>
        <v>55.3947597111385+34.0409823726696i</v>
      </c>
      <c r="N64" s="19">
        <f t="shared" si="11"/>
        <v>0.31118742884634654</v>
      </c>
      <c r="O64" s="19">
        <f t="shared" si="11"/>
        <v>0.93371725924393201</v>
      </c>
      <c r="P64" s="18">
        <f t="shared" si="12"/>
        <v>-10.139559113655828</v>
      </c>
      <c r="Q64" s="18">
        <f t="shared" si="12"/>
        <v>-0.59569226854267332</v>
      </c>
      <c r="R64" s="17">
        <f t="shared" si="6"/>
        <v>0.1533506818721726</v>
      </c>
      <c r="T64" s="17">
        <f t="shared" si="4"/>
        <v>17.696968999999999</v>
      </c>
      <c r="U64" s="17">
        <f t="shared" si="7"/>
        <v>0.1533506818721726</v>
      </c>
      <c r="V64" s="17">
        <f t="shared" si="8"/>
        <v>1.9035474725008465</v>
      </c>
      <c r="X64" s="21">
        <f t="shared" si="9"/>
        <v>17.696968999999999</v>
      </c>
      <c r="Y64" s="20">
        <f t="shared" si="10"/>
        <v>0.14498457336391171</v>
      </c>
    </row>
    <row r="65" spans="1:25" x14ac:dyDescent="0.25">
      <c r="A65">
        <v>17989898</v>
      </c>
      <c r="B65" t="str">
        <f>COMPLEX(0.143633,0.282705)</f>
        <v>0.143633+0.282705i</v>
      </c>
      <c r="C65" t="str">
        <f>COMPLEX(0.835142,-0.393957)</f>
        <v>0.835142-0.393957i</v>
      </c>
      <c r="D65" t="str">
        <f>COMPLEX(0.835142,-0.393957)</f>
        <v>0.835142-0.393957i</v>
      </c>
      <c r="E65" t="str">
        <f>COMPLEX(0.143633,0.282705)</f>
        <v>0.143633+0.282705i</v>
      </c>
      <c r="F65"/>
      <c r="G65" t="str">
        <f t="shared" si="0"/>
        <v>55.29708059027+34.7608106901273i</v>
      </c>
      <c r="H65" t="str">
        <f t="shared" si="1"/>
        <v>55.29708059027+34.7608106901273i</v>
      </c>
      <c r="N65" s="19">
        <f t="shared" si="11"/>
        <v>0.31710022976024471</v>
      </c>
      <c r="O65" s="19">
        <f t="shared" si="11"/>
        <v>0.92339822287732398</v>
      </c>
      <c r="P65" s="18">
        <f t="shared" si="12"/>
        <v>-9.9760688659501664</v>
      </c>
      <c r="Q65" s="18">
        <f t="shared" si="12"/>
        <v>-0.69221931207863474</v>
      </c>
      <c r="R65" s="17">
        <f t="shared" si="6"/>
        <v>0.23197723321446206</v>
      </c>
      <c r="T65" s="17">
        <f t="shared" si="4"/>
        <v>17.989898</v>
      </c>
      <c r="U65" s="17">
        <f t="shared" si="7"/>
        <v>0.23197723321446206</v>
      </c>
      <c r="V65" s="17">
        <f t="shared" si="8"/>
        <v>1.9286874694625125</v>
      </c>
      <c r="X65" s="21">
        <f t="shared" si="9"/>
        <v>17.989898</v>
      </c>
      <c r="Y65" s="20">
        <f t="shared" si="10"/>
        <v>0.1448070407848788</v>
      </c>
    </row>
    <row r="66" spans="1:25" x14ac:dyDescent="0.25">
      <c r="A66">
        <v>18282828</v>
      </c>
      <c r="B66" t="str">
        <f>COMPLEX(0.150263,0.283297)</f>
        <v>0.150263+0.283297i</v>
      </c>
      <c r="C66" t="str">
        <f>COMPLEX(0.834274,-0.407262)</f>
        <v>0.834274-0.407262i</v>
      </c>
      <c r="D66" t="str">
        <f>COMPLEX(0.834274,-0.407262)</f>
        <v>0.834274-0.407262i</v>
      </c>
      <c r="E66" t="str">
        <f>COMPLEX(0.150263,0.283297)</f>
        <v>0.150263+0.283297i</v>
      </c>
      <c r="F66"/>
      <c r="G66" t="str">
        <f t="shared" si="0"/>
        <v>55.9112850644655+35.3101598787717i</v>
      </c>
      <c r="H66" t="str">
        <f t="shared" si="1"/>
        <v>55.9112850644655+35.3101598787717i</v>
      </c>
      <c r="N66" s="19">
        <f t="shared" si="11"/>
        <v>0.32068077488056568</v>
      </c>
      <c r="O66" s="19">
        <f t="shared" si="11"/>
        <v>0.92837247035874559</v>
      </c>
      <c r="P66" s="18">
        <f t="shared" si="12"/>
        <v>-9.8785415132213643</v>
      </c>
      <c r="Q66" s="18">
        <f t="shared" si="12"/>
        <v>-0.64555492891854127</v>
      </c>
      <c r="R66" s="17">
        <f t="shared" si="6"/>
        <v>0.17427254308809342</v>
      </c>
      <c r="T66" s="17">
        <f t="shared" si="4"/>
        <v>18.282827999999999</v>
      </c>
      <c r="U66" s="17">
        <f t="shared" si="7"/>
        <v>0.17427254308809342</v>
      </c>
      <c r="V66" s="17">
        <f t="shared" si="8"/>
        <v>1.9441239494559728</v>
      </c>
      <c r="X66" s="21">
        <f t="shared" si="9"/>
        <v>18.282827999999999</v>
      </c>
      <c r="Y66" s="20">
        <f t="shared" si="10"/>
        <v>0.14457802289672481</v>
      </c>
    </row>
    <row r="67" spans="1:25" x14ac:dyDescent="0.25">
      <c r="A67">
        <v>18575757</v>
      </c>
      <c r="B67" t="str">
        <f>COMPLEX(0.155168,0.284788)</f>
        <v>0.155168+0.284788i</v>
      </c>
      <c r="C67" t="str">
        <f>COMPLEX(0.834251,-0.403595)</f>
        <v>0.834251-0.403595i</v>
      </c>
      <c r="D67" t="str">
        <f>COMPLEX(0.834251,-0.403595)</f>
        <v>0.834251-0.403595i</v>
      </c>
      <c r="E67" t="str">
        <f>COMPLEX(0.155168,0.284788)</f>
        <v>0.155168+0.284788i</v>
      </c>
      <c r="F67"/>
      <c r="G67" t="str">
        <f t="shared" si="0"/>
        <v>56.2888572158485+35.8293614219006i</v>
      </c>
      <c r="H67" t="str">
        <f t="shared" si="1"/>
        <v>56.2888572158485+35.8293614219006i</v>
      </c>
      <c r="N67" s="19">
        <f t="shared" si="11"/>
        <v>0.32431668653956119</v>
      </c>
      <c r="O67" s="19">
        <f t="shared" si="11"/>
        <v>0.92674897087938546</v>
      </c>
      <c r="P67" s="18">
        <f t="shared" si="12"/>
        <v>-9.780614114075572</v>
      </c>
      <c r="Q67" s="18">
        <f t="shared" si="12"/>
        <v>-0.66075775132329717</v>
      </c>
      <c r="R67" s="17">
        <f t="shared" si="6"/>
        <v>0.17810820185085469</v>
      </c>
      <c r="T67" s="17">
        <f t="shared" si="4"/>
        <v>18.575756999999999</v>
      </c>
      <c r="U67" s="17">
        <f t="shared" si="7"/>
        <v>0.17810820185085469</v>
      </c>
      <c r="V67" s="17">
        <f t="shared" si="8"/>
        <v>1.9599665407707305</v>
      </c>
      <c r="X67" s="21">
        <f t="shared" si="9"/>
        <v>18.575756999999999</v>
      </c>
      <c r="Y67" s="20">
        <f t="shared" si="10"/>
        <v>0.14429752126308529</v>
      </c>
    </row>
    <row r="68" spans="1:25" x14ac:dyDescent="0.25">
      <c r="A68">
        <v>18868686</v>
      </c>
      <c r="B68" t="str">
        <f>COMPLEX(0.160499,0.288019)</f>
        <v>0.160499+0.288019i</v>
      </c>
      <c r="C68" t="str">
        <f>COMPLEX(0.829751,-0.412435)</f>
        <v>0.829751-0.412435i</v>
      </c>
      <c r="D68" t="str">
        <f>COMPLEX(0.829751,-0.412435)</f>
        <v>0.829751-0.412435i</v>
      </c>
      <c r="E68" t="str">
        <f>COMPLEX(0.160499,0.288019)</f>
        <v>0.160499+0.288019i</v>
      </c>
      <c r="F68"/>
      <c r="G68" t="str">
        <f t="shared" si="0"/>
        <v>56.5739516810125+36.5637717992159i</v>
      </c>
      <c r="H68" t="str">
        <f t="shared" si="1"/>
        <v>56.5739516810125+36.5637717992159i</v>
      </c>
      <c r="N68" s="19">
        <f t="shared" si="11"/>
        <v>0.32971938578433629</v>
      </c>
      <c r="O68" s="19">
        <f t="shared" si="11"/>
        <v>0.92660096655788138</v>
      </c>
      <c r="P68" s="18">
        <f t="shared" si="12"/>
        <v>-9.6371103570059731</v>
      </c>
      <c r="Q68" s="18">
        <f t="shared" si="12"/>
        <v>-0.66214502220971316</v>
      </c>
      <c r="R68" s="17">
        <f t="shared" si="6"/>
        <v>0.1623116149540339</v>
      </c>
      <c r="T68" s="17">
        <f t="shared" si="4"/>
        <v>18.868686</v>
      </c>
      <c r="U68" s="17">
        <f t="shared" si="7"/>
        <v>0.1623116149540339</v>
      </c>
      <c r="V68" s="17">
        <f t="shared" si="8"/>
        <v>1.9838249198663196</v>
      </c>
      <c r="X68" s="21">
        <f t="shared" si="9"/>
        <v>18.868686</v>
      </c>
      <c r="Y68" s="20">
        <f t="shared" si="10"/>
        <v>0.1439655351900212</v>
      </c>
    </row>
    <row r="69" spans="1:25" x14ac:dyDescent="0.25">
      <c r="A69">
        <v>19161616</v>
      </c>
      <c r="B69" t="str">
        <f>COMPLEX(0.164591,0.290127)</f>
        <v>0.164591+0.290127i</v>
      </c>
      <c r="C69" t="str">
        <f>COMPLEX(0.821508,-0.413145)</f>
        <v>0.821508-0.413145i</v>
      </c>
      <c r="D69" t="str">
        <f>COMPLEX(0.821508,-0.413145)</f>
        <v>0.821508-0.413145i</v>
      </c>
      <c r="E69" t="str">
        <f>COMPLEX(0.164591,0.290127)</f>
        <v>0.164591+0.290127i</v>
      </c>
      <c r="F69"/>
      <c r="G69" t="str">
        <f t="shared" si="0"/>
        <v>56.8186117595955+37.0967554502958i</v>
      </c>
      <c r="H69" t="str">
        <f t="shared" si="1"/>
        <v>56.8186117595955+37.0967554502958i</v>
      </c>
      <c r="N69" s="19">
        <f t="shared" si="11"/>
        <v>0.33356239807568239</v>
      </c>
      <c r="O69" s="19">
        <f t="shared" si="11"/>
        <v>0.91954564056875399</v>
      </c>
      <c r="P69" s="18">
        <f t="shared" si="12"/>
        <v>-9.5364582511325899</v>
      </c>
      <c r="Q69" s="18">
        <f t="shared" si="12"/>
        <v>-0.72853420387978163</v>
      </c>
      <c r="R69" s="17">
        <f t="shared" si="6"/>
        <v>0.21626254725030125</v>
      </c>
      <c r="T69" s="17">
        <f t="shared" si="4"/>
        <v>19.161615999999999</v>
      </c>
      <c r="U69" s="17">
        <f t="shared" si="7"/>
        <v>0.21626254725030125</v>
      </c>
      <c r="V69" s="17">
        <f t="shared" si="8"/>
        <v>2.0010311456392356</v>
      </c>
      <c r="X69" s="21">
        <f t="shared" si="9"/>
        <v>19.161615999999999</v>
      </c>
      <c r="Y69" s="20">
        <f t="shared" si="10"/>
        <v>0.14358206328056319</v>
      </c>
    </row>
    <row r="70" spans="1:25" x14ac:dyDescent="0.25">
      <c r="A70">
        <v>19454545</v>
      </c>
      <c r="B70" t="str">
        <f>COMPLEX(0.170093,0.293593)</f>
        <v>0.170093+0.293593i</v>
      </c>
      <c r="C70" t="str">
        <f>COMPLEX(0.820396,-0.417582)</f>
        <v>0.820396-0.417582i</v>
      </c>
      <c r="D70" t="str">
        <f>COMPLEX(0.820396,-0.417582)</f>
        <v>0.820396-0.417582i</v>
      </c>
      <c r="E70" t="str">
        <f>COMPLEX(0.170093,0.293593)</f>
        <v>0.170093+0.293593i</v>
      </c>
      <c r="F70"/>
      <c r="G70" t="str">
        <f t="shared" si="0"/>
        <v>57.0927227815305+37.8857796832632i</v>
      </c>
      <c r="H70" t="str">
        <f t="shared" si="1"/>
        <v>57.0927227815305+37.8857796832632i</v>
      </c>
      <c r="N70" s="19">
        <f t="shared" si="11"/>
        <v>0.33930587719342553</v>
      </c>
      <c r="O70" s="19">
        <f t="shared" si="11"/>
        <v>0.92055652924738951</v>
      </c>
      <c r="P70" s="18">
        <f t="shared" si="12"/>
        <v>-9.3881723555463328</v>
      </c>
      <c r="Q70" s="18">
        <f t="shared" si="12"/>
        <v>-0.71899074642796279</v>
      </c>
      <c r="R70" s="17">
        <f t="shared" si="6"/>
        <v>0.18779292836211592</v>
      </c>
      <c r="T70" s="17">
        <f t="shared" si="4"/>
        <v>19.454545</v>
      </c>
      <c r="U70" s="17">
        <f t="shared" si="7"/>
        <v>0.18779292836211592</v>
      </c>
      <c r="V70" s="17">
        <f t="shared" si="8"/>
        <v>2.0271194051252701</v>
      </c>
      <c r="X70" s="21">
        <f t="shared" si="9"/>
        <v>19.454545</v>
      </c>
      <c r="Y70" s="20">
        <f t="shared" si="10"/>
        <v>0.1431471081528925</v>
      </c>
    </row>
    <row r="71" spans="1:25" x14ac:dyDescent="0.25">
      <c r="A71">
        <v>19747474</v>
      </c>
      <c r="B71" t="str">
        <f>COMPLEX(0.175507,0.295321)</f>
        <v>0.175507+0.295321i</v>
      </c>
      <c r="C71" t="str">
        <f>COMPLEX(0.816172,-0.423548)</f>
        <v>0.816172-0.423548i</v>
      </c>
      <c r="D71" t="str">
        <f>COMPLEX(0.816172,-0.423548)</f>
        <v>0.816172-0.423548i</v>
      </c>
      <c r="E71" t="str">
        <f>COMPLEX(0.175507,0.295321)</f>
        <v>0.175507+0.295321i</v>
      </c>
      <c r="F71"/>
      <c r="G71" t="str">
        <f t="shared" ref="G71:G106" si="13">IMPRODUCT($B$4,(IMDIV(IMSUM($E$4,$B71),IMSUB($E$4,$B71))))</f>
        <v>57.495379406925+38.5032291867031i</v>
      </c>
      <c r="H71" t="str">
        <f t="shared" ref="H71:H106" si="14">IMPRODUCT($B$4,(IMDIV(IMSUM($E$4,$E71),IMSUB($E$4,$E71))))</f>
        <v>57.495379406925+38.5032291867031i</v>
      </c>
      <c r="N71" s="19">
        <f t="shared" ref="N71:O106" si="15">IMABS(B71)</f>
        <v>0.34353631553301611</v>
      </c>
      <c r="O71" s="19">
        <f t="shared" si="15"/>
        <v>0.91952685762189668</v>
      </c>
      <c r="P71" s="18">
        <f t="shared" ref="P71:Q106" si="16">20*LOG(N71)</f>
        <v>-9.2805469303448014</v>
      </c>
      <c r="Q71" s="18">
        <f t="shared" si="16"/>
        <v>-0.72871162657915478</v>
      </c>
      <c r="R71" s="17">
        <f t="shared" si="6"/>
        <v>0.18331278428043163</v>
      </c>
      <c r="T71" s="17">
        <f t="shared" ref="T71:T106" si="17">A71/1000000</f>
        <v>19.747474</v>
      </c>
      <c r="U71" s="17">
        <f t="shared" si="7"/>
        <v>0.18331278428043163</v>
      </c>
      <c r="V71" s="17">
        <f t="shared" si="8"/>
        <v>2.046627021910437</v>
      </c>
      <c r="X71" s="21">
        <f t="shared" si="9"/>
        <v>19.747474</v>
      </c>
      <c r="Y71" s="20">
        <f t="shared" si="10"/>
        <v>0.14266066858579718</v>
      </c>
    </row>
    <row r="72" spans="1:25" x14ac:dyDescent="0.25">
      <c r="A72">
        <v>20040404</v>
      </c>
      <c r="B72" t="str">
        <f>COMPLEX(0.180475,0.297575)</f>
        <v>0.180475+0.297575i</v>
      </c>
      <c r="C72" t="str">
        <f>COMPLEX(0.812233,-0.429451)</f>
        <v>0.812233-0.429451i</v>
      </c>
      <c r="D72" t="str">
        <f>COMPLEX(0.812233,-0.429451)</f>
        <v>0.812233-0.429451i</v>
      </c>
      <c r="E72" t="str">
        <f>COMPLEX(0.180475,0.297575)</f>
        <v>0.180475+0.297575i</v>
      </c>
      <c r="F72"/>
      <c r="G72" t="str">
        <f t="shared" si="13"/>
        <v>57.8078231576785+39.1457404913166i</v>
      </c>
      <c r="H72" t="str">
        <f t="shared" si="14"/>
        <v>57.8078231576785+39.1457404913166i</v>
      </c>
      <c r="N72" s="19">
        <f t="shared" si="15"/>
        <v>0.3480260137547192</v>
      </c>
      <c r="O72" s="19">
        <f t="shared" si="15"/>
        <v>0.91877669087216185</v>
      </c>
      <c r="P72" s="18">
        <f t="shared" si="16"/>
        <v>-9.1677658562472324</v>
      </c>
      <c r="Q72" s="18">
        <f t="shared" si="16"/>
        <v>-0.7358006255264361</v>
      </c>
      <c r="R72" s="17">
        <f t="shared" ref="R72:R106" si="18">-10*LOG(O72^2/(1-N72^2))</f>
        <v>0.17508603434996739</v>
      </c>
      <c r="T72" s="17">
        <f t="shared" si="17"/>
        <v>20.040403999999999</v>
      </c>
      <c r="U72" s="17">
        <f t="shared" ref="U72:U106" si="19">R72</f>
        <v>0.17508603434996739</v>
      </c>
      <c r="V72" s="17">
        <f t="shared" ref="V72:V106" si="20">(1+N72)/(1-N72)</f>
        <v>2.0676070551802272</v>
      </c>
      <c r="X72" s="21">
        <f t="shared" ref="X72:X106" si="21">T72</f>
        <v>20.040403999999999</v>
      </c>
      <c r="Y72" s="20">
        <f t="shared" si="10"/>
        <v>0.14212274265503519</v>
      </c>
    </row>
    <row r="73" spans="1:25" x14ac:dyDescent="0.25">
      <c r="A73">
        <v>20333333</v>
      </c>
      <c r="B73" t="str">
        <f>COMPLEX(0.185553,0.300329)</f>
        <v>0.185553+0.300329i</v>
      </c>
      <c r="C73" t="str">
        <f>COMPLEX(0.810548,-0.430759)</f>
        <v>0.810548-0.430759i</v>
      </c>
      <c r="D73" t="str">
        <f>COMPLEX(0.810548,-0.430759)</f>
        <v>0.810548-0.430759i</v>
      </c>
      <c r="E73" t="str">
        <f>COMPLEX(0.185553,0.300329)</f>
        <v>0.185553+0.300329i</v>
      </c>
      <c r="F73"/>
      <c r="G73" t="str">
        <f t="shared" si="13"/>
        <v>58.085447076281+39.8567300695715i</v>
      </c>
      <c r="H73" t="str">
        <f t="shared" si="14"/>
        <v>58.085447076281+39.8567300695715i</v>
      </c>
      <c r="N73" s="19">
        <f t="shared" si="15"/>
        <v>0.35302609542355362</v>
      </c>
      <c r="O73" s="19">
        <f t="shared" si="15"/>
        <v>0.91790052641067821</v>
      </c>
      <c r="P73" s="18">
        <f t="shared" si="16"/>
        <v>-9.043863814080666</v>
      </c>
      <c r="Q73" s="18">
        <f t="shared" si="16"/>
        <v>-0.74408762154610386</v>
      </c>
      <c r="R73" s="17">
        <f t="shared" si="18"/>
        <v>0.16601698879789839</v>
      </c>
      <c r="T73" s="17">
        <f t="shared" si="17"/>
        <v>20.333333</v>
      </c>
      <c r="U73" s="17">
        <f t="shared" si="19"/>
        <v>0.16601698879789839</v>
      </c>
      <c r="V73" s="17">
        <f t="shared" si="20"/>
        <v>2.0913147900599443</v>
      </c>
      <c r="X73" s="21">
        <f t="shared" si="21"/>
        <v>20.333333</v>
      </c>
      <c r="Y73" s="20">
        <f t="shared" si="10"/>
        <v>0.14153333403333332</v>
      </c>
    </row>
    <row r="74" spans="1:25" x14ac:dyDescent="0.25">
      <c r="A74">
        <v>20626262</v>
      </c>
      <c r="B74" t="str">
        <f>COMPLEX(0.190466,0.30303)</f>
        <v>0.190466+0.30303i</v>
      </c>
      <c r="C74" t="str">
        <f>COMPLEX(0.806536,-0.434833)</f>
        <v>0.806536-0.434833i</v>
      </c>
      <c r="D74" t="str">
        <f>COMPLEX(0.806536,-0.434833)</f>
        <v>0.806536-0.434833i</v>
      </c>
      <c r="E74" t="str">
        <f>COMPLEX(0.190466,0.30303)</f>
        <v>0.190466+0.30303i</v>
      </c>
      <c r="F74"/>
      <c r="G74" t="str">
        <f t="shared" si="13"/>
        <v>58.3463355216525+40.5569007022885i</v>
      </c>
      <c r="H74" t="str">
        <f t="shared" si="14"/>
        <v>58.3463355216525+40.5569007022885i</v>
      </c>
      <c r="N74" s="19">
        <f t="shared" si="15"/>
        <v>0.35791685913910226</v>
      </c>
      <c r="O74" s="19">
        <f t="shared" si="15"/>
        <v>0.91628601276293642</v>
      </c>
      <c r="P74" s="18">
        <f t="shared" si="16"/>
        <v>-8.9243568867046879</v>
      </c>
      <c r="Q74" s="18">
        <f t="shared" si="16"/>
        <v>-0.75937885903562452</v>
      </c>
      <c r="R74" s="17">
        <f t="shared" si="18"/>
        <v>0.16402333036061839</v>
      </c>
      <c r="T74" s="17">
        <f t="shared" si="17"/>
        <v>20.626262000000001</v>
      </c>
      <c r="U74" s="17">
        <f t="shared" si="19"/>
        <v>0.16402333036061839</v>
      </c>
      <c r="V74" s="17">
        <f t="shared" si="20"/>
        <v>2.1148614139259641</v>
      </c>
      <c r="X74" s="21">
        <f t="shared" si="21"/>
        <v>20.626262000000001</v>
      </c>
      <c r="Y74" s="20">
        <f t="shared" si="10"/>
        <v>0.14089244097220682</v>
      </c>
    </row>
    <row r="75" spans="1:25" x14ac:dyDescent="0.25">
      <c r="A75">
        <v>20919191</v>
      </c>
      <c r="B75" t="str">
        <f>COMPLEX(0.19586,0.304993)</f>
        <v>0.19586+0.304993i</v>
      </c>
      <c r="C75" t="str">
        <f>COMPLEX(0.801157,-0.441034)</f>
        <v>0.801157-0.441034i</v>
      </c>
      <c r="D75" t="str">
        <f>COMPLEX(0.801157,-0.441034)</f>
        <v>0.801157-0.441034i</v>
      </c>
      <c r="E75" t="str">
        <f>COMPLEX(0.19586,0.304993)</f>
        <v>0.19586+0.304993i</v>
      </c>
      <c r="F75"/>
      <c r="G75" t="str">
        <f t="shared" si="13"/>
        <v>58.7172440539075+41.2341114926922i</v>
      </c>
      <c r="H75" t="str">
        <f t="shared" si="14"/>
        <v>58.7172440539075+41.2341114926922i</v>
      </c>
      <c r="N75" s="19">
        <f t="shared" si="15"/>
        <v>0.36246637036972135</v>
      </c>
      <c r="O75" s="19">
        <f t="shared" si="15"/>
        <v>0.91452912900847505</v>
      </c>
      <c r="P75" s="18">
        <f t="shared" si="16"/>
        <v>-8.8146456213284967</v>
      </c>
      <c r="Q75" s="18">
        <f t="shared" si="16"/>
        <v>-0.77604914183389095</v>
      </c>
      <c r="R75" s="17">
        <f t="shared" si="18"/>
        <v>0.16433804175313238</v>
      </c>
      <c r="T75" s="17">
        <f t="shared" si="17"/>
        <v>20.919191000000001</v>
      </c>
      <c r="U75" s="17">
        <f t="shared" si="19"/>
        <v>0.16433804175313238</v>
      </c>
      <c r="V75" s="17">
        <f t="shared" si="20"/>
        <v>2.1370894130868812</v>
      </c>
      <c r="X75" s="21">
        <f t="shared" si="21"/>
        <v>20.919191000000001</v>
      </c>
      <c r="Y75" s="20">
        <f t="shared" si="10"/>
        <v>0.14020006347165573</v>
      </c>
    </row>
    <row r="76" spans="1:25" x14ac:dyDescent="0.25">
      <c r="A76">
        <v>21212121</v>
      </c>
      <c r="B76" t="str">
        <f>COMPLEX(0.20093,0.306524)</f>
        <v>0.20093+0.306524i</v>
      </c>
      <c r="C76" t="str">
        <f>COMPLEX(0.798318,-0.444092)</f>
        <v>0.798318-0.444092i</v>
      </c>
      <c r="D76" t="str">
        <f>COMPLEX(0.798318,-0.444092)</f>
        <v>0.798318-0.444092i</v>
      </c>
      <c r="E76" t="str">
        <f>COMPLEX(0.20093,0.306524)</f>
        <v>0.20093+0.306524i</v>
      </c>
      <c r="F76"/>
      <c r="G76" t="str">
        <f t="shared" si="13"/>
        <v>59.0925482560145+41.8480036312545i</v>
      </c>
      <c r="H76" t="str">
        <f t="shared" si="14"/>
        <v>59.0925482560145+41.8480036312545i</v>
      </c>
      <c r="N76" s="19">
        <f t="shared" si="15"/>
        <v>0.36651033747494766</v>
      </c>
      <c r="O76" s="19">
        <f t="shared" si="15"/>
        <v>0.91352577062062124</v>
      </c>
      <c r="P76" s="18">
        <f t="shared" si="16"/>
        <v>-8.7182754302790357</v>
      </c>
      <c r="Q76" s="18">
        <f t="shared" si="16"/>
        <v>-0.78558393326848541</v>
      </c>
      <c r="R76" s="17">
        <f t="shared" si="18"/>
        <v>0.15910847079089191</v>
      </c>
      <c r="T76" s="17">
        <f t="shared" si="17"/>
        <v>21.212121</v>
      </c>
      <c r="U76" s="17">
        <f t="shared" si="19"/>
        <v>0.15910847079089191</v>
      </c>
      <c r="V76" s="17">
        <f t="shared" si="20"/>
        <v>2.1571154484638599</v>
      </c>
      <c r="X76" s="21">
        <f t="shared" si="21"/>
        <v>21.212121</v>
      </c>
      <c r="Y76" s="20">
        <f t="shared" si="10"/>
        <v>0.13945619890440772</v>
      </c>
    </row>
    <row r="77" spans="1:25" x14ac:dyDescent="0.25">
      <c r="A77">
        <v>21505050</v>
      </c>
      <c r="B77" t="str">
        <f>COMPLEX(0.205039,0.308039)</f>
        <v>0.205039+0.308039i</v>
      </c>
      <c r="C77" t="str">
        <f>COMPLEX(0.793979,-0.446242)</f>
        <v>0.793979-0.446242i</v>
      </c>
      <c r="D77" t="str">
        <f>COMPLEX(0.793979,-0.446242)</f>
        <v>0.793979-0.446242i</v>
      </c>
      <c r="E77" t="str">
        <f>COMPLEX(0.205039,0.308039)</f>
        <v>0.205039+0.308039i</v>
      </c>
      <c r="F77"/>
      <c r="G77" t="str">
        <f t="shared" si="13"/>
        <v>59.370556188417+42.3799365726416i</v>
      </c>
      <c r="H77" t="str">
        <f t="shared" si="14"/>
        <v>59.370556188417+42.3799365726416i</v>
      </c>
      <c r="N77" s="19">
        <f t="shared" si="15"/>
        <v>0.37003921014130381</v>
      </c>
      <c r="O77" s="19">
        <f t="shared" si="15"/>
        <v>0.91078788694459478</v>
      </c>
      <c r="P77" s="18">
        <f t="shared" si="16"/>
        <v>-8.6350450945644326</v>
      </c>
      <c r="Q77" s="18">
        <f t="shared" si="16"/>
        <v>-0.81165507866322151</v>
      </c>
      <c r="R77" s="17">
        <f t="shared" si="18"/>
        <v>0.1721202344159582</v>
      </c>
      <c r="T77" s="17">
        <f t="shared" si="17"/>
        <v>21.505050000000001</v>
      </c>
      <c r="U77" s="17">
        <f t="shared" si="19"/>
        <v>0.1721202344159582</v>
      </c>
      <c r="V77" s="17">
        <f t="shared" si="20"/>
        <v>2.174800768867871</v>
      </c>
      <c r="X77" s="21">
        <f t="shared" si="21"/>
        <v>21.505050000000001</v>
      </c>
      <c r="Y77" s="20">
        <f t="shared" si="10"/>
        <v>0.13866085234925002</v>
      </c>
    </row>
    <row r="78" spans="1:25" x14ac:dyDescent="0.25">
      <c r="A78">
        <v>21797979</v>
      </c>
      <c r="B78" t="str">
        <f>COMPLEX(0.209795,0.310545)</f>
        <v>0.209795+0.310545i</v>
      </c>
      <c r="C78" t="str">
        <f>COMPLEX(0.791956,-0.449828)</f>
        <v>0.791956-0.449828i</v>
      </c>
      <c r="D78" t="str">
        <f>COMPLEX(0.791956,-0.449828)</f>
        <v>0.791956-0.449828i</v>
      </c>
      <c r="E78" t="str">
        <f>COMPLEX(0.209795,0.310545)</f>
        <v>0.209795+0.310545i</v>
      </c>
      <c r="F78"/>
      <c r="G78" t="str">
        <f t="shared" si="13"/>
        <v>59.6194344512785+43.0796657470813i</v>
      </c>
      <c r="H78" t="str">
        <f t="shared" si="14"/>
        <v>59.6194344512785+43.0796657470813i</v>
      </c>
      <c r="N78" s="19">
        <f t="shared" si="15"/>
        <v>0.37476944786094818</v>
      </c>
      <c r="O78" s="19">
        <f t="shared" si="15"/>
        <v>0.91079061014044282</v>
      </c>
      <c r="P78" s="18">
        <f t="shared" si="16"/>
        <v>-8.5247164221863372</v>
      </c>
      <c r="Q78" s="18">
        <f t="shared" si="16"/>
        <v>-0.81162910846359859</v>
      </c>
      <c r="R78" s="17">
        <f t="shared" si="18"/>
        <v>0.15432974728979312</v>
      </c>
      <c r="T78" s="17">
        <f t="shared" si="17"/>
        <v>21.797979000000002</v>
      </c>
      <c r="U78" s="17">
        <f t="shared" si="19"/>
        <v>0.15432974728979312</v>
      </c>
      <c r="V78" s="17">
        <f t="shared" si="20"/>
        <v>2.1988200083274219</v>
      </c>
      <c r="X78" s="21">
        <f t="shared" si="21"/>
        <v>21.797979000000002</v>
      </c>
      <c r="Y78" s="20">
        <f t="shared" ref="Y78:Y106" si="22">-0.0003*X78^2+0.0101*X78+0.0602</f>
        <v>0.13781402135466769</v>
      </c>
    </row>
    <row r="79" spans="1:25" x14ac:dyDescent="0.25">
      <c r="A79">
        <v>22090909</v>
      </c>
      <c r="B79" t="str">
        <f>COMPLEX(0.213776,0.312433)</f>
        <v>0.213776+0.312433i</v>
      </c>
      <c r="C79" t="str">
        <f>COMPLEX(0.785408,-0.450806)</f>
        <v>0.785408-0.450806i</v>
      </c>
      <c r="D79" t="str">
        <f>COMPLEX(0.785408,-0.450806)</f>
        <v>0.785408-0.450806i</v>
      </c>
      <c r="E79" t="str">
        <f>COMPLEX(0.213776,0.312433)</f>
        <v>0.213776+0.312433i</v>
      </c>
      <c r="F79"/>
      <c r="G79" t="str">
        <f t="shared" si="13"/>
        <v>59.8442481491155+43.6503693374569i</v>
      </c>
      <c r="H79" t="str">
        <f t="shared" si="14"/>
        <v>59.8442481491155+43.6503693374569i</v>
      </c>
      <c r="N79" s="19">
        <f t="shared" si="15"/>
        <v>0.37856909232661878</v>
      </c>
      <c r="O79" s="19">
        <f t="shared" si="15"/>
        <v>0.90558918726981275</v>
      </c>
      <c r="P79" s="18">
        <f t="shared" si="16"/>
        <v>-8.4370969241868661</v>
      </c>
      <c r="Q79" s="18">
        <f t="shared" si="16"/>
        <v>-0.86137543197405031</v>
      </c>
      <c r="R79" s="17">
        <f t="shared" si="18"/>
        <v>0.1895893019012026</v>
      </c>
      <c r="T79" s="17">
        <f t="shared" si="17"/>
        <v>22.090909</v>
      </c>
      <c r="U79" s="17">
        <f t="shared" si="19"/>
        <v>0.1895893019012026</v>
      </c>
      <c r="V79" s="17">
        <f t="shared" si="20"/>
        <v>2.2183787051853283</v>
      </c>
      <c r="X79" s="21">
        <f t="shared" si="21"/>
        <v>22.090909</v>
      </c>
      <c r="Y79" s="20">
        <f t="shared" si="22"/>
        <v>0.1369157027661157</v>
      </c>
    </row>
    <row r="80" spans="1:25" x14ac:dyDescent="0.25">
      <c r="A80">
        <v>22383838</v>
      </c>
      <c r="B80" t="str">
        <f>COMPLEX(0.219262,0.314404)</f>
        <v>0.219262+0.314404i</v>
      </c>
      <c r="C80" t="str">
        <f>COMPLEX(0.785847,-0.455009)</f>
        <v>0.785847-0.455009i</v>
      </c>
      <c r="D80" t="str">
        <f>COMPLEX(0.785847,-0.455009)</f>
        <v>0.785847-0.455009i</v>
      </c>
      <c r="E80" t="str">
        <f>COMPLEX(0.219262,0.314404)</f>
        <v>0.219262+0.314404i</v>
      </c>
      <c r="F80"/>
      <c r="G80" t="str">
        <f t="shared" si="13"/>
        <v>60.211197990391+44.3821634056123i</v>
      </c>
      <c r="H80" t="str">
        <f t="shared" si="14"/>
        <v>60.211197990391+44.3821634056123i</v>
      </c>
      <c r="N80" s="19">
        <f t="shared" si="15"/>
        <v>0.38330888309560479</v>
      </c>
      <c r="O80" s="19">
        <f t="shared" si="15"/>
        <v>0.90806866342254089</v>
      </c>
      <c r="P80" s="18">
        <f t="shared" si="16"/>
        <v>-8.3290223190767811</v>
      </c>
      <c r="Q80" s="18">
        <f t="shared" si="16"/>
        <v>-0.83762622301293121</v>
      </c>
      <c r="R80" s="17">
        <f t="shared" si="18"/>
        <v>0.14749480825836164</v>
      </c>
      <c r="T80" s="17">
        <f t="shared" si="17"/>
        <v>22.383838000000001</v>
      </c>
      <c r="U80" s="17">
        <f t="shared" si="19"/>
        <v>0.14749480825836164</v>
      </c>
      <c r="V80" s="17">
        <f t="shared" si="20"/>
        <v>2.2431146568794462</v>
      </c>
      <c r="X80" s="21">
        <f t="shared" si="21"/>
        <v>22.383838000000001</v>
      </c>
      <c r="Y80" s="20">
        <f t="shared" si="22"/>
        <v>0.1359659027169268</v>
      </c>
    </row>
    <row r="81" spans="1:25" x14ac:dyDescent="0.25">
      <c r="A81">
        <v>22676767</v>
      </c>
      <c r="B81" t="str">
        <f>COMPLEX(0.224226,0.317376)</f>
        <v>0.224226+0.317376i</v>
      </c>
      <c r="C81" t="str">
        <f>COMPLEX(0.7806,-0.455889)</f>
        <v>0.7806-0.455889i</v>
      </c>
      <c r="D81" t="str">
        <f>COMPLEX(0.7806,-0.455889)</f>
        <v>0.7806-0.455889i</v>
      </c>
      <c r="E81" t="str">
        <f>COMPLEX(0.224226,0.317376)</f>
        <v>0.224226+0.317376i</v>
      </c>
      <c r="F81"/>
      <c r="G81" t="str">
        <f t="shared" si="13"/>
        <v>60.4221594447525+45.1746813839311i</v>
      </c>
      <c r="H81" t="str">
        <f t="shared" si="14"/>
        <v>60.4221594447525+45.1746813839311i</v>
      </c>
      <c r="N81" s="19">
        <f t="shared" si="15"/>
        <v>0.38859339218777256</v>
      </c>
      <c r="O81" s="19">
        <f t="shared" si="15"/>
        <v>0.9039751878901322</v>
      </c>
      <c r="P81" s="18">
        <f t="shared" si="16"/>
        <v>-8.2100917721404141</v>
      </c>
      <c r="Q81" s="18">
        <f t="shared" si="16"/>
        <v>-0.87686979558751199</v>
      </c>
      <c r="R81" s="17">
        <f t="shared" si="18"/>
        <v>0.16592201912438945</v>
      </c>
      <c r="T81" s="17">
        <f t="shared" si="17"/>
        <v>22.676767000000002</v>
      </c>
      <c r="U81" s="17">
        <f t="shared" si="19"/>
        <v>0.16592201912438945</v>
      </c>
      <c r="V81" s="17">
        <f t="shared" si="20"/>
        <v>2.2711455428270928</v>
      </c>
      <c r="X81" s="21">
        <f t="shared" si="21"/>
        <v>22.676767000000002</v>
      </c>
      <c r="Y81" s="20">
        <f t="shared" si="22"/>
        <v>0.13496461822831329</v>
      </c>
    </row>
    <row r="82" spans="1:25" x14ac:dyDescent="0.25">
      <c r="A82">
        <v>22969696</v>
      </c>
      <c r="B82" t="str">
        <f>COMPLEX(0.229204,0.31817)</f>
        <v>0.229204+0.31817i</v>
      </c>
      <c r="C82" t="str">
        <f>COMPLEX(0.78047,-0.457378)</f>
        <v>0.78047-0.457378i</v>
      </c>
      <c r="D82" t="str">
        <f>COMPLEX(0.78047,-0.457378)</f>
        <v>0.78047-0.457378i</v>
      </c>
      <c r="E82" t="str">
        <f>COMPLEX(0.229204,0.31817)</f>
        <v>0.229204+0.31817i</v>
      </c>
      <c r="F82"/>
      <c r="G82" t="str">
        <f t="shared" si="13"/>
        <v>60.8487009495975+45.7562457266688i</v>
      </c>
      <c r="H82" t="str">
        <f t="shared" si="14"/>
        <v>60.8487009495975+45.7562457266688i</v>
      </c>
      <c r="N82" s="19">
        <f t="shared" si="15"/>
        <v>0.39213087421930959</v>
      </c>
      <c r="O82" s="19">
        <f t="shared" si="15"/>
        <v>0.90461486599767971</v>
      </c>
      <c r="P82" s="18">
        <f t="shared" si="16"/>
        <v>-8.1313792480938183</v>
      </c>
      <c r="Q82" s="18">
        <f t="shared" si="16"/>
        <v>-0.87072559097266866</v>
      </c>
      <c r="R82" s="17">
        <f t="shared" si="18"/>
        <v>0.145627100514714</v>
      </c>
      <c r="T82" s="17">
        <f t="shared" si="17"/>
        <v>22.969695999999999</v>
      </c>
      <c r="U82" s="17">
        <f t="shared" si="19"/>
        <v>0.145627100514714</v>
      </c>
      <c r="V82" s="17">
        <f t="shared" si="20"/>
        <v>2.290181907875954</v>
      </c>
      <c r="X82" s="21">
        <f t="shared" si="21"/>
        <v>22.969695999999999</v>
      </c>
      <c r="Y82" s="20">
        <f t="shared" si="22"/>
        <v>0.13391184930027522</v>
      </c>
    </row>
    <row r="83" spans="1:25" x14ac:dyDescent="0.25">
      <c r="A83">
        <v>23262626</v>
      </c>
      <c r="B83" t="str">
        <f>COMPLEX(0.233575,0.321824)</f>
        <v>0.233575+0.321824i</v>
      </c>
      <c r="C83" t="str">
        <f>COMPLEX(0.775586,-0.460993)</f>
        <v>0.775586-0.460993i</v>
      </c>
      <c r="D83" t="str">
        <f>COMPLEX(0.775586,-0.460993)</f>
        <v>0.775586-0.460993i</v>
      </c>
      <c r="E83" t="str">
        <f>COMPLEX(0.233575,0.321824)</f>
        <v>0.233575+0.321824i</v>
      </c>
      <c r="F83"/>
      <c r="G83" t="str">
        <f t="shared" si="13"/>
        <v>60.918876713384+46.5751463997236i</v>
      </c>
      <c r="H83" t="str">
        <f t="shared" si="14"/>
        <v>60.918876713384+46.5751463997236i</v>
      </c>
      <c r="N83" s="19">
        <f t="shared" si="15"/>
        <v>0.39765307442669168</v>
      </c>
      <c r="O83" s="19">
        <f t="shared" si="15"/>
        <v>0.90224619115017612</v>
      </c>
      <c r="P83" s="18">
        <f t="shared" si="16"/>
        <v>-8.0099131096219338</v>
      </c>
      <c r="Q83" s="18">
        <f t="shared" si="16"/>
        <v>-0.89349885294355569</v>
      </c>
      <c r="R83" s="17">
        <f t="shared" si="18"/>
        <v>0.1459596747498989</v>
      </c>
      <c r="T83" s="17">
        <f t="shared" si="17"/>
        <v>23.262626000000001</v>
      </c>
      <c r="U83" s="17">
        <f t="shared" si="19"/>
        <v>0.1459596747498989</v>
      </c>
      <c r="V83" s="17">
        <f t="shared" si="20"/>
        <v>2.3203456597647913</v>
      </c>
      <c r="X83" s="21">
        <f t="shared" si="21"/>
        <v>23.262626000000001</v>
      </c>
      <c r="Y83" s="20">
        <f t="shared" si="22"/>
        <v>0.13280759207523721</v>
      </c>
    </row>
    <row r="84" spans="1:25" x14ac:dyDescent="0.25">
      <c r="A84">
        <v>23555555</v>
      </c>
      <c r="B84" t="str">
        <f>COMPLEX(0.236941,0.321974)</f>
        <v>0.236941+0.321974i</v>
      </c>
      <c r="C84" t="str">
        <f>COMPLEX(0.770958,-0.463311)</f>
        <v>0.770958-0.463311i</v>
      </c>
      <c r="D84" t="str">
        <f>COMPLEX(0.770958,-0.463311)</f>
        <v>0.770958-0.463311i</v>
      </c>
      <c r="E84" t="str">
        <f>COMPLEX(0.236941,0.321974)</f>
        <v>0.236941+0.321974i</v>
      </c>
      <c r="F84"/>
      <c r="G84" t="str">
        <f t="shared" si="13"/>
        <v>61.245042871231+46.9400287964911i</v>
      </c>
      <c r="H84" t="str">
        <f t="shared" si="14"/>
        <v>61.245042871231+46.9400287964911i</v>
      </c>
      <c r="N84" s="19">
        <f t="shared" si="15"/>
        <v>0.39976029587366474</v>
      </c>
      <c r="O84" s="19">
        <f t="shared" si="15"/>
        <v>0.89946279549795716</v>
      </c>
      <c r="P84" s="18">
        <f t="shared" si="16"/>
        <v>-7.96400684263957</v>
      </c>
      <c r="Q84" s="18">
        <f t="shared" si="16"/>
        <v>-0.9203359136081839</v>
      </c>
      <c r="R84" s="17">
        <f t="shared" si="18"/>
        <v>0.1641198134022952</v>
      </c>
      <c r="T84" s="17">
        <f t="shared" si="17"/>
        <v>23.555554999999998</v>
      </c>
      <c r="U84" s="17">
        <f t="shared" si="19"/>
        <v>0.1641198134022952</v>
      </c>
      <c r="V84" s="17">
        <f t="shared" si="20"/>
        <v>2.3320021755492717</v>
      </c>
      <c r="X84" s="21">
        <f t="shared" si="21"/>
        <v>23.555554999999998</v>
      </c>
      <c r="Y84" s="20">
        <f t="shared" si="22"/>
        <v>0.1316518540925925</v>
      </c>
    </row>
    <row r="85" spans="1:25" x14ac:dyDescent="0.25">
      <c r="A85">
        <v>23848484</v>
      </c>
      <c r="B85" t="str">
        <f>COMPLEX(0.242374,0.324413)</f>
        <v>0.242374+0.324413i</v>
      </c>
      <c r="C85" t="str">
        <f>COMPLEX(0.769284,-0.464612)</f>
        <v>0.769284-0.464612i</v>
      </c>
      <c r="D85" t="str">
        <f>COMPLEX(0.769284,-0.464612)</f>
        <v>0.769284-0.464612i</v>
      </c>
      <c r="E85" t="str">
        <f>COMPLEX(0.242374,0.324413)</f>
        <v>0.242374+0.324413i</v>
      </c>
      <c r="F85"/>
      <c r="G85" t="str">
        <f t="shared" si="13"/>
        <v>61.540094793114+47.7611074225521i</v>
      </c>
      <c r="H85" t="str">
        <f t="shared" si="14"/>
        <v>61.540094793114+47.7611074225521i</v>
      </c>
      <c r="N85" s="19">
        <f t="shared" si="15"/>
        <v>0.40495549193090347</v>
      </c>
      <c r="O85" s="19">
        <f t="shared" si="15"/>
        <v>0.8987002743963084</v>
      </c>
      <c r="P85" s="18">
        <f t="shared" si="16"/>
        <v>-7.8518541367443806</v>
      </c>
      <c r="Q85" s="18">
        <f t="shared" si="16"/>
        <v>-0.92770251416127647</v>
      </c>
      <c r="R85" s="17">
        <f t="shared" si="18"/>
        <v>0.14982268961664608</v>
      </c>
      <c r="T85" s="17">
        <f t="shared" si="17"/>
        <v>23.848483999999999</v>
      </c>
      <c r="U85" s="17">
        <f t="shared" si="19"/>
        <v>0.14982268961664608</v>
      </c>
      <c r="V85" s="17">
        <f t="shared" si="20"/>
        <v>2.3610931163619115</v>
      </c>
      <c r="X85" s="21">
        <f t="shared" si="21"/>
        <v>23.848483999999999</v>
      </c>
      <c r="Y85" s="20">
        <f t="shared" si="22"/>
        <v>0.1304446316705232</v>
      </c>
    </row>
    <row r="86" spans="1:25" x14ac:dyDescent="0.25">
      <c r="A86">
        <v>24141414</v>
      </c>
      <c r="B86" t="str">
        <f>COMPLEX(0.246986,0.326096)</f>
        <v>0.246986+0.326096i</v>
      </c>
      <c r="C86" t="str">
        <f>COMPLEX(0.76588,-0.465082)</f>
        <v>0.76588-0.465082i</v>
      </c>
      <c r="D86" t="str">
        <f>COMPLEX(0.76588,-0.465082)</f>
        <v>0.76588-0.465082i</v>
      </c>
      <c r="E86" t="str">
        <f>COMPLEX(0.246986,0.326096)</f>
        <v>0.246986+0.326096i</v>
      </c>
      <c r="F86"/>
      <c r="G86" t="str">
        <f t="shared" si="13"/>
        <v>61.8278910667295+48.4275564136871i</v>
      </c>
      <c r="H86" t="str">
        <f t="shared" si="14"/>
        <v>61.8278910667295+48.4275564136871i</v>
      </c>
      <c r="N86" s="19">
        <f t="shared" si="15"/>
        <v>0.40907295854407194</v>
      </c>
      <c r="O86" s="19">
        <f t="shared" si="15"/>
        <v>0.89603205362531535</v>
      </c>
      <c r="P86" s="18">
        <f t="shared" si="16"/>
        <v>-7.7639845651655595</v>
      </c>
      <c r="Q86" s="18">
        <f t="shared" si="16"/>
        <v>-0.95352908212346343</v>
      </c>
      <c r="R86" s="17">
        <f t="shared" si="18"/>
        <v>0.15820252885534231</v>
      </c>
      <c r="T86" s="17">
        <f t="shared" si="17"/>
        <v>24.141414000000001</v>
      </c>
      <c r="U86" s="17">
        <f t="shared" si="19"/>
        <v>0.15820252885534231</v>
      </c>
      <c r="V86" s="17">
        <f t="shared" si="20"/>
        <v>2.3845125704052963</v>
      </c>
      <c r="X86" s="21">
        <f t="shared" si="21"/>
        <v>24.141414000000001</v>
      </c>
      <c r="Y86" s="20">
        <f t="shared" si="22"/>
        <v>0.12918592042418123</v>
      </c>
    </row>
    <row r="87" spans="1:25" x14ac:dyDescent="0.25">
      <c r="A87">
        <v>24434343</v>
      </c>
      <c r="B87" t="str">
        <f>COMPLEX(0.251942,0.327847)</f>
        <v>0.251942+0.327847i</v>
      </c>
      <c r="C87" t="str">
        <f>COMPLEX(0.763137,-0.471199)</f>
        <v>0.763137-0.471199i</v>
      </c>
      <c r="D87" t="str">
        <f>COMPLEX(0.763137,-0.471199)</f>
        <v>0.763137-0.471199i</v>
      </c>
      <c r="E87" t="str">
        <f>COMPLEX(0.251942,0.327847)</f>
        <v>0.251942+0.327847i</v>
      </c>
      <c r="F87"/>
      <c r="G87" t="str">
        <f t="shared" si="13"/>
        <v>62.1401106048635+49.1469897273642i</v>
      </c>
      <c r="H87" t="str">
        <f t="shared" si="14"/>
        <v>62.1401106048635+49.1469897273642i</v>
      </c>
      <c r="N87" s="19">
        <f t="shared" si="15"/>
        <v>0.41347119219239448</v>
      </c>
      <c r="O87" s="19">
        <f t="shared" si="15"/>
        <v>0.89688716033289262</v>
      </c>
      <c r="P87" s="18">
        <f t="shared" si="16"/>
        <v>-7.6710948737503868</v>
      </c>
      <c r="Q87" s="18">
        <f t="shared" si="16"/>
        <v>-0.94524386436672025</v>
      </c>
      <c r="R87" s="17">
        <f t="shared" si="18"/>
        <v>0.13100695720816108</v>
      </c>
      <c r="T87" s="17">
        <f t="shared" si="17"/>
        <v>24.434342999999998</v>
      </c>
      <c r="U87" s="17">
        <f t="shared" si="19"/>
        <v>0.13100695720816108</v>
      </c>
      <c r="V87" s="17">
        <f t="shared" si="20"/>
        <v>2.4098921883749047</v>
      </c>
      <c r="X87" s="21">
        <f t="shared" si="21"/>
        <v>24.434342999999998</v>
      </c>
      <c r="Y87" s="20">
        <f t="shared" si="22"/>
        <v>0.12787572894750532</v>
      </c>
    </row>
    <row r="88" spans="1:25" x14ac:dyDescent="0.25">
      <c r="A88">
        <v>24727272</v>
      </c>
      <c r="B88" t="str">
        <f>COMPLEX(0.256034,0.329788)</f>
        <v>0.256034+0.329788i</v>
      </c>
      <c r="C88" t="str">
        <f>COMPLEX(0.760441,-0.473927)</f>
        <v>0.760441-0.473927i</v>
      </c>
      <c r="D88" t="str">
        <f>COMPLEX(0.760441,-0.473927)</f>
        <v>0.760441-0.473927i</v>
      </c>
      <c r="E88" t="str">
        <f>COMPLEX(0.256034,0.329788)</f>
        <v>0.256034+0.329788i</v>
      </c>
      <c r="F88"/>
      <c r="G88" t="str">
        <f t="shared" si="13"/>
        <v>62.3399044149175+49.7984483124051i</v>
      </c>
      <c r="H88" t="str">
        <f t="shared" si="14"/>
        <v>62.3399044149175+49.7984483124051i</v>
      </c>
      <c r="N88" s="19">
        <f t="shared" si="15"/>
        <v>0.41750872338191924</v>
      </c>
      <c r="O88" s="19">
        <f t="shared" si="15"/>
        <v>0.89603421575852793</v>
      </c>
      <c r="P88" s="18">
        <f t="shared" si="16"/>
        <v>-7.5866889196769307</v>
      </c>
      <c r="Q88" s="18">
        <f t="shared" si="16"/>
        <v>-0.9535081230207918</v>
      </c>
      <c r="R88" s="17">
        <f t="shared" si="18"/>
        <v>0.12165978291815092</v>
      </c>
      <c r="T88" s="17">
        <f t="shared" si="17"/>
        <v>24.727271999999999</v>
      </c>
      <c r="U88" s="17">
        <f t="shared" si="19"/>
        <v>0.12165978291815092</v>
      </c>
      <c r="V88" s="17">
        <f t="shared" si="20"/>
        <v>2.4335278145484236</v>
      </c>
      <c r="X88" s="21">
        <f t="shared" si="21"/>
        <v>24.727271999999999</v>
      </c>
      <c r="Y88" s="20">
        <f t="shared" si="22"/>
        <v>0.12651405303140481</v>
      </c>
    </row>
    <row r="89" spans="1:25" x14ac:dyDescent="0.25">
      <c r="A89">
        <v>25020202</v>
      </c>
      <c r="B89" t="str">
        <f>COMPLEX(0.259728,0.329346)</f>
        <v>0.259728+0.329346i</v>
      </c>
      <c r="C89" t="str">
        <f>COMPLEX(0.754734,-0.47837)</f>
        <v>0.754734-0.47837i</v>
      </c>
      <c r="D89" t="str">
        <f>COMPLEX(0.754734,-0.47837)</f>
        <v>0.754734-0.47837i</v>
      </c>
      <c r="E89" t="str">
        <f>COMPLEX(0.259728,0.329346)</f>
        <v>0.259728+0.329346i</v>
      </c>
      <c r="F89"/>
      <c r="G89" t="str">
        <f t="shared" si="13"/>
        <v>62.7653048601855+50.1691298529225i</v>
      </c>
      <c r="H89" t="str">
        <f t="shared" si="14"/>
        <v>62.7653048601855+50.1691298529225i</v>
      </c>
      <c r="N89" s="19">
        <f t="shared" si="15"/>
        <v>0.41943702948118455</v>
      </c>
      <c r="O89" s="19">
        <f t="shared" si="15"/>
        <v>0.89356659945188199</v>
      </c>
      <c r="P89" s="18">
        <f t="shared" si="16"/>
        <v>-7.5466646205013008</v>
      </c>
      <c r="Q89" s="18">
        <f t="shared" si="16"/>
        <v>-0.97746146089370933</v>
      </c>
      <c r="R89" s="17">
        <f t="shared" si="18"/>
        <v>0.13711608960168362</v>
      </c>
      <c r="T89" s="17">
        <f t="shared" si="17"/>
        <v>25.020202000000001</v>
      </c>
      <c r="U89" s="17">
        <f t="shared" si="19"/>
        <v>0.13711608960168362</v>
      </c>
      <c r="V89" s="17">
        <f t="shared" si="20"/>
        <v>2.4449320772434313</v>
      </c>
      <c r="X89" s="21">
        <f t="shared" si="21"/>
        <v>25.020202000000001</v>
      </c>
      <c r="Y89" s="20">
        <f t="shared" si="22"/>
        <v>0.12510088776375877</v>
      </c>
    </row>
    <row r="90" spans="1:25" x14ac:dyDescent="0.25">
      <c r="A90">
        <v>25313131</v>
      </c>
      <c r="B90" t="str">
        <f>COMPLEX(0.264967,0.332171)</f>
        <v>0.264967+0.332171i</v>
      </c>
      <c r="C90" t="str">
        <f>COMPLEX(0.751926,-0.481021)</f>
        <v>0.751926-0.481021i</v>
      </c>
      <c r="D90" t="str">
        <f>COMPLEX(0.751926,-0.481021)</f>
        <v>0.751926-0.481021i</v>
      </c>
      <c r="E90" t="str">
        <f>COMPLEX(0.264967,0.332171)</f>
        <v>0.264967+0.332171i</v>
      </c>
      <c r="F90"/>
      <c r="G90" t="str">
        <f t="shared" si="13"/>
        <v>62.9757881018795+51.05523222711i</v>
      </c>
      <c r="H90" t="str">
        <f t="shared" si="14"/>
        <v>62.9757881018795+51.05523222711i</v>
      </c>
      <c r="N90" s="19">
        <f t="shared" si="15"/>
        <v>0.42490597116303275</v>
      </c>
      <c r="O90" s="19">
        <f t="shared" si="15"/>
        <v>0.89262193112033728</v>
      </c>
      <c r="P90" s="18">
        <f t="shared" si="16"/>
        <v>-7.4341433153744907</v>
      </c>
      <c r="Q90" s="18">
        <f t="shared" si="16"/>
        <v>-0.98664894082313259</v>
      </c>
      <c r="R90" s="17">
        <f t="shared" si="18"/>
        <v>0.12189958865771988</v>
      </c>
      <c r="T90" s="17">
        <f t="shared" si="17"/>
        <v>25.313130999999998</v>
      </c>
      <c r="U90" s="17">
        <f t="shared" si="19"/>
        <v>0.12189958865771988</v>
      </c>
      <c r="V90" s="17">
        <f t="shared" si="20"/>
        <v>2.4776921680871387</v>
      </c>
      <c r="X90" s="21">
        <f t="shared" si="21"/>
        <v>25.313130999999998</v>
      </c>
      <c r="Y90" s="20">
        <f t="shared" si="22"/>
        <v>0.12363624279305171</v>
      </c>
    </row>
    <row r="91" spans="1:25" x14ac:dyDescent="0.25">
      <c r="A91">
        <v>25606060</v>
      </c>
      <c r="B91" t="str">
        <f>COMPLEX(0.268891,0.332586)</f>
        <v>0.268891+0.332586i</v>
      </c>
      <c r="C91" t="str">
        <f>COMPLEX(0.747275,-0.483705)</f>
        <v>0.747275-0.483705i</v>
      </c>
      <c r="D91" t="str">
        <f>COMPLEX(0.747275,-0.483705)</f>
        <v>0.747275-0.483705i</v>
      </c>
      <c r="E91" t="str">
        <f>COMPLEX(0.268891,0.332586)</f>
        <v>0.268891+0.332586i</v>
      </c>
      <c r="F91"/>
      <c r="G91" t="str">
        <f t="shared" si="13"/>
        <v>63.326720816758+51.5530252938515i</v>
      </c>
      <c r="H91" t="str">
        <f t="shared" si="14"/>
        <v>63.326720816758+51.5530252938515i</v>
      </c>
      <c r="N91" s="19">
        <f t="shared" si="15"/>
        <v>0.42768658767490009</v>
      </c>
      <c r="O91" s="19">
        <f t="shared" si="15"/>
        <v>0.89016316069021861</v>
      </c>
      <c r="P91" s="18">
        <f t="shared" si="16"/>
        <v>-7.3774873815887885</v>
      </c>
      <c r="Q91" s="18">
        <f t="shared" si="16"/>
        <v>-1.0106076582708097</v>
      </c>
      <c r="R91" s="17">
        <f t="shared" si="18"/>
        <v>0.1332756924890319</v>
      </c>
      <c r="T91" s="17">
        <f t="shared" si="17"/>
        <v>25.606059999999999</v>
      </c>
      <c r="U91" s="17">
        <f t="shared" si="19"/>
        <v>0.1332756924890319</v>
      </c>
      <c r="V91" s="17">
        <f t="shared" si="20"/>
        <v>2.4945887287085098</v>
      </c>
      <c r="X91" s="21">
        <f t="shared" si="21"/>
        <v>25.606059999999999</v>
      </c>
      <c r="Y91" s="20">
        <f t="shared" si="22"/>
        <v>0.12212011338292</v>
      </c>
    </row>
    <row r="92" spans="1:25" x14ac:dyDescent="0.25">
      <c r="A92">
        <v>25898989</v>
      </c>
      <c r="B92" t="str">
        <f>COMPLEX(0.272425,0.334916)</f>
        <v>0.272425+0.334916i</v>
      </c>
      <c r="C92" t="str">
        <f>COMPLEX(0.745442,-0.487919)</f>
        <v>0.745442-0.487919i</v>
      </c>
      <c r="D92" t="str">
        <f>COMPLEX(0.745442,-0.487919)</f>
        <v>0.745442-0.487919i</v>
      </c>
      <c r="E92" t="str">
        <f>COMPLEX(0.272425,0.334916)</f>
        <v>0.272425+0.334916i</v>
      </c>
      <c r="F92"/>
      <c r="G92" t="str">
        <f t="shared" si="13"/>
        <v>63.4117409018235+52.20548619163i</v>
      </c>
      <c r="H92" t="str">
        <f t="shared" si="14"/>
        <v>63.4117409018235+52.20548619163i</v>
      </c>
      <c r="N92" s="19">
        <f t="shared" si="15"/>
        <v>0.43172225756960919</v>
      </c>
      <c r="O92" s="19">
        <f t="shared" si="15"/>
        <v>0.89092576903185383</v>
      </c>
      <c r="P92" s="18">
        <f t="shared" si="16"/>
        <v>-7.2959112117029044</v>
      </c>
      <c r="Q92" s="18">
        <f t="shared" si="16"/>
        <v>-1.0031695880130467</v>
      </c>
      <c r="R92" s="17">
        <f t="shared" si="18"/>
        <v>0.10736381851487237</v>
      </c>
      <c r="T92" s="17">
        <f t="shared" si="17"/>
        <v>25.898989</v>
      </c>
      <c r="U92" s="17">
        <f t="shared" si="19"/>
        <v>0.10736381851487237</v>
      </c>
      <c r="V92" s="17">
        <f t="shared" si="20"/>
        <v>2.5194058304069209</v>
      </c>
      <c r="X92" s="21">
        <f t="shared" si="21"/>
        <v>25.898989</v>
      </c>
      <c r="Y92" s="20">
        <f t="shared" si="22"/>
        <v>0.12055249953336369</v>
      </c>
    </row>
    <row r="93" spans="1:25" x14ac:dyDescent="0.25">
      <c r="A93">
        <v>26191919</v>
      </c>
      <c r="B93" t="str">
        <f>COMPLEX(0.274969,0.333363)</f>
        <v>0.274969+0.333363i</v>
      </c>
      <c r="C93" t="str">
        <f>COMPLEX(0.741452,-0.483339)</f>
        <v>0.741452-0.483339i</v>
      </c>
      <c r="D93" t="str">
        <f>COMPLEX(0.741452,-0.483339)</f>
        <v>0.741452-0.483339i</v>
      </c>
      <c r="E93" t="str">
        <f>COMPLEX(0.274969,0.333363)</f>
        <v>0.274969+0.333363i</v>
      </c>
      <c r="F93"/>
      <c r="G93" t="str">
        <f t="shared" si="13"/>
        <v>63.85522028659+52.349648222488i</v>
      </c>
      <c r="H93" t="str">
        <f t="shared" si="14"/>
        <v>63.85522028659+52.349648222488i</v>
      </c>
      <c r="N93" s="19">
        <f t="shared" si="15"/>
        <v>0.43213289706987135</v>
      </c>
      <c r="O93" s="19">
        <f t="shared" si="15"/>
        <v>0.88508059363257985</v>
      </c>
      <c r="P93" s="18">
        <f t="shared" si="16"/>
        <v>-7.2876534160995448</v>
      </c>
      <c r="Q93" s="18">
        <f t="shared" si="16"/>
        <v>-1.060343630647312</v>
      </c>
      <c r="R93" s="17">
        <f t="shared" si="18"/>
        <v>0.16264394288382744</v>
      </c>
      <c r="T93" s="17">
        <f t="shared" si="17"/>
        <v>26.191918999999999</v>
      </c>
      <c r="U93" s="17">
        <f t="shared" si="19"/>
        <v>0.16264394288382744</v>
      </c>
      <c r="V93" s="17">
        <f t="shared" si="20"/>
        <v>2.5219508044756092</v>
      </c>
      <c r="X93" s="21">
        <f t="shared" si="21"/>
        <v>26.191918999999999</v>
      </c>
      <c r="Y93" s="20">
        <f t="shared" si="22"/>
        <v>0.11893339562923169</v>
      </c>
    </row>
    <row r="94" spans="1:25" x14ac:dyDescent="0.25">
      <c r="A94">
        <v>26484848</v>
      </c>
      <c r="B94" t="str">
        <f>COMPLEX(0.280918,0.338039)</f>
        <v>0.280918+0.338039i</v>
      </c>
      <c r="C94" t="str">
        <f>COMPLEX(0.737295,-0.489659)</f>
        <v>0.737295-0.489659i</v>
      </c>
      <c r="D94" t="str">
        <f>COMPLEX(0.737295,-0.489659)</f>
        <v>0.737295-0.489659i</v>
      </c>
      <c r="E94" t="str">
        <f>COMPLEX(0.280918,0.338039)</f>
        <v>0.280918+0.338039i</v>
      </c>
      <c r="F94"/>
      <c r="G94" t="str">
        <f t="shared" si="13"/>
        <v>63.8960656784575+53.5423110937i</v>
      </c>
      <c r="H94" t="str">
        <f t="shared" si="14"/>
        <v>63.8960656784575+53.5423110937i</v>
      </c>
      <c r="N94" s="19">
        <f t="shared" si="15"/>
        <v>0.43952848399734007</v>
      </c>
      <c r="O94" s="19">
        <f t="shared" si="15"/>
        <v>0.88508183424246145</v>
      </c>
      <c r="P94" s="18">
        <f t="shared" si="16"/>
        <v>-7.140259497491539</v>
      </c>
      <c r="Q94" s="18">
        <f t="shared" si="16"/>
        <v>-1.0603314557187904</v>
      </c>
      <c r="R94" s="17">
        <f t="shared" si="18"/>
        <v>0.12806954269477719</v>
      </c>
      <c r="T94" s="17">
        <f t="shared" si="17"/>
        <v>26.484848</v>
      </c>
      <c r="U94" s="17">
        <f t="shared" si="19"/>
        <v>0.12806954269477719</v>
      </c>
      <c r="V94" s="17">
        <f t="shared" si="20"/>
        <v>2.568423983905916</v>
      </c>
      <c r="X94" s="21">
        <f t="shared" si="21"/>
        <v>26.484848</v>
      </c>
      <c r="Y94" s="20">
        <f t="shared" si="22"/>
        <v>0.11726281272506878</v>
      </c>
    </row>
    <row r="95" spans="1:25" x14ac:dyDescent="0.25">
      <c r="A95">
        <v>26777777</v>
      </c>
      <c r="B95" t="str">
        <f>COMPLEX(0.284578,0.34047)</f>
        <v>0.284578+0.34047i</v>
      </c>
      <c r="C95" t="str">
        <f>COMPLEX(0.734447,-0.493913)</f>
        <v>0.734447-0.493913i</v>
      </c>
      <c r="D95" t="str">
        <f>COMPLEX(0.734447,-0.493913)</f>
        <v>0.734447-0.493913i</v>
      </c>
      <c r="E95" t="str">
        <f>COMPLEX(0.284578,0.34047)</f>
        <v>0.284578+0.34047i</v>
      </c>
      <c r="F95"/>
      <c r="G95" t="str">
        <f t="shared" si="13"/>
        <v>63.966349062473+54.236692281339i</v>
      </c>
      <c r="H95" t="str">
        <f t="shared" si="14"/>
        <v>63.966349062473+54.236692281339i</v>
      </c>
      <c r="N95" s="19">
        <f t="shared" si="15"/>
        <v>0.44373917900496457</v>
      </c>
      <c r="O95" s="19">
        <f t="shared" si="15"/>
        <v>0.88507765047932363</v>
      </c>
      <c r="P95" s="18">
        <f t="shared" si="16"/>
        <v>-7.057444489699602</v>
      </c>
      <c r="Q95" s="18">
        <f t="shared" si="16"/>
        <v>-1.0603725138327067</v>
      </c>
      <c r="R95" s="17">
        <f t="shared" si="18"/>
        <v>0.10804465986762671</v>
      </c>
      <c r="T95" s="17">
        <f t="shared" si="17"/>
        <v>26.777777</v>
      </c>
      <c r="U95" s="17">
        <f t="shared" si="19"/>
        <v>0.10804465986762671</v>
      </c>
      <c r="V95" s="17">
        <f t="shared" si="20"/>
        <v>2.5954356742623252</v>
      </c>
      <c r="X95" s="21">
        <f t="shared" si="21"/>
        <v>26.777777</v>
      </c>
      <c r="Y95" s="20">
        <f t="shared" si="22"/>
        <v>0.11554074538148135</v>
      </c>
    </row>
    <row r="96" spans="1:25" x14ac:dyDescent="0.25">
      <c r="A96">
        <v>27070707</v>
      </c>
      <c r="B96" t="str">
        <f>COMPLEX(0.288523,0.341223)</f>
        <v>0.288523+0.341223i</v>
      </c>
      <c r="C96" t="str">
        <f>COMPLEX(0.729088,-0.498808)</f>
        <v>0.729088-0.498808i</v>
      </c>
      <c r="D96" t="str">
        <f>COMPLEX(0.729088,-0.498808)</f>
        <v>0.729088-0.498808i</v>
      </c>
      <c r="E96" t="str">
        <f>COMPLEX(0.288523,0.341223)</f>
        <v>0.288523+0.341223i</v>
      </c>
      <c r="F96"/>
      <c r="G96" t="str">
        <f t="shared" si="13"/>
        <v>64.2691427612005+54.803260963327i</v>
      </c>
      <c r="H96" t="str">
        <f t="shared" si="14"/>
        <v>64.2691427612005+54.803260963327i</v>
      </c>
      <c r="N96" s="19">
        <f t="shared" si="15"/>
        <v>0.44685417896445817</v>
      </c>
      <c r="O96" s="19">
        <f t="shared" si="15"/>
        <v>0.88339047572859863</v>
      </c>
      <c r="P96" s="18">
        <f t="shared" si="16"/>
        <v>-6.9966835240733491</v>
      </c>
      <c r="Q96" s="18">
        <f t="shared" si="16"/>
        <v>-1.0769457479372406</v>
      </c>
      <c r="R96" s="17">
        <f t="shared" si="18"/>
        <v>0.10958973483866682</v>
      </c>
      <c r="T96" s="17">
        <f t="shared" si="17"/>
        <v>27.070706999999999</v>
      </c>
      <c r="U96" s="17">
        <f t="shared" si="19"/>
        <v>0.10958973483866682</v>
      </c>
      <c r="V96" s="17">
        <f t="shared" si="20"/>
        <v>2.6156831055069873</v>
      </c>
      <c r="X96" s="21">
        <f t="shared" si="21"/>
        <v>27.070706999999999</v>
      </c>
      <c r="Y96" s="20">
        <f t="shared" si="22"/>
        <v>0.1137671874560453</v>
      </c>
    </row>
    <row r="97" spans="1:25" x14ac:dyDescent="0.25">
      <c r="A97">
        <v>27363636</v>
      </c>
      <c r="B97" t="str">
        <f>COMPLEX(0.292237,0.340831)</f>
        <v>0.292237+0.340831i</v>
      </c>
      <c r="C97" t="str">
        <f>COMPLEX(0.726708,-0.499036)</f>
        <v>0.726708-0.499036i</v>
      </c>
      <c r="D97" t="str">
        <f>COMPLEX(0.726708,-0.499036)</f>
        <v>0.726708-0.499036i</v>
      </c>
      <c r="E97" t="str">
        <f>COMPLEX(0.292237,0.340831)</f>
        <v>0.292237+0.340831i</v>
      </c>
      <c r="F97"/>
      <c r="G97" t="str">
        <f t="shared" si="13"/>
        <v>64.692855672144+55.2315968644765i</v>
      </c>
      <c r="H97" t="str">
        <f t="shared" si="14"/>
        <v>64.692855672144+55.2315968644765i</v>
      </c>
      <c r="N97" s="19">
        <f t="shared" si="15"/>
        <v>0.44896351157972736</v>
      </c>
      <c r="O97" s="19">
        <f t="shared" si="15"/>
        <v>0.88155626397865283</v>
      </c>
      <c r="P97" s="18">
        <f t="shared" si="16"/>
        <v>-6.9557790758583549</v>
      </c>
      <c r="Q97" s="18">
        <f t="shared" si="16"/>
        <v>-1.0949992859959696</v>
      </c>
      <c r="R97" s="17">
        <f t="shared" si="18"/>
        <v>0.11737735444855832</v>
      </c>
      <c r="T97" s="17">
        <f t="shared" si="17"/>
        <v>27.363636</v>
      </c>
      <c r="U97" s="17">
        <f t="shared" si="19"/>
        <v>0.11737735444855832</v>
      </c>
      <c r="V97" s="17">
        <f t="shared" si="20"/>
        <v>2.6295237103692681</v>
      </c>
      <c r="X97" s="21">
        <f t="shared" si="21"/>
        <v>27.363636</v>
      </c>
      <c r="Y97" s="20">
        <f t="shared" si="22"/>
        <v>0.11194215105785121</v>
      </c>
    </row>
    <row r="98" spans="1:25" x14ac:dyDescent="0.25">
      <c r="A98">
        <v>27656565</v>
      </c>
      <c r="B98" t="str">
        <f>COMPLEX(0.29673,0.343214)</f>
        <v>0.29673+0.343214i</v>
      </c>
      <c r="C98" t="str">
        <f>COMPLEX(0.723211,-0.501403)</f>
        <v>0.723211-0.501403i</v>
      </c>
      <c r="D98" t="str">
        <f>COMPLEX(0.723211,-0.501403)</f>
        <v>0.723211-0.501403i</v>
      </c>
      <c r="E98" t="str">
        <f>COMPLEX(0.29673,0.343214)</f>
        <v>0.29673+0.343214i</v>
      </c>
      <c r="F98"/>
      <c r="G98" t="str">
        <f t="shared" si="13"/>
        <v>64.8412396080215+56.0455034493545i</v>
      </c>
      <c r="H98" t="str">
        <f t="shared" si="14"/>
        <v>64.8412396080215+56.0455034493545i</v>
      </c>
      <c r="N98" s="19">
        <f t="shared" si="15"/>
        <v>0.45370093971249392</v>
      </c>
      <c r="O98" s="19">
        <f t="shared" si="15"/>
        <v>0.88002222638408412</v>
      </c>
      <c r="P98" s="18">
        <f t="shared" si="16"/>
        <v>-6.8646064243103453</v>
      </c>
      <c r="Q98" s="18">
        <f t="shared" si="16"/>
        <v>-1.1101271780406983</v>
      </c>
      <c r="R98" s="17">
        <f t="shared" si="18"/>
        <v>0.10918242448863845</v>
      </c>
      <c r="T98" s="17">
        <f t="shared" si="17"/>
        <v>27.656565000000001</v>
      </c>
      <c r="U98" s="17">
        <f t="shared" si="19"/>
        <v>0.10918242448863845</v>
      </c>
      <c r="V98" s="17">
        <f t="shared" si="20"/>
        <v>2.6609984262968363</v>
      </c>
      <c r="X98" s="21">
        <f t="shared" si="21"/>
        <v>27.656565000000001</v>
      </c>
      <c r="Y98" s="20">
        <f t="shared" si="22"/>
        <v>0.1100656302202325</v>
      </c>
    </row>
    <row r="99" spans="1:25" x14ac:dyDescent="0.25">
      <c r="A99">
        <v>27949494</v>
      </c>
      <c r="B99" t="str">
        <f>COMPLEX(0.301514,0.345409)</f>
        <v>0.301514+0.345409i</v>
      </c>
      <c r="C99" t="str">
        <f>COMPLEX(0.717482,-0.503634)</f>
        <v>0.717482-0.503634i</v>
      </c>
      <c r="D99" t="str">
        <f>COMPLEX(0.717482,-0.503634)</f>
        <v>0.717482-0.503634i</v>
      </c>
      <c r="E99" t="str">
        <f>COMPLEX(0.301514,0.345409)</f>
        <v>0.301514+0.345409i</v>
      </c>
      <c r="F99"/>
      <c r="G99" t="str">
        <f t="shared" si="13"/>
        <v>65.0358075851995+56.88647054085i</v>
      </c>
      <c r="H99" t="str">
        <f t="shared" si="14"/>
        <v>65.0358075851995+56.88647054085i</v>
      </c>
      <c r="N99" s="19">
        <f t="shared" si="15"/>
        <v>0.45849544106457596</v>
      </c>
      <c r="O99" s="19">
        <f t="shared" si="15"/>
        <v>0.87660003780515539</v>
      </c>
      <c r="P99" s="18">
        <f t="shared" si="16"/>
        <v>-6.7732995654338977</v>
      </c>
      <c r="Q99" s="18">
        <f t="shared" si="16"/>
        <v>-1.1439702990445682</v>
      </c>
      <c r="R99" s="17">
        <f t="shared" si="18"/>
        <v>0.11904223164284866</v>
      </c>
      <c r="T99" s="17">
        <f t="shared" si="17"/>
        <v>27.949494000000001</v>
      </c>
      <c r="U99" s="17">
        <f t="shared" si="19"/>
        <v>0.11904223164284866</v>
      </c>
      <c r="V99" s="17">
        <f t="shared" si="20"/>
        <v>2.693413041492982</v>
      </c>
      <c r="X99" s="21">
        <f t="shared" si="21"/>
        <v>27.949494000000001</v>
      </c>
      <c r="Y99" s="20">
        <f t="shared" si="22"/>
        <v>0.10813762494318918</v>
      </c>
    </row>
    <row r="100" spans="1:25" x14ac:dyDescent="0.25">
      <c r="A100">
        <v>28242424</v>
      </c>
      <c r="B100" t="str">
        <f>COMPLEX(0.304077,0.345688)</f>
        <v>0.304077+0.345688i</v>
      </c>
      <c r="C100" t="str">
        <f>COMPLEX(0.715488,-0.505245)</f>
        <v>0.715488-0.505245i</v>
      </c>
      <c r="D100" t="str">
        <f>COMPLEX(0.715488,-0.505245)</f>
        <v>0.715488-0.505245i</v>
      </c>
      <c r="E100" t="str">
        <f>COMPLEX(0.304077,0.345688)</f>
        <v>0.304077+0.345688i</v>
      </c>
      <c r="F100"/>
      <c r="G100" t="str">
        <f t="shared" si="13"/>
        <v>65.2554835050535+57.2512154101745i</v>
      </c>
      <c r="H100" t="str">
        <f t="shared" si="14"/>
        <v>65.2554835050535+57.2512154101745i</v>
      </c>
      <c r="N100" s="19">
        <f t="shared" si="15"/>
        <v>0.46039441272999826</v>
      </c>
      <c r="O100" s="19">
        <f t="shared" si="15"/>
        <v>0.87589701915750351</v>
      </c>
      <c r="P100" s="18">
        <f t="shared" si="16"/>
        <v>-6.7373991107169626</v>
      </c>
      <c r="Q100" s="18">
        <f t="shared" si="16"/>
        <v>-1.1509390328182387</v>
      </c>
      <c r="R100" s="17">
        <f t="shared" si="18"/>
        <v>0.11640503875341145</v>
      </c>
      <c r="T100" s="17">
        <f t="shared" si="17"/>
        <v>28.242424</v>
      </c>
      <c r="U100" s="17">
        <f t="shared" si="19"/>
        <v>0.11640503875341145</v>
      </c>
      <c r="V100" s="17">
        <f t="shared" si="20"/>
        <v>2.7064108437395822</v>
      </c>
      <c r="X100" s="21">
        <f t="shared" si="21"/>
        <v>28.242424</v>
      </c>
      <c r="Y100" s="20">
        <f t="shared" si="22"/>
        <v>0.10615812838126723</v>
      </c>
    </row>
    <row r="101" spans="1:25" x14ac:dyDescent="0.25">
      <c r="A101">
        <v>28535353</v>
      </c>
      <c r="B101" t="str">
        <f>COMPLEX(0.307651,0.348008)</f>
        <v>0.307651+0.348008i</v>
      </c>
      <c r="C101" t="str">
        <f>COMPLEX(0.712098,-0.505695)</f>
        <v>0.712098-0.505695i</v>
      </c>
      <c r="D101" t="str">
        <f>COMPLEX(0.712098,-0.505695)</f>
        <v>0.712098-0.505695i</v>
      </c>
      <c r="E101" t="str">
        <f>COMPLEX(0.307651,0.348008)</f>
        <v>0.307651+0.348008i</v>
      </c>
      <c r="F101"/>
      <c r="G101" t="str">
        <f t="shared" si="13"/>
        <v>65.3037335144125+57.9572176646225i</v>
      </c>
      <c r="H101" t="str">
        <f t="shared" si="14"/>
        <v>65.3037335144125+57.9572176646225i</v>
      </c>
      <c r="N101" s="19">
        <f t="shared" si="15"/>
        <v>0.46449833784955569</v>
      </c>
      <c r="O101" s="19">
        <f t="shared" si="15"/>
        <v>0.87339051668139844</v>
      </c>
      <c r="P101" s="18">
        <f t="shared" si="16"/>
        <v>-6.6603167147440381</v>
      </c>
      <c r="Q101" s="18">
        <f t="shared" si="16"/>
        <v>-1.1758305596125214</v>
      </c>
      <c r="R101" s="17">
        <f t="shared" si="18"/>
        <v>0.12032762253424864</v>
      </c>
      <c r="T101" s="17">
        <f t="shared" si="17"/>
        <v>28.535353000000001</v>
      </c>
      <c r="U101" s="17">
        <f t="shared" si="19"/>
        <v>0.12032762253424864</v>
      </c>
      <c r="V101" s="17">
        <f t="shared" si="20"/>
        <v>2.7348156716610124</v>
      </c>
      <c r="X101" s="21">
        <f t="shared" si="21"/>
        <v>28.535353000000001</v>
      </c>
      <c r="Y101" s="20">
        <f t="shared" si="22"/>
        <v>0.10412715404961734</v>
      </c>
    </row>
    <row r="102" spans="1:25" x14ac:dyDescent="0.25">
      <c r="A102">
        <v>28828282</v>
      </c>
      <c r="B102" t="str">
        <f>COMPLEX(0.310913,0.346841)</f>
        <v>0.310913+0.346841i</v>
      </c>
      <c r="C102" t="str">
        <f>COMPLEX(0.704398,-0.509095)</f>
        <v>0.704398-0.509095i</v>
      </c>
      <c r="D102" t="str">
        <f>COMPLEX(0.704398,-0.509095)</f>
        <v>0.704398-0.509095i</v>
      </c>
      <c r="E102" t="str">
        <f>COMPLEX(0.310913,0.346841)</f>
        <v>0.310913+0.346841i</v>
      </c>
      <c r="F102"/>
      <c r="G102" t="str">
        <f t="shared" si="13"/>
        <v>65.785780585906+58.278934190017i</v>
      </c>
      <c r="H102" t="str">
        <f t="shared" si="14"/>
        <v>65.785780585906+58.278934190017i</v>
      </c>
      <c r="N102" s="19">
        <f t="shared" si="15"/>
        <v>0.4657956342109702</v>
      </c>
      <c r="O102" s="19">
        <f t="shared" si="15"/>
        <v>0.8691111904865797</v>
      </c>
      <c r="P102" s="18">
        <f t="shared" si="16"/>
        <v>-6.6360917263732766</v>
      </c>
      <c r="Q102" s="18">
        <f t="shared" si="16"/>
        <v>-1.2184931631864846</v>
      </c>
      <c r="R102" s="17">
        <f t="shared" si="18"/>
        <v>0.15630173130852493</v>
      </c>
      <c r="T102" s="17">
        <f t="shared" si="17"/>
        <v>28.828282000000002</v>
      </c>
      <c r="U102" s="17">
        <f t="shared" si="19"/>
        <v>0.15630173130852493</v>
      </c>
      <c r="V102" s="17">
        <f t="shared" si="20"/>
        <v>2.7438855390969383</v>
      </c>
      <c r="X102" s="21">
        <f t="shared" si="21"/>
        <v>28.828282000000002</v>
      </c>
      <c r="Y102" s="20">
        <f t="shared" si="22"/>
        <v>0.10204469527854279</v>
      </c>
    </row>
    <row r="103" spans="1:25" x14ac:dyDescent="0.25">
      <c r="A103">
        <v>29121212</v>
      </c>
      <c r="B103" t="str">
        <f>COMPLEX(0.315582,0.348755)</f>
        <v>0.315582+0.348755i</v>
      </c>
      <c r="C103" t="str">
        <f>COMPLEX(0.701163,-0.515039)</f>
        <v>0.701163-0.515039i</v>
      </c>
      <c r="D103" t="str">
        <f>COMPLEX(0.701163,-0.515039)</f>
        <v>0.701163-0.515039i</v>
      </c>
      <c r="E103" t="str">
        <f>COMPLEX(0.315582,0.348755)</f>
        <v>0.315582+0.348755i</v>
      </c>
      <c r="F103"/>
      <c r="G103" t="str">
        <f t="shared" si="13"/>
        <v>65.9916386957275+59.105201723696i</v>
      </c>
      <c r="H103" t="str">
        <f t="shared" si="14"/>
        <v>65.9916386957275+59.105201723696i</v>
      </c>
      <c r="N103" s="19">
        <f t="shared" si="15"/>
        <v>0.4703424802726201</v>
      </c>
      <c r="O103" s="19">
        <f t="shared" si="15"/>
        <v>0.86999696786253233</v>
      </c>
      <c r="P103" s="18">
        <f t="shared" si="16"/>
        <v>-6.5517158996763314</v>
      </c>
      <c r="Q103" s="18">
        <f t="shared" si="16"/>
        <v>-1.209645219877407</v>
      </c>
      <c r="R103" s="17">
        <f t="shared" si="18"/>
        <v>0.12378169271308588</v>
      </c>
      <c r="T103" s="17">
        <f t="shared" si="17"/>
        <v>29.121212</v>
      </c>
      <c r="U103" s="17">
        <f t="shared" si="19"/>
        <v>0.12378169271308588</v>
      </c>
      <c r="V103" s="17">
        <f t="shared" si="20"/>
        <v>2.7760249321663939</v>
      </c>
      <c r="X103" s="21">
        <f t="shared" si="21"/>
        <v>29.121212</v>
      </c>
      <c r="Y103" s="20">
        <f t="shared" si="22"/>
        <v>9.9910744695316772E-2</v>
      </c>
    </row>
    <row r="104" spans="1:25" x14ac:dyDescent="0.25">
      <c r="A104">
        <v>29414141</v>
      </c>
      <c r="B104" t="str">
        <f>COMPLEX(0.319901,0.350282)</f>
        <v>0.319901+0.350282i</v>
      </c>
      <c r="C104" t="str">
        <f>COMPLEX(0.697303,-0.514694)</f>
        <v>0.697303-0.514694i</v>
      </c>
      <c r="D104" t="str">
        <f>COMPLEX(0.697303,-0.514694)</f>
        <v>0.697303-0.514694i</v>
      </c>
      <c r="E104" t="str">
        <f>COMPLEX(0.319901,0.350282)</f>
        <v>0.319901+0.350282i</v>
      </c>
      <c r="F104"/>
      <c r="G104" t="str">
        <f t="shared" si="13"/>
        <v>66.2101268746845+59.8535149469685i</v>
      </c>
      <c r="H104" t="str">
        <f t="shared" si="14"/>
        <v>66.2101268746845+59.8535149469685i</v>
      </c>
      <c r="N104" s="19">
        <f t="shared" si="15"/>
        <v>0.47437762312845233</v>
      </c>
      <c r="O104" s="19">
        <f t="shared" si="15"/>
        <v>0.86668413360635599</v>
      </c>
      <c r="P104" s="18">
        <f t="shared" si="16"/>
        <v>-6.477516105398613</v>
      </c>
      <c r="Q104" s="18">
        <f t="shared" si="16"/>
        <v>-1.2427830799211703</v>
      </c>
      <c r="R104" s="17">
        <f t="shared" si="18"/>
        <v>0.13560884686947974</v>
      </c>
      <c r="T104" s="17">
        <f t="shared" si="17"/>
        <v>29.414141000000001</v>
      </c>
      <c r="U104" s="17">
        <f t="shared" si="19"/>
        <v>0.13560884686947974</v>
      </c>
      <c r="V104" s="17">
        <f t="shared" si="20"/>
        <v>2.805013043591869</v>
      </c>
      <c r="X104" s="21">
        <f t="shared" si="21"/>
        <v>29.414141000000001</v>
      </c>
      <c r="Y104" s="20">
        <f t="shared" si="22"/>
        <v>9.7725316869635676E-2</v>
      </c>
    </row>
    <row r="105" spans="1:25" x14ac:dyDescent="0.25">
      <c r="A105">
        <v>29707070</v>
      </c>
      <c r="B105" t="str">
        <f>COMPLEX(0.323838,0.352083)</f>
        <v>0.323838+0.352083i</v>
      </c>
      <c r="C105" t="str">
        <f>COMPLEX(0.693103,-0.520331)</f>
        <v>0.693103-0.520331i</v>
      </c>
      <c r="D105" t="str">
        <f>COMPLEX(0.693103,-0.520331)</f>
        <v>0.693103-0.520331i</v>
      </c>
      <c r="E105" t="str">
        <f>COMPLEX(0.323838,0.352083)</f>
        <v>0.323838+0.352083i</v>
      </c>
      <c r="F105"/>
      <c r="G105" t="str">
        <f t="shared" si="13"/>
        <v>66.347463922169+60.583061662899i</v>
      </c>
      <c r="H105" t="str">
        <f t="shared" si="14"/>
        <v>66.347463922169+60.583061662899i</v>
      </c>
      <c r="N105" s="19">
        <f t="shared" si="15"/>
        <v>0.47836543471806159</v>
      </c>
      <c r="O105" s="19">
        <f t="shared" si="15"/>
        <v>0.86668109369594537</v>
      </c>
      <c r="P105" s="18">
        <f t="shared" si="16"/>
        <v>-6.4048041746045374</v>
      </c>
      <c r="Q105" s="18">
        <f t="shared" si="16"/>
        <v>-1.2428135458909733</v>
      </c>
      <c r="R105" s="17">
        <f t="shared" si="18"/>
        <v>0.11429515964340539</v>
      </c>
      <c r="T105" s="17">
        <f t="shared" si="17"/>
        <v>29.707070000000002</v>
      </c>
      <c r="U105" s="17">
        <f t="shared" si="19"/>
        <v>0.11429515964340539</v>
      </c>
      <c r="V105" s="17">
        <f t="shared" si="20"/>
        <v>2.8341017507515431</v>
      </c>
      <c r="X105" s="21">
        <f t="shared" si="21"/>
        <v>29.707070000000002</v>
      </c>
      <c r="Y105" s="20">
        <f t="shared" si="22"/>
        <v>9.5488404604529981E-2</v>
      </c>
    </row>
    <row r="106" spans="1:25" x14ac:dyDescent="0.25">
      <c r="A106">
        <v>30000000</v>
      </c>
      <c r="B106" t="str">
        <f>COMPLEX(0.325584,0.350227)</f>
        <v>0.325584+0.350227i</v>
      </c>
      <c r="C106" t="str">
        <f>COMPLEX(0.676451,-0.521829)</f>
        <v>0.676451-0.521829i</v>
      </c>
      <c r="D106" t="str">
        <f>COMPLEX(0.676451,-0.521829)</f>
        <v>0.676451-0.521829i</v>
      </c>
      <c r="E106" t="str">
        <f>COMPLEX(0.325584,0.350227)</f>
        <v>0.325584+0.350227i</v>
      </c>
      <c r="F106"/>
      <c r="G106" t="str">
        <f t="shared" si="13"/>
        <v>66.782821948943+60.645799302971i</v>
      </c>
      <c r="H106" t="str">
        <f t="shared" si="14"/>
        <v>66.782821948943+60.645799302971i</v>
      </c>
      <c r="M106" s="16">
        <f>IMARGUMENT(B106)*180/PI()</f>
        <v>47.088327356360054</v>
      </c>
      <c r="N106" s="19">
        <f t="shared" si="15"/>
        <v>0.4781881351361616</v>
      </c>
      <c r="O106" s="19">
        <f t="shared" si="15"/>
        <v>0.8543368543156733</v>
      </c>
      <c r="P106" s="18">
        <f t="shared" si="16"/>
        <v>-6.4080240771116781</v>
      </c>
      <c r="Q106" s="18">
        <f t="shared" si="16"/>
        <v>-1.3674171734383702</v>
      </c>
      <c r="R106" s="17">
        <f t="shared" si="18"/>
        <v>0.23985379166690668</v>
      </c>
      <c r="T106" s="17">
        <f t="shared" si="17"/>
        <v>30</v>
      </c>
      <c r="U106" s="17">
        <f t="shared" si="19"/>
        <v>0.23985379166690668</v>
      </c>
      <c r="V106" s="17">
        <f t="shared" si="20"/>
        <v>2.8327990118083655</v>
      </c>
      <c r="X106" s="21">
        <f t="shared" si="21"/>
        <v>30</v>
      </c>
      <c r="Y106" s="20">
        <f t="shared" si="22"/>
        <v>9.3200000000000033E-2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Choke</vt:lpstr>
      <vt:lpstr>Choke (2)</vt:lpstr>
      <vt:lpstr>Mix</vt:lpstr>
      <vt:lpstr>TLmeas</vt:lpstr>
      <vt:lpstr>TLmeas PTFE</vt:lpstr>
      <vt:lpstr>TLmeas 43.pvc</vt:lpstr>
      <vt:lpstr>TLmeas LO1238 spkr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2014-05-02T04:59:23Z</dcterms:modified>
</cp:coreProperties>
</file>