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U:\git\xl\"/>
    </mc:Choice>
  </mc:AlternateContent>
  <xr:revisionPtr revIDLastSave="0" documentId="13_ncr:1_{84210DB5-DED3-4743-8C5E-CE964DF1D1B7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Choke" sheetId="1" r:id="rId1"/>
    <sheet name="28-053-31" sheetId="4" r:id="rId2"/>
    <sheet name="28-042-31" sheetId="5" r:id="rId3"/>
    <sheet name="42-001-31" sheetId="3" r:id="rId4"/>
    <sheet name="Mix" sheetId="2" r:id="rId5"/>
  </sheets>
  <functionGroups builtInGroupCount="19"/>
  <definedNames>
    <definedName name="CSTableU1">Mix!$E$6:$G$36</definedName>
    <definedName name="CSTableU2">Mix!$N$6:$P$36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5" l="1"/>
  <c r="D18" i="5"/>
  <c r="C18" i="5"/>
  <c r="B16" i="5"/>
  <c r="B13" i="5"/>
  <c r="B12" i="5"/>
  <c r="C33" i="5"/>
  <c r="B33" i="5"/>
  <c r="E18" i="5" l="1"/>
  <c r="D24" i="5"/>
  <c r="C24" i="5"/>
  <c r="B24" i="4"/>
  <c r="D18" i="4"/>
  <c r="D24" i="4" s="1"/>
  <c r="C18" i="4"/>
  <c r="C24" i="4" s="1"/>
  <c r="B16" i="4"/>
  <c r="B13" i="4"/>
  <c r="B12" i="4"/>
  <c r="C33" i="4"/>
  <c r="B33" i="4"/>
  <c r="E24" i="5" l="1"/>
  <c r="F18" i="5"/>
  <c r="E18" i="4"/>
  <c r="B13" i="3"/>
  <c r="B24" i="3"/>
  <c r="C18" i="3"/>
  <c r="C24" i="3" s="1"/>
  <c r="B16" i="3"/>
  <c r="B12" i="3"/>
  <c r="B33" i="3"/>
  <c r="C33" i="3"/>
  <c r="G18" i="5" l="1"/>
  <c r="F24" i="5"/>
  <c r="E24" i="4"/>
  <c r="F18" i="4"/>
  <c r="D18" i="3"/>
  <c r="C18" i="1"/>
  <c r="D18" i="1" s="1"/>
  <c r="E18" i="1" s="1"/>
  <c r="F18" i="1" s="1"/>
  <c r="G18" i="1" s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B12" i="1"/>
  <c r="B13" i="1"/>
  <c r="B16" i="1"/>
  <c r="B24" i="1"/>
  <c r="A47" i="2"/>
  <c r="E6" i="2" a="1"/>
  <c r="N6" i="2" a="1"/>
  <c r="B33" i="1"/>
  <c r="C33" i="1"/>
  <c r="G24" i="5" l="1"/>
  <c r="H18" i="5"/>
  <c r="G18" i="4"/>
  <c r="F24" i="4"/>
  <c r="D24" i="3"/>
  <c r="E18" i="3"/>
  <c r="C24" i="1"/>
  <c r="E6" i="2"/>
  <c r="G6" i="2"/>
  <c r="F7" i="2"/>
  <c r="E8" i="2"/>
  <c r="G8" i="2"/>
  <c r="F9" i="2"/>
  <c r="E10" i="2"/>
  <c r="G10" i="2"/>
  <c r="F11" i="2"/>
  <c r="E12" i="2"/>
  <c r="G12" i="2"/>
  <c r="F13" i="2"/>
  <c r="E14" i="2"/>
  <c r="G14" i="2"/>
  <c r="F15" i="2"/>
  <c r="E16" i="2"/>
  <c r="G16" i="2"/>
  <c r="F17" i="2"/>
  <c r="E18" i="2"/>
  <c r="G18" i="2"/>
  <c r="F19" i="2"/>
  <c r="E20" i="2"/>
  <c r="G20" i="2"/>
  <c r="F21" i="2"/>
  <c r="E22" i="2"/>
  <c r="G22" i="2"/>
  <c r="F23" i="2"/>
  <c r="E24" i="2"/>
  <c r="G24" i="2"/>
  <c r="F25" i="2"/>
  <c r="E26" i="2"/>
  <c r="G26" i="2"/>
  <c r="F27" i="2"/>
  <c r="E28" i="2"/>
  <c r="G28" i="2"/>
  <c r="F29" i="2"/>
  <c r="E30" i="2"/>
  <c r="G30" i="2"/>
  <c r="F31" i="2"/>
  <c r="E32" i="2"/>
  <c r="G32" i="2"/>
  <c r="F33" i="2"/>
  <c r="E34" i="2"/>
  <c r="G34" i="2"/>
  <c r="F35" i="2"/>
  <c r="E36" i="2"/>
  <c r="G36" i="2"/>
  <c r="F6" i="2"/>
  <c r="E7" i="2"/>
  <c r="G7" i="2"/>
  <c r="F8" i="2"/>
  <c r="E9" i="2"/>
  <c r="G9" i="2"/>
  <c r="F10" i="2"/>
  <c r="E11" i="2"/>
  <c r="G11" i="2"/>
  <c r="F12" i="2"/>
  <c r="E13" i="2"/>
  <c r="G13" i="2"/>
  <c r="F14" i="2"/>
  <c r="E15" i="2"/>
  <c r="G15" i="2"/>
  <c r="F16" i="2"/>
  <c r="E17" i="2"/>
  <c r="G17" i="2"/>
  <c r="F18" i="2"/>
  <c r="E19" i="2"/>
  <c r="G19" i="2"/>
  <c r="F20" i="2"/>
  <c r="E21" i="2"/>
  <c r="G21" i="2"/>
  <c r="F22" i="2"/>
  <c r="E23" i="2"/>
  <c r="G23" i="2"/>
  <c r="F24" i="2"/>
  <c r="E25" i="2"/>
  <c r="G25" i="2"/>
  <c r="F26" i="2"/>
  <c r="E27" i="2"/>
  <c r="G27" i="2"/>
  <c r="F28" i="2"/>
  <c r="E29" i="2"/>
  <c r="G29" i="2"/>
  <c r="F30" i="2"/>
  <c r="G31" i="2"/>
  <c r="E33" i="2"/>
  <c r="F34" i="2"/>
  <c r="G35" i="2"/>
  <c r="E31" i="2"/>
  <c r="F32" i="2"/>
  <c r="G33" i="2"/>
  <c r="E35" i="2"/>
  <c r="F36" i="2"/>
  <c r="E24" i="1"/>
  <c r="D24" i="1"/>
  <c r="N6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P6" i="2"/>
  <c r="N7" i="2"/>
  <c r="P7" i="2"/>
  <c r="N8" i="2"/>
  <c r="P8" i="2"/>
  <c r="N9" i="2"/>
  <c r="N11" i="2"/>
  <c r="P11" i="2"/>
  <c r="N12" i="2"/>
  <c r="P12" i="2"/>
  <c r="N13" i="2"/>
  <c r="N14" i="2"/>
  <c r="P15" i="2"/>
  <c r="N16" i="2"/>
  <c r="N18" i="2"/>
  <c r="P19" i="2"/>
  <c r="N20" i="2"/>
  <c r="P21" i="2"/>
  <c r="N22" i="2"/>
  <c r="P23" i="2"/>
  <c r="N24" i="2"/>
  <c r="P25" i="2"/>
  <c r="N26" i="2"/>
  <c r="P26" i="2"/>
  <c r="N27" i="2"/>
  <c r="P28" i="2"/>
  <c r="N29" i="2"/>
  <c r="P30" i="2"/>
  <c r="N31" i="2"/>
  <c r="P31" i="2"/>
  <c r="P9" i="2"/>
  <c r="N10" i="2"/>
  <c r="P10" i="2"/>
  <c r="P13" i="2"/>
  <c r="P14" i="2"/>
  <c r="N15" i="2"/>
  <c r="P16" i="2"/>
  <c r="N17" i="2"/>
  <c r="P17" i="2"/>
  <c r="P18" i="2"/>
  <c r="N19" i="2"/>
  <c r="P20" i="2"/>
  <c r="N21" i="2"/>
  <c r="P22" i="2"/>
  <c r="N23" i="2"/>
  <c r="P24" i="2"/>
  <c r="N25" i="2"/>
  <c r="P27" i="2"/>
  <c r="N28" i="2"/>
  <c r="P29" i="2"/>
  <c r="N30" i="2"/>
  <c r="P32" i="2"/>
  <c r="N33" i="2"/>
  <c r="P34" i="2"/>
  <c r="N35" i="2"/>
  <c r="P36" i="2"/>
  <c r="N34" i="2"/>
  <c r="P35" i="2"/>
  <c r="N32" i="2"/>
  <c r="P33" i="2"/>
  <c r="N36" i="2"/>
  <c r="G19" i="5"/>
  <c r="F19" i="5"/>
  <c r="E19" i="5"/>
  <c r="C19" i="5"/>
  <c r="B19" i="5"/>
  <c r="D19" i="5"/>
  <c r="B20" i="4"/>
  <c r="B19" i="4"/>
  <c r="D20" i="1"/>
  <c r="C19" i="1"/>
  <c r="E20" i="1"/>
  <c r="B20" i="1"/>
  <c r="E20" i="4"/>
  <c r="C19" i="4"/>
  <c r="D19" i="3"/>
  <c r="B19" i="1"/>
  <c r="D20" i="3"/>
  <c r="G20" i="5"/>
  <c r="F20" i="5"/>
  <c r="E20" i="5"/>
  <c r="C20" i="5"/>
  <c r="D20" i="5"/>
  <c r="B20" i="5"/>
  <c r="E19" i="4"/>
  <c r="F19" i="4"/>
  <c r="C19" i="3"/>
  <c r="B19" i="3"/>
  <c r="D20" i="4"/>
  <c r="C20" i="3"/>
  <c r="E19" i="1"/>
  <c r="F20" i="4"/>
  <c r="C20" i="4"/>
  <c r="D19" i="1"/>
  <c r="D19" i="4"/>
  <c r="B20" i="3"/>
  <c r="C20" i="1"/>
  <c r="B22" i="5" l="1"/>
  <c r="D22" i="5"/>
  <c r="C22" i="5"/>
  <c r="E22" i="5"/>
  <c r="F22" i="5"/>
  <c r="G22" i="5"/>
  <c r="D21" i="5"/>
  <c r="B21" i="5"/>
  <c r="C21" i="5"/>
  <c r="E21" i="5"/>
  <c r="F21" i="5"/>
  <c r="F23" i="5" s="1"/>
  <c r="F25" i="5" s="1"/>
  <c r="G21" i="5"/>
  <c r="I18" i="5"/>
  <c r="H24" i="5"/>
  <c r="F21" i="4"/>
  <c r="C21" i="4"/>
  <c r="B21" i="4"/>
  <c r="D21" i="4"/>
  <c r="D23" i="4" s="1"/>
  <c r="D25" i="4" s="1"/>
  <c r="E21" i="4"/>
  <c r="F22" i="4"/>
  <c r="B22" i="4"/>
  <c r="D22" i="4"/>
  <c r="C22" i="4"/>
  <c r="E22" i="4"/>
  <c r="G24" i="4"/>
  <c r="H18" i="4"/>
  <c r="D21" i="3"/>
  <c r="B21" i="3"/>
  <c r="C21" i="3"/>
  <c r="B22" i="3"/>
  <c r="C22" i="3"/>
  <c r="D22" i="3"/>
  <c r="E24" i="3"/>
  <c r="F18" i="3"/>
  <c r="B22" i="1"/>
  <c r="D22" i="1"/>
  <c r="C22" i="1"/>
  <c r="B21" i="1"/>
  <c r="D21" i="1"/>
  <c r="C21" i="1"/>
  <c r="E21" i="1"/>
  <c r="E22" i="1"/>
  <c r="F24" i="1"/>
  <c r="E19" i="3"/>
  <c r="G19" i="4"/>
  <c r="F19" i="1"/>
  <c r="H19" i="5"/>
  <c r="G20" i="4"/>
  <c r="E20" i="3"/>
  <c r="H20" i="5"/>
  <c r="F20" i="1"/>
  <c r="D23" i="5" l="1"/>
  <c r="D25" i="5" s="1"/>
  <c r="G23" i="5"/>
  <c r="G25" i="5" s="1"/>
  <c r="G27" i="5" s="1"/>
  <c r="B23" i="5"/>
  <c r="B25" i="5" s="1"/>
  <c r="B27" i="5" s="1"/>
  <c r="H22" i="5"/>
  <c r="H21" i="5"/>
  <c r="D28" i="5"/>
  <c r="D26" i="5"/>
  <c r="D27" i="5"/>
  <c r="E23" i="5"/>
  <c r="E25" i="5" s="1"/>
  <c r="F27" i="5"/>
  <c r="F26" i="5"/>
  <c r="F28" i="5"/>
  <c r="I24" i="5"/>
  <c r="J18" i="5"/>
  <c r="C23" i="5"/>
  <c r="C25" i="5" s="1"/>
  <c r="G22" i="4"/>
  <c r="G21" i="4"/>
  <c r="G23" i="4" s="1"/>
  <c r="G25" i="4" s="1"/>
  <c r="B23" i="4"/>
  <c r="B25" i="4" s="1"/>
  <c r="C23" i="4"/>
  <c r="C25" i="4" s="1"/>
  <c r="D28" i="4"/>
  <c r="D27" i="4"/>
  <c r="D26" i="4"/>
  <c r="H24" i="4"/>
  <c r="I18" i="4"/>
  <c r="E23" i="4"/>
  <c r="E25" i="4" s="1"/>
  <c r="F23" i="4"/>
  <c r="F25" i="4" s="1"/>
  <c r="E22" i="3"/>
  <c r="E21" i="3"/>
  <c r="F24" i="3"/>
  <c r="G18" i="3"/>
  <c r="B23" i="3"/>
  <c r="B25" i="3" s="1"/>
  <c r="C23" i="3"/>
  <c r="C25" i="3" s="1"/>
  <c r="D23" i="3"/>
  <c r="D25" i="3" s="1"/>
  <c r="E23" i="1"/>
  <c r="E25" i="1" s="1"/>
  <c r="E26" i="1" s="1"/>
  <c r="D23" i="1"/>
  <c r="D25" i="1" s="1"/>
  <c r="C23" i="1"/>
  <c r="C25" i="1" s="1"/>
  <c r="B23" i="1"/>
  <c r="B25" i="1" s="1"/>
  <c r="F21" i="1"/>
  <c r="F22" i="1"/>
  <c r="G24" i="1"/>
  <c r="I20" i="5"/>
  <c r="F19" i="3"/>
  <c r="H19" i="4"/>
  <c r="I19" i="5"/>
  <c r="F20" i="3"/>
  <c r="G20" i="1"/>
  <c r="H20" i="4"/>
  <c r="G19" i="1"/>
  <c r="B26" i="5" l="1"/>
  <c r="B28" i="5"/>
  <c r="G28" i="5"/>
  <c r="G26" i="5"/>
  <c r="H23" i="5"/>
  <c r="H25" i="5" s="1"/>
  <c r="H27" i="5" s="1"/>
  <c r="I21" i="5"/>
  <c r="I22" i="5"/>
  <c r="K18" i="5"/>
  <c r="J24" i="5"/>
  <c r="C27" i="5"/>
  <c r="C28" i="5"/>
  <c r="C26" i="5"/>
  <c r="E28" i="5"/>
  <c r="E26" i="5"/>
  <c r="E27" i="5"/>
  <c r="H22" i="4"/>
  <c r="H21" i="4"/>
  <c r="E28" i="4"/>
  <c r="E26" i="4"/>
  <c r="E27" i="4"/>
  <c r="C27" i="4"/>
  <c r="C28" i="4"/>
  <c r="C26" i="4"/>
  <c r="B27" i="4"/>
  <c r="B28" i="4"/>
  <c r="B26" i="4"/>
  <c r="G27" i="4"/>
  <c r="G28" i="4"/>
  <c r="G26" i="4"/>
  <c r="F27" i="4"/>
  <c r="F28" i="4"/>
  <c r="F26" i="4"/>
  <c r="I24" i="4"/>
  <c r="J18" i="4"/>
  <c r="E23" i="3"/>
  <c r="E25" i="3" s="1"/>
  <c r="E26" i="3" s="1"/>
  <c r="F21" i="3"/>
  <c r="F22" i="3"/>
  <c r="C27" i="3"/>
  <c r="C28" i="3"/>
  <c r="C26" i="3"/>
  <c r="G24" i="3"/>
  <c r="H18" i="3"/>
  <c r="D28" i="3"/>
  <c r="D27" i="3"/>
  <c r="D26" i="3"/>
  <c r="B28" i="3"/>
  <c r="B27" i="3"/>
  <c r="B26" i="3"/>
  <c r="E28" i="1"/>
  <c r="E27" i="1"/>
  <c r="D26" i="1"/>
  <c r="D28" i="1"/>
  <c r="D27" i="1"/>
  <c r="F23" i="1"/>
  <c r="F25" i="1" s="1"/>
  <c r="F26" i="1" s="1"/>
  <c r="C26" i="1"/>
  <c r="C27" i="1"/>
  <c r="C28" i="1"/>
  <c r="B26" i="1"/>
  <c r="B28" i="1"/>
  <c r="B27" i="1"/>
  <c r="G22" i="1"/>
  <c r="G21" i="1"/>
  <c r="H24" i="1"/>
  <c r="J20" i="5"/>
  <c r="I20" i="4"/>
  <c r="G19" i="3"/>
  <c r="G20" i="3"/>
  <c r="H20" i="1"/>
  <c r="J19" i="5"/>
  <c r="I19" i="4"/>
  <c r="H19" i="1"/>
  <c r="H26" i="5" l="1"/>
  <c r="H28" i="5"/>
  <c r="J21" i="5"/>
  <c r="J22" i="5"/>
  <c r="K24" i="5"/>
  <c r="L18" i="5"/>
  <c r="H23" i="4"/>
  <c r="H25" i="4" s="1"/>
  <c r="H27" i="4" s="1"/>
  <c r="I23" i="5"/>
  <c r="I25" i="5" s="1"/>
  <c r="I22" i="4"/>
  <c r="I21" i="4"/>
  <c r="I23" i="4" s="1"/>
  <c r="I25" i="4" s="1"/>
  <c r="E28" i="3"/>
  <c r="H28" i="4"/>
  <c r="K18" i="4"/>
  <c r="J24" i="4"/>
  <c r="E27" i="3"/>
  <c r="F23" i="3"/>
  <c r="F25" i="3" s="1"/>
  <c r="F28" i="3" s="1"/>
  <c r="G21" i="3"/>
  <c r="G22" i="3"/>
  <c r="H24" i="3"/>
  <c r="I18" i="3"/>
  <c r="G23" i="1"/>
  <c r="G25" i="1" s="1"/>
  <c r="G27" i="1" s="1"/>
  <c r="F27" i="1"/>
  <c r="F28" i="1"/>
  <c r="H22" i="1"/>
  <c r="H21" i="1"/>
  <c r="I24" i="1"/>
  <c r="K20" i="5"/>
  <c r="J19" i="4"/>
  <c r="I20" i="1"/>
  <c r="H19" i="3"/>
  <c r="J20" i="4"/>
  <c r="I19" i="1"/>
  <c r="K19" i="5"/>
  <c r="H20" i="3"/>
  <c r="K21" i="5" l="1"/>
  <c r="K22" i="5"/>
  <c r="I28" i="5"/>
  <c r="I26" i="5"/>
  <c r="I27" i="5"/>
  <c r="M18" i="5"/>
  <c r="L24" i="5"/>
  <c r="H26" i="4"/>
  <c r="J23" i="5"/>
  <c r="J25" i="5" s="1"/>
  <c r="J22" i="4"/>
  <c r="J21" i="4"/>
  <c r="K24" i="4"/>
  <c r="L18" i="4"/>
  <c r="I28" i="4"/>
  <c r="I26" i="4"/>
  <c r="I27" i="4"/>
  <c r="F27" i="3"/>
  <c r="F26" i="3"/>
  <c r="G23" i="3"/>
  <c r="G25" i="3" s="1"/>
  <c r="G27" i="3" s="1"/>
  <c r="H21" i="3"/>
  <c r="H22" i="3"/>
  <c r="I24" i="3"/>
  <c r="J18" i="3"/>
  <c r="H23" i="1"/>
  <c r="H25" i="1" s="1"/>
  <c r="H26" i="1" s="1"/>
  <c r="G26" i="1"/>
  <c r="G28" i="1"/>
  <c r="I22" i="1"/>
  <c r="I21" i="1"/>
  <c r="J24" i="1"/>
  <c r="L20" i="5"/>
  <c r="K20" i="4"/>
  <c r="I20" i="3"/>
  <c r="J19" i="1"/>
  <c r="L19" i="5"/>
  <c r="K19" i="4"/>
  <c r="J20" i="1"/>
  <c r="I19" i="3"/>
  <c r="L21" i="5" l="1"/>
  <c r="L22" i="5"/>
  <c r="J27" i="5"/>
  <c r="J26" i="5"/>
  <c r="J28" i="5"/>
  <c r="M24" i="5"/>
  <c r="N18" i="5"/>
  <c r="K23" i="5"/>
  <c r="K25" i="5" s="1"/>
  <c r="K22" i="4"/>
  <c r="K21" i="4"/>
  <c r="K23" i="4" s="1"/>
  <c r="K25" i="4" s="1"/>
  <c r="M18" i="4"/>
  <c r="L24" i="4"/>
  <c r="J23" i="4"/>
  <c r="J25" i="4" s="1"/>
  <c r="G28" i="3"/>
  <c r="G26" i="3"/>
  <c r="I22" i="3"/>
  <c r="I21" i="3"/>
  <c r="J24" i="3"/>
  <c r="K18" i="3"/>
  <c r="H23" i="3"/>
  <c r="H25" i="3" s="1"/>
  <c r="H27" i="1"/>
  <c r="H28" i="1"/>
  <c r="I23" i="1"/>
  <c r="I25" i="1" s="1"/>
  <c r="I28" i="1" s="1"/>
  <c r="J22" i="1"/>
  <c r="J21" i="1"/>
  <c r="K24" i="1"/>
  <c r="L19" i="4"/>
  <c r="K19" i="1"/>
  <c r="L20" i="4"/>
  <c r="M20" i="5"/>
  <c r="J19" i="3"/>
  <c r="M19" i="5"/>
  <c r="J20" i="3"/>
  <c r="K20" i="1"/>
  <c r="L23" i="5" l="1"/>
  <c r="L25" i="5" s="1"/>
  <c r="L26" i="5" s="1"/>
  <c r="M21" i="5"/>
  <c r="M22" i="5"/>
  <c r="K27" i="5"/>
  <c r="K28" i="5"/>
  <c r="K26" i="5"/>
  <c r="O18" i="5"/>
  <c r="N24" i="5"/>
  <c r="L21" i="4"/>
  <c r="L22" i="4"/>
  <c r="J27" i="4"/>
  <c r="J28" i="4"/>
  <c r="J26" i="4"/>
  <c r="M24" i="4"/>
  <c r="N18" i="4"/>
  <c r="K27" i="4"/>
  <c r="K28" i="4"/>
  <c r="K26" i="4"/>
  <c r="I23" i="3"/>
  <c r="I25" i="3" s="1"/>
  <c r="I28" i="3" s="1"/>
  <c r="J21" i="3"/>
  <c r="J22" i="3"/>
  <c r="K24" i="3"/>
  <c r="L18" i="3"/>
  <c r="H28" i="3"/>
  <c r="H27" i="3"/>
  <c r="H26" i="3"/>
  <c r="I27" i="1"/>
  <c r="I26" i="1"/>
  <c r="J23" i="1"/>
  <c r="J25" i="1" s="1"/>
  <c r="J27" i="1" s="1"/>
  <c r="K22" i="1"/>
  <c r="K21" i="1"/>
  <c r="L24" i="1"/>
  <c r="N19" i="5"/>
  <c r="M19" i="4"/>
  <c r="L19" i="1"/>
  <c r="K19" i="3"/>
  <c r="M20" i="4"/>
  <c r="K20" i="3"/>
  <c r="L20" i="1"/>
  <c r="N20" i="5"/>
  <c r="L28" i="5" l="1"/>
  <c r="L27" i="5"/>
  <c r="N22" i="5"/>
  <c r="N21" i="5"/>
  <c r="N23" i="5" s="1"/>
  <c r="N25" i="5" s="1"/>
  <c r="O24" i="5"/>
  <c r="P18" i="5"/>
  <c r="M23" i="5"/>
  <c r="M25" i="5" s="1"/>
  <c r="L23" i="4"/>
  <c r="L25" i="4" s="1"/>
  <c r="L28" i="4" s="1"/>
  <c r="M22" i="4"/>
  <c r="M21" i="4"/>
  <c r="M23" i="4" s="1"/>
  <c r="M25" i="4" s="1"/>
  <c r="O18" i="4"/>
  <c r="N24" i="4"/>
  <c r="I26" i="3"/>
  <c r="I27" i="3"/>
  <c r="J23" i="3"/>
  <c r="J25" i="3" s="1"/>
  <c r="J28" i="3" s="1"/>
  <c r="K22" i="3"/>
  <c r="K21" i="3"/>
  <c r="L24" i="3"/>
  <c r="M18" i="3"/>
  <c r="J26" i="1"/>
  <c r="J28" i="1"/>
  <c r="K23" i="1"/>
  <c r="K25" i="1" s="1"/>
  <c r="K27" i="1" s="1"/>
  <c r="L22" i="1"/>
  <c r="L21" i="1"/>
  <c r="M24" i="1"/>
  <c r="O20" i="5"/>
  <c r="N19" i="4"/>
  <c r="M19" i="1"/>
  <c r="L19" i="3"/>
  <c r="L20" i="3"/>
  <c r="N20" i="4"/>
  <c r="M20" i="1"/>
  <c r="O19" i="5"/>
  <c r="O21" i="5" l="1"/>
  <c r="O22" i="5"/>
  <c r="M28" i="5"/>
  <c r="M26" i="5"/>
  <c r="M27" i="5"/>
  <c r="Q18" i="5"/>
  <c r="P24" i="5"/>
  <c r="N27" i="5"/>
  <c r="N26" i="5"/>
  <c r="N28" i="5"/>
  <c r="L26" i="4"/>
  <c r="L27" i="4"/>
  <c r="N21" i="4"/>
  <c r="N22" i="4"/>
  <c r="O24" i="4"/>
  <c r="P18" i="4"/>
  <c r="M28" i="4"/>
  <c r="M26" i="4"/>
  <c r="M27" i="4"/>
  <c r="J27" i="3"/>
  <c r="J26" i="3"/>
  <c r="K23" i="3"/>
  <c r="K25" i="3" s="1"/>
  <c r="K27" i="3" s="1"/>
  <c r="L21" i="3"/>
  <c r="L22" i="3"/>
  <c r="M24" i="3"/>
  <c r="N18" i="3"/>
  <c r="L23" i="1"/>
  <c r="L25" i="1" s="1"/>
  <c r="L27" i="1" s="1"/>
  <c r="K26" i="1"/>
  <c r="K28" i="1"/>
  <c r="M22" i="1"/>
  <c r="M21" i="1"/>
  <c r="N24" i="1"/>
  <c r="M20" i="3"/>
  <c r="N19" i="1"/>
  <c r="O20" i="4"/>
  <c r="M19" i="3"/>
  <c r="P20" i="5"/>
  <c r="O19" i="4"/>
  <c r="P19" i="5"/>
  <c r="N20" i="1"/>
  <c r="O23" i="5" l="1"/>
  <c r="O25" i="5" s="1"/>
  <c r="O27" i="5" s="1"/>
  <c r="P21" i="5"/>
  <c r="P22" i="5"/>
  <c r="Q24" i="5"/>
  <c r="R18" i="5"/>
  <c r="O22" i="4"/>
  <c r="O21" i="4"/>
  <c r="O23" i="4" s="1"/>
  <c r="O25" i="4" s="1"/>
  <c r="P24" i="4"/>
  <c r="Q18" i="4"/>
  <c r="N23" i="4"/>
  <c r="N25" i="4" s="1"/>
  <c r="K28" i="3"/>
  <c r="K26" i="3"/>
  <c r="L23" i="3"/>
  <c r="L25" i="3" s="1"/>
  <c r="L28" i="3" s="1"/>
  <c r="M21" i="3"/>
  <c r="M22" i="3"/>
  <c r="N24" i="3"/>
  <c r="O18" i="3"/>
  <c r="L26" i="1"/>
  <c r="L28" i="1"/>
  <c r="M23" i="1"/>
  <c r="M25" i="1" s="1"/>
  <c r="M26" i="1" s="1"/>
  <c r="N22" i="1"/>
  <c r="N21" i="1"/>
  <c r="O24" i="1"/>
  <c r="Q19" i="5"/>
  <c r="O19" i="1"/>
  <c r="P20" i="4"/>
  <c r="O20" i="1"/>
  <c r="P19" i="4"/>
  <c r="N19" i="3"/>
  <c r="N20" i="3"/>
  <c r="Q20" i="5"/>
  <c r="O26" i="5" l="1"/>
  <c r="O28" i="5"/>
  <c r="Q22" i="5"/>
  <c r="Q21" i="5"/>
  <c r="Q23" i="5" s="1"/>
  <c r="Q25" i="5" s="1"/>
  <c r="S18" i="5"/>
  <c r="R24" i="5"/>
  <c r="P23" i="5"/>
  <c r="P25" i="5" s="1"/>
  <c r="P21" i="4"/>
  <c r="P22" i="4"/>
  <c r="N27" i="4"/>
  <c r="N28" i="4"/>
  <c r="N26" i="4"/>
  <c r="Q24" i="4"/>
  <c r="R18" i="4"/>
  <c r="O27" i="4"/>
  <c r="O28" i="4"/>
  <c r="O26" i="4"/>
  <c r="L27" i="3"/>
  <c r="L26" i="3"/>
  <c r="N21" i="3"/>
  <c r="N22" i="3"/>
  <c r="O24" i="3"/>
  <c r="P18" i="3"/>
  <c r="M23" i="3"/>
  <c r="M25" i="3" s="1"/>
  <c r="M28" i="1"/>
  <c r="M27" i="1"/>
  <c r="N23" i="1"/>
  <c r="N25" i="1" s="1"/>
  <c r="N26" i="1" s="1"/>
  <c r="O22" i="1"/>
  <c r="O21" i="1"/>
  <c r="P24" i="1"/>
  <c r="R19" i="5"/>
  <c r="P20" i="1"/>
  <c r="R20" i="5"/>
  <c r="O19" i="3"/>
  <c r="Q20" i="4"/>
  <c r="O20" i="3"/>
  <c r="Q19" i="4"/>
  <c r="P19" i="1"/>
  <c r="R22" i="5" l="1"/>
  <c r="R21" i="5"/>
  <c r="P28" i="5"/>
  <c r="P26" i="5"/>
  <c r="P27" i="5"/>
  <c r="S24" i="5"/>
  <c r="T18" i="5"/>
  <c r="Q28" i="5"/>
  <c r="Q26" i="5"/>
  <c r="Q27" i="5"/>
  <c r="P23" i="4"/>
  <c r="P25" i="4" s="1"/>
  <c r="P28" i="4" s="1"/>
  <c r="Q22" i="4"/>
  <c r="Q21" i="4"/>
  <c r="Q23" i="4" s="1"/>
  <c r="Q25" i="4" s="1"/>
  <c r="S18" i="4"/>
  <c r="R24" i="4"/>
  <c r="P26" i="4"/>
  <c r="P27" i="4"/>
  <c r="O22" i="3"/>
  <c r="O21" i="3"/>
  <c r="P24" i="3"/>
  <c r="Q18" i="3"/>
  <c r="M28" i="3"/>
  <c r="M26" i="3"/>
  <c r="M27" i="3"/>
  <c r="N23" i="3"/>
  <c r="N25" i="3" s="1"/>
  <c r="O23" i="1"/>
  <c r="O25" i="1" s="1"/>
  <c r="O26" i="1" s="1"/>
  <c r="N27" i="1"/>
  <c r="N28" i="1"/>
  <c r="P22" i="1"/>
  <c r="P21" i="1"/>
  <c r="Q24" i="1"/>
  <c r="P19" i="3"/>
  <c r="S19" i="5"/>
  <c r="R19" i="4"/>
  <c r="P20" i="3"/>
  <c r="Q19" i="1"/>
  <c r="S20" i="5"/>
  <c r="R20" i="4"/>
  <c r="Q20" i="1"/>
  <c r="R23" i="5" l="1"/>
  <c r="R25" i="5" s="1"/>
  <c r="R26" i="5" s="1"/>
  <c r="S22" i="5"/>
  <c r="S21" i="5"/>
  <c r="S23" i="5" s="1"/>
  <c r="S25" i="5" s="1"/>
  <c r="R27" i="5"/>
  <c r="R28" i="5"/>
  <c r="U18" i="5"/>
  <c r="T24" i="5"/>
  <c r="R22" i="4"/>
  <c r="R21" i="4"/>
  <c r="R23" i="4" s="1"/>
  <c r="R25" i="4" s="1"/>
  <c r="Q28" i="4"/>
  <c r="Q26" i="4"/>
  <c r="Q27" i="4"/>
  <c r="S24" i="4"/>
  <c r="T18" i="4"/>
  <c r="O23" i="3"/>
  <c r="O25" i="3" s="1"/>
  <c r="O28" i="3" s="1"/>
  <c r="P21" i="3"/>
  <c r="P22" i="3"/>
  <c r="N28" i="3"/>
  <c r="N27" i="3"/>
  <c r="N26" i="3"/>
  <c r="Q24" i="3"/>
  <c r="R18" i="3"/>
  <c r="O28" i="1"/>
  <c r="O27" i="1"/>
  <c r="P23" i="1"/>
  <c r="P25" i="1" s="1"/>
  <c r="P27" i="1" s="1"/>
  <c r="Q22" i="1"/>
  <c r="Q21" i="1"/>
  <c r="R24" i="1"/>
  <c r="T19" i="5"/>
  <c r="Q20" i="3"/>
  <c r="R19" i="1"/>
  <c r="S19" i="4"/>
  <c r="R20" i="1"/>
  <c r="T20" i="5"/>
  <c r="S20" i="4"/>
  <c r="Q19" i="3"/>
  <c r="T22" i="5" l="1"/>
  <c r="T21" i="5"/>
  <c r="T23" i="5" s="1"/>
  <c r="T25" i="5" s="1"/>
  <c r="S27" i="5"/>
  <c r="S28" i="5"/>
  <c r="S26" i="5"/>
  <c r="U24" i="5"/>
  <c r="V18" i="5"/>
  <c r="S22" i="4"/>
  <c r="S21" i="4"/>
  <c r="S23" i="4" s="1"/>
  <c r="S25" i="4" s="1"/>
  <c r="T24" i="4"/>
  <c r="U18" i="4"/>
  <c r="R27" i="4"/>
  <c r="R28" i="4"/>
  <c r="R26" i="4"/>
  <c r="O27" i="3"/>
  <c r="O26" i="3"/>
  <c r="P23" i="3"/>
  <c r="P25" i="3" s="1"/>
  <c r="P28" i="3" s="1"/>
  <c r="Q22" i="3"/>
  <c r="Q21" i="3"/>
  <c r="R24" i="3"/>
  <c r="S18" i="3"/>
  <c r="P26" i="1"/>
  <c r="Q23" i="1"/>
  <c r="Q25" i="1" s="1"/>
  <c r="Q26" i="1" s="1"/>
  <c r="P28" i="1"/>
  <c r="R22" i="1"/>
  <c r="R21" i="1"/>
  <c r="S24" i="1"/>
  <c r="R20" i="3"/>
  <c r="R19" i="3"/>
  <c r="T20" i="4"/>
  <c r="S20" i="1"/>
  <c r="U19" i="5"/>
  <c r="T19" i="4"/>
  <c r="U20" i="5"/>
  <c r="S19" i="1"/>
  <c r="U22" i="5" l="1"/>
  <c r="U21" i="5"/>
  <c r="U23" i="5" s="1"/>
  <c r="U25" i="5" s="1"/>
  <c r="T28" i="5"/>
  <c r="T26" i="5"/>
  <c r="T27" i="5"/>
  <c r="W18" i="5"/>
  <c r="V24" i="5"/>
  <c r="T22" i="4"/>
  <c r="T21" i="4"/>
  <c r="S27" i="4"/>
  <c r="S28" i="4"/>
  <c r="S26" i="4"/>
  <c r="U24" i="4"/>
  <c r="V18" i="4"/>
  <c r="P27" i="3"/>
  <c r="P26" i="3"/>
  <c r="R21" i="3"/>
  <c r="R22" i="3"/>
  <c r="S24" i="3"/>
  <c r="T18" i="3"/>
  <c r="Q23" i="3"/>
  <c r="Q25" i="3" s="1"/>
  <c r="Q28" i="1"/>
  <c r="Q27" i="1"/>
  <c r="R23" i="1"/>
  <c r="R25" i="1" s="1"/>
  <c r="R26" i="1" s="1"/>
  <c r="S22" i="1"/>
  <c r="S21" i="1"/>
  <c r="T24" i="1"/>
  <c r="T19" i="1"/>
  <c r="U20" i="4"/>
  <c r="V19" i="5"/>
  <c r="V20" i="5"/>
  <c r="T20" i="1"/>
  <c r="S20" i="3"/>
  <c r="U19" i="4"/>
  <c r="S19" i="3"/>
  <c r="V22" i="5" l="1"/>
  <c r="V21" i="5"/>
  <c r="T23" i="4"/>
  <c r="T25" i="4" s="1"/>
  <c r="T28" i="4" s="1"/>
  <c r="U28" i="5"/>
  <c r="U26" i="5"/>
  <c r="U27" i="5"/>
  <c r="W24" i="5"/>
  <c r="X18" i="5"/>
  <c r="U21" i="4"/>
  <c r="U22" i="4"/>
  <c r="W18" i="4"/>
  <c r="V24" i="4"/>
  <c r="S22" i="3"/>
  <c r="S21" i="3"/>
  <c r="T24" i="3"/>
  <c r="U18" i="3"/>
  <c r="Q28" i="3"/>
  <c r="Q26" i="3"/>
  <c r="Q27" i="3"/>
  <c r="R23" i="3"/>
  <c r="R25" i="3" s="1"/>
  <c r="R27" i="1"/>
  <c r="R28" i="1"/>
  <c r="S23" i="1"/>
  <c r="S25" i="1" s="1"/>
  <c r="S27" i="1" s="1"/>
  <c r="T22" i="1"/>
  <c r="T21" i="1"/>
  <c r="U24" i="1"/>
  <c r="W20" i="5"/>
  <c r="V20" i="4"/>
  <c r="T20" i="3"/>
  <c r="T19" i="3"/>
  <c r="U20" i="1"/>
  <c r="W19" i="5"/>
  <c r="V19" i="4"/>
  <c r="U19" i="1"/>
  <c r="V23" i="5" l="1"/>
  <c r="V25" i="5" s="1"/>
  <c r="V27" i="5" s="1"/>
  <c r="W21" i="5"/>
  <c r="W22" i="5"/>
  <c r="Y18" i="5"/>
  <c r="X24" i="5"/>
  <c r="T27" i="4"/>
  <c r="T26" i="4"/>
  <c r="V22" i="4"/>
  <c r="V21" i="4"/>
  <c r="W24" i="4"/>
  <c r="X18" i="4"/>
  <c r="U23" i="4"/>
  <c r="U25" i="4" s="1"/>
  <c r="S23" i="3"/>
  <c r="S25" i="3" s="1"/>
  <c r="S28" i="3" s="1"/>
  <c r="T21" i="3"/>
  <c r="T22" i="3"/>
  <c r="R28" i="3"/>
  <c r="R27" i="3"/>
  <c r="R26" i="3"/>
  <c r="U24" i="3"/>
  <c r="V18" i="3"/>
  <c r="T23" i="1"/>
  <c r="T25" i="1" s="1"/>
  <c r="T27" i="1" s="1"/>
  <c r="S26" i="1"/>
  <c r="S28" i="1"/>
  <c r="U22" i="1"/>
  <c r="U21" i="1"/>
  <c r="V24" i="1"/>
  <c r="X19" i="5"/>
  <c r="V19" i="1"/>
  <c r="U19" i="3"/>
  <c r="W20" i="4"/>
  <c r="X20" i="5"/>
  <c r="W19" i="4"/>
  <c r="U20" i="3"/>
  <c r="V20" i="1"/>
  <c r="V26" i="5" l="1"/>
  <c r="V28" i="5"/>
  <c r="X22" i="5"/>
  <c r="X21" i="5"/>
  <c r="X23" i="5" s="1"/>
  <c r="X25" i="5" s="1"/>
  <c r="Y24" i="5"/>
  <c r="Z18" i="5"/>
  <c r="V23" i="4"/>
  <c r="V25" i="4" s="1"/>
  <c r="W23" i="5"/>
  <c r="W25" i="5" s="1"/>
  <c r="W22" i="4"/>
  <c r="W21" i="4"/>
  <c r="W23" i="4" s="1"/>
  <c r="W25" i="4" s="1"/>
  <c r="U28" i="4"/>
  <c r="U26" i="4"/>
  <c r="U27" i="4"/>
  <c r="V27" i="4"/>
  <c r="V28" i="4"/>
  <c r="V26" i="4"/>
  <c r="X24" i="4"/>
  <c r="Y18" i="4"/>
  <c r="S26" i="3"/>
  <c r="S27" i="3"/>
  <c r="U22" i="3"/>
  <c r="U21" i="3"/>
  <c r="V24" i="3"/>
  <c r="W18" i="3"/>
  <c r="T23" i="3"/>
  <c r="T25" i="3" s="1"/>
  <c r="T26" i="1"/>
  <c r="T28" i="1"/>
  <c r="U23" i="1"/>
  <c r="U25" i="1" s="1"/>
  <c r="U26" i="1" s="1"/>
  <c r="V22" i="1"/>
  <c r="V21" i="1"/>
  <c r="W24" i="1"/>
  <c r="Y19" i="5"/>
  <c r="W19" i="1"/>
  <c r="W20" i="1"/>
  <c r="V20" i="3"/>
  <c r="V19" i="3"/>
  <c r="X20" i="4"/>
  <c r="X19" i="4"/>
  <c r="Y20" i="5"/>
  <c r="Y22" i="5" l="1"/>
  <c r="Y21" i="5"/>
  <c r="Y23" i="5" s="1"/>
  <c r="Y25" i="5" s="1"/>
  <c r="W27" i="5"/>
  <c r="W28" i="5"/>
  <c r="W26" i="5"/>
  <c r="AA18" i="5"/>
  <c r="Z24" i="5"/>
  <c r="X28" i="5"/>
  <c r="X26" i="5"/>
  <c r="X27" i="5"/>
  <c r="X21" i="4"/>
  <c r="X22" i="4"/>
  <c r="Y24" i="4"/>
  <c r="Z18" i="4"/>
  <c r="W27" i="4"/>
  <c r="W28" i="4"/>
  <c r="W26" i="4"/>
  <c r="U23" i="3"/>
  <c r="U25" i="3" s="1"/>
  <c r="U28" i="3" s="1"/>
  <c r="V21" i="3"/>
  <c r="V22" i="3"/>
  <c r="T28" i="3"/>
  <c r="T27" i="3"/>
  <c r="T26" i="3"/>
  <c r="W24" i="3"/>
  <c r="X18" i="3"/>
  <c r="V23" i="1"/>
  <c r="V25" i="1" s="1"/>
  <c r="V26" i="1" s="1"/>
  <c r="U28" i="1"/>
  <c r="U27" i="1"/>
  <c r="W22" i="1"/>
  <c r="W21" i="1"/>
  <c r="X24" i="1"/>
  <c r="W19" i="3"/>
  <c r="X19" i="1"/>
  <c r="Z19" i="5"/>
  <c r="Y20" i="4"/>
  <c r="W20" i="3"/>
  <c r="Y19" i="4"/>
  <c r="X20" i="1"/>
  <c r="Z20" i="5"/>
  <c r="Z22" i="5" l="1"/>
  <c r="Z21" i="5"/>
  <c r="Z23" i="5" s="1"/>
  <c r="Z25" i="5" s="1"/>
  <c r="Y28" i="5"/>
  <c r="Y26" i="5"/>
  <c r="Y27" i="5"/>
  <c r="AA24" i="5"/>
  <c r="AB18" i="5"/>
  <c r="Y22" i="4"/>
  <c r="Y21" i="4"/>
  <c r="Y23" i="4" s="1"/>
  <c r="Y25" i="4" s="1"/>
  <c r="AA18" i="4"/>
  <c r="Z24" i="4"/>
  <c r="X23" i="4"/>
  <c r="X25" i="4" s="1"/>
  <c r="U26" i="3"/>
  <c r="U27" i="3"/>
  <c r="W22" i="3"/>
  <c r="W21" i="3"/>
  <c r="X24" i="3"/>
  <c r="Y18" i="3"/>
  <c r="V23" i="3"/>
  <c r="V25" i="3" s="1"/>
  <c r="V27" i="1"/>
  <c r="V28" i="1"/>
  <c r="W23" i="1"/>
  <c r="W25" i="1" s="1"/>
  <c r="W27" i="1" s="1"/>
  <c r="X22" i="1"/>
  <c r="X21" i="1"/>
  <c r="Y24" i="1"/>
  <c r="Z20" i="4"/>
  <c r="Y19" i="1"/>
  <c r="AA19" i="5"/>
  <c r="Y20" i="1"/>
  <c r="X20" i="3"/>
  <c r="AA20" i="5"/>
  <c r="Z19" i="4"/>
  <c r="X19" i="3"/>
  <c r="AA22" i="5" l="1"/>
  <c r="AA21" i="5"/>
  <c r="Z27" i="5"/>
  <c r="Z28" i="5"/>
  <c r="Z26" i="5"/>
  <c r="AC18" i="5"/>
  <c r="AB24" i="5"/>
  <c r="Z22" i="4"/>
  <c r="Z21" i="4"/>
  <c r="X28" i="4"/>
  <c r="X26" i="4"/>
  <c r="X27" i="4"/>
  <c r="AA24" i="4"/>
  <c r="AB18" i="4"/>
  <c r="Y28" i="4"/>
  <c r="Y26" i="4"/>
  <c r="Y27" i="4"/>
  <c r="X21" i="3"/>
  <c r="X22" i="3"/>
  <c r="V28" i="3"/>
  <c r="V27" i="3"/>
  <c r="V26" i="3"/>
  <c r="Y24" i="3"/>
  <c r="Z18" i="3"/>
  <c r="W23" i="3"/>
  <c r="W25" i="3" s="1"/>
  <c r="W26" i="1"/>
  <c r="W28" i="1"/>
  <c r="X23" i="1"/>
  <c r="X25" i="1" s="1"/>
  <c r="X26" i="1" s="1"/>
  <c r="Y22" i="1"/>
  <c r="Y21" i="1"/>
  <c r="Z24" i="1"/>
  <c r="AB20" i="5"/>
  <c r="Z19" i="1"/>
  <c r="AA19" i="4"/>
  <c r="AA20" i="4"/>
  <c r="AB19" i="5"/>
  <c r="Y19" i="3"/>
  <c r="Y20" i="3"/>
  <c r="Z20" i="1"/>
  <c r="AA23" i="5" l="1"/>
  <c r="AA25" i="5" s="1"/>
  <c r="AA27" i="5" s="1"/>
  <c r="AB21" i="5"/>
  <c r="AB22" i="5"/>
  <c r="Z23" i="4"/>
  <c r="Z25" i="4" s="1"/>
  <c r="Z27" i="4" s="1"/>
  <c r="AC24" i="5"/>
  <c r="AD18" i="5"/>
  <c r="AA22" i="4"/>
  <c r="AA21" i="4"/>
  <c r="AA23" i="4" s="1"/>
  <c r="AA25" i="4" s="1"/>
  <c r="Z28" i="4"/>
  <c r="Z26" i="4"/>
  <c r="AC18" i="4"/>
  <c r="AB24" i="4"/>
  <c r="Y21" i="3"/>
  <c r="Y22" i="3"/>
  <c r="W27" i="3"/>
  <c r="W28" i="3"/>
  <c r="W26" i="3"/>
  <c r="Z24" i="3"/>
  <c r="AA18" i="3"/>
  <c r="X23" i="3"/>
  <c r="X25" i="3" s="1"/>
  <c r="X27" i="1"/>
  <c r="Y23" i="1"/>
  <c r="Y25" i="1" s="1"/>
  <c r="Y28" i="1" s="1"/>
  <c r="X28" i="1"/>
  <c r="Z22" i="1"/>
  <c r="Z21" i="1"/>
  <c r="AA24" i="1"/>
  <c r="AC19" i="5"/>
  <c r="AB20" i="4"/>
  <c r="AA19" i="1"/>
  <c r="AB19" i="4"/>
  <c r="Z20" i="3"/>
  <c r="Z19" i="3"/>
  <c r="AA20" i="1"/>
  <c r="AC20" i="5"/>
  <c r="AA26" i="5" l="1"/>
  <c r="AA28" i="5"/>
  <c r="AC22" i="5"/>
  <c r="AC21" i="5"/>
  <c r="AC23" i="5" s="1"/>
  <c r="AC25" i="5" s="1"/>
  <c r="AE18" i="5"/>
  <c r="AD24" i="5"/>
  <c r="AB23" i="5"/>
  <c r="AB25" i="5" s="1"/>
  <c r="AB22" i="4"/>
  <c r="AB21" i="4"/>
  <c r="AA27" i="4"/>
  <c r="AA28" i="4"/>
  <c r="AA26" i="4"/>
  <c r="AC24" i="4"/>
  <c r="AD18" i="4"/>
  <c r="Y23" i="3"/>
  <c r="Y25" i="3" s="1"/>
  <c r="Y26" i="3" s="1"/>
  <c r="Z21" i="3"/>
  <c r="Z22" i="3"/>
  <c r="X28" i="3"/>
  <c r="X27" i="3"/>
  <c r="X26" i="3"/>
  <c r="AA24" i="3"/>
  <c r="AB18" i="3"/>
  <c r="Y27" i="1"/>
  <c r="Y26" i="1"/>
  <c r="Z23" i="1"/>
  <c r="Z25" i="1" s="1"/>
  <c r="Z26" i="1" s="1"/>
  <c r="AA22" i="1"/>
  <c r="AA21" i="1"/>
  <c r="AB24" i="1"/>
  <c r="AD19" i="5"/>
  <c r="AC19" i="4"/>
  <c r="AB20" i="1"/>
  <c r="AD20" i="5"/>
  <c r="AC20" i="4"/>
  <c r="AB19" i="1"/>
  <c r="AA19" i="3"/>
  <c r="AA20" i="3"/>
  <c r="AD22" i="5" l="1"/>
  <c r="AD21" i="5"/>
  <c r="AD23" i="5" s="1"/>
  <c r="AD25" i="5" s="1"/>
  <c r="AB28" i="5"/>
  <c r="AB26" i="5"/>
  <c r="AB27" i="5"/>
  <c r="AE24" i="5"/>
  <c r="AC28" i="5"/>
  <c r="AC26" i="5"/>
  <c r="AC27" i="5"/>
  <c r="AB23" i="4"/>
  <c r="AB25" i="4" s="1"/>
  <c r="AB27" i="4" s="1"/>
  <c r="AC22" i="4"/>
  <c r="AC21" i="4"/>
  <c r="AC23" i="4" s="1"/>
  <c r="AC25" i="4" s="1"/>
  <c r="AB26" i="4"/>
  <c r="AE18" i="4"/>
  <c r="AD24" i="4"/>
  <c r="Y28" i="3"/>
  <c r="Y27" i="3"/>
  <c r="AA21" i="3"/>
  <c r="AA22" i="3"/>
  <c r="AB24" i="3"/>
  <c r="AC18" i="3"/>
  <c r="Z23" i="3"/>
  <c r="Z25" i="3" s="1"/>
  <c r="Z27" i="1"/>
  <c r="Z28" i="1"/>
  <c r="AA23" i="1"/>
  <c r="AA25" i="1" s="1"/>
  <c r="AA27" i="1" s="1"/>
  <c r="AB22" i="1"/>
  <c r="AB21" i="1"/>
  <c r="AC24" i="1"/>
  <c r="AD19" i="4"/>
  <c r="AB19" i="3"/>
  <c r="AE19" i="5"/>
  <c r="AB20" i="3"/>
  <c r="AC20" i="1"/>
  <c r="AE20" i="5"/>
  <c r="AC19" i="1"/>
  <c r="AD20" i="4"/>
  <c r="AE22" i="5" l="1"/>
  <c r="AE21" i="5"/>
  <c r="AB28" i="4"/>
  <c r="AD27" i="5"/>
  <c r="AD28" i="5"/>
  <c r="AD26" i="5"/>
  <c r="AD22" i="4"/>
  <c r="AD21" i="4"/>
  <c r="AD23" i="4" s="1"/>
  <c r="AD25" i="4" s="1"/>
  <c r="AE24" i="4"/>
  <c r="AC28" i="4"/>
  <c r="AC26" i="4"/>
  <c r="AC27" i="4"/>
  <c r="AB21" i="3"/>
  <c r="AB22" i="3"/>
  <c r="Z28" i="3"/>
  <c r="Z27" i="3"/>
  <c r="Z26" i="3"/>
  <c r="AC24" i="3"/>
  <c r="AD18" i="3"/>
  <c r="AA23" i="3"/>
  <c r="AA25" i="3" s="1"/>
  <c r="AA26" i="1"/>
  <c r="AA28" i="1"/>
  <c r="AB23" i="1"/>
  <c r="AB25" i="1" s="1"/>
  <c r="AB26" i="1" s="1"/>
  <c r="AC22" i="1"/>
  <c r="AC21" i="1"/>
  <c r="AD24" i="1"/>
  <c r="AC20" i="3"/>
  <c r="AC19" i="3"/>
  <c r="AE19" i="4"/>
  <c r="AD20" i="1"/>
  <c r="AE20" i="4"/>
  <c r="AD19" i="1"/>
  <c r="AE23" i="5" l="1"/>
  <c r="AE25" i="5" s="1"/>
  <c r="AE27" i="5" s="1"/>
  <c r="AE22" i="4"/>
  <c r="AE21" i="4"/>
  <c r="AD27" i="4"/>
  <c r="AD28" i="4"/>
  <c r="AD26" i="4"/>
  <c r="AB23" i="3"/>
  <c r="AB25" i="3" s="1"/>
  <c r="AB28" i="3" s="1"/>
  <c r="AC22" i="3"/>
  <c r="AC21" i="3"/>
  <c r="AD24" i="3"/>
  <c r="AE18" i="3"/>
  <c r="AA27" i="3"/>
  <c r="AA28" i="3"/>
  <c r="AA26" i="3"/>
  <c r="AC23" i="1"/>
  <c r="AC25" i="1" s="1"/>
  <c r="AC26" i="1" s="1"/>
  <c r="AB27" i="1"/>
  <c r="AB28" i="1"/>
  <c r="AD22" i="1"/>
  <c r="AD21" i="1"/>
  <c r="AE24" i="1"/>
  <c r="AE20" i="1"/>
  <c r="AD19" i="3"/>
  <c r="AE19" i="1"/>
  <c r="AD20" i="3"/>
  <c r="AE26" i="5" l="1"/>
  <c r="AE28" i="5"/>
  <c r="AC27" i="1"/>
  <c r="AE23" i="4"/>
  <c r="AE25" i="4" s="1"/>
  <c r="AC28" i="1"/>
  <c r="AC23" i="3"/>
  <c r="AC25" i="3" s="1"/>
  <c r="AC28" i="3" s="1"/>
  <c r="AB27" i="3"/>
  <c r="AB26" i="3"/>
  <c r="AD21" i="3"/>
  <c r="AD22" i="3"/>
  <c r="AE24" i="3"/>
  <c r="AD23" i="1"/>
  <c r="AD25" i="1" s="1"/>
  <c r="AD26" i="1" s="1"/>
  <c r="AE21" i="1"/>
  <c r="AE22" i="1"/>
  <c r="AE19" i="3"/>
  <c r="AE20" i="3"/>
  <c r="AE27" i="4" l="1"/>
  <c r="AE28" i="4"/>
  <c r="AE26" i="4"/>
  <c r="AC26" i="3"/>
  <c r="AC27" i="3"/>
  <c r="AD23" i="3"/>
  <c r="AD25" i="3" s="1"/>
  <c r="AD28" i="3" s="1"/>
  <c r="AE22" i="3"/>
  <c r="AE21" i="3"/>
  <c r="AD27" i="1"/>
  <c r="AD28" i="1"/>
  <c r="AE23" i="1"/>
  <c r="AE25" i="1" s="1"/>
  <c r="AE27" i="1" s="1"/>
  <c r="AD27" i="3" l="1"/>
  <c r="AD26" i="3"/>
  <c r="AE23" i="3"/>
  <c r="AE25" i="3" s="1"/>
  <c r="AE27" i="3" s="1"/>
  <c r="AE26" i="1"/>
  <c r="AE28" i="1"/>
  <c r="AE28" i="3" l="1"/>
  <c r="AE26" i="3"/>
</calcChain>
</file>

<file path=xl/sharedStrings.xml><?xml version="1.0" encoding="utf-8"?>
<sst xmlns="http://schemas.openxmlformats.org/spreadsheetml/2006/main" count="123" uniqueCount="35">
  <si>
    <t># #61 mix u'</t>
  </si>
  <si>
    <t># #61 mix u''</t>
  </si>
  <si>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</si>
  <si>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</si>
  <si>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</si>
  <si>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</si>
  <si>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</si>
  <si>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</si>
  <si>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</si>
  <si>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</si>
  <si>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</si>
  <si>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</si>
  <si>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</si>
  <si>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</si>
  <si>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</si>
  <si>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</si>
  <si>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</si>
  <si>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</si>
  <si>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</si>
  <si>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</si>
  <si>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µ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</si>
  <si>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</si>
  <si>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</si>
  <si>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</si>
  <si>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</si>
  <si>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</si>
  <si>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</si>
  <si>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</si>
  <si>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</si>
  <si>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</si>
  <si>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</si>
  <si>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F14</t>
  </si>
  <si>
    <t>Neosid 28-053-31</t>
  </si>
  <si>
    <t>Neosid 42-001-31</t>
  </si>
  <si>
    <t>Neosid 28-042-31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</si>
</sst>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"/>
  </numFmts>
  <fonts count="6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17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2" fillId="0" borderId="0" xfId="0" applyFont="1"/>
    <xf numFmtId="0" fontId="3" fillId="0" borderId="0" xfId="0" applyFont="1"/>
    <xf numFmtId="164" fontId="0" fillId="2" borderId="0" xfId="0" applyNumberFormat="1" applyFill="1"/>
    <xf numFmtId="0" fontId="2" fillId="0" borderId="0" xfId="0" applyFont="1" applyAlignment="1">
      <alignment horizontal="right"/>
    </xf>
    <xf numFmtId="14" fontId="0" fillId="0" borderId="0" xfId="0" applyNumberFormat="1"/>
    <xf numFmtId="0" fontId="4" fillId="0" borderId="0" xfId="1" applyFont="1" applyAlignment="1" applyProtection="1"/>
    <xf numFmtId="2" fontId="0" fillId="0" borderId="0" xfId="0" applyNumberFormat="1"/>
    <xf numFmtId="0" fontId="5" fillId="0" borderId="0" xfId="0" applyFont="1"/>
    <xf numFmtId="0" fontId="0" fillId="0" borderId="1" xfId="0" applyBorder="1" applyAlignment="1">
      <alignment horizont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Zcm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Choke!$A$26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Choke!$B$26:$AE$26</c:f>
              <c:numCache>
                <c:formatCode>0</c:formatCode>
                <c:ptCount val="30"/>
                <c:pt idx="0">
                  <c:v>4.0113908481022698</c:v>
                </c:pt>
                <c:pt idx="1">
                  <c:v>4.7619275251899698</c:v>
                </c:pt>
                <c:pt idx="2">
                  <c:v>5.72418409948048</c:v>
                </c:pt>
                <c:pt idx="3">
                  <c:v>7.0680803302587796</c:v>
                </c:pt>
                <c:pt idx="4">
                  <c:v>8.8285349901302599</c:v>
                </c:pt>
                <c:pt idx="5">
                  <c:v>11.3615513561417</c:v>
                </c:pt>
                <c:pt idx="6">
                  <c:v>15.315819579761</c:v>
                </c:pt>
                <c:pt idx="7">
                  <c:v>21.3102891696923</c:v>
                </c:pt>
                <c:pt idx="8">
                  <c:v>31.436862521684599</c:v>
                </c:pt>
                <c:pt idx="9">
                  <c:v>49.176686241948197</c:v>
                </c:pt>
                <c:pt idx="10">
                  <c:v>89.977248496486894</c:v>
                </c:pt>
                <c:pt idx="11">
                  <c:v>198.72010925098701</c:v>
                </c:pt>
                <c:pt idx="12">
                  <c:v>552.50447444114002</c:v>
                </c:pt>
                <c:pt idx="13">
                  <c:v>2252.6052991247202</c:v>
                </c:pt>
                <c:pt idx="14">
                  <c:v>15101.188421450899</c:v>
                </c:pt>
                <c:pt idx="15">
                  <c:v>11984.9676155539</c:v>
                </c:pt>
                <c:pt idx="16">
                  <c:v>3624.1637891749701</c:v>
                </c:pt>
                <c:pt idx="17">
                  <c:v>1647.02430955766</c:v>
                </c:pt>
                <c:pt idx="18">
                  <c:v>922.19977011680601</c:v>
                </c:pt>
                <c:pt idx="19">
                  <c:v>588.14851707223295</c:v>
                </c:pt>
                <c:pt idx="20">
                  <c:v>392.48855193928603</c:v>
                </c:pt>
                <c:pt idx="21">
                  <c:v>264.800702030644</c:v>
                </c:pt>
                <c:pt idx="22">
                  <c:v>180.251080932587</c:v>
                </c:pt>
                <c:pt idx="23">
                  <c:v>123.692707590212</c:v>
                </c:pt>
                <c:pt idx="24">
                  <c:v>85.125313659121701</c:v>
                </c:pt>
                <c:pt idx="25">
                  <c:v>59.645468909617698</c:v>
                </c:pt>
                <c:pt idx="26">
                  <c:v>43.707712125190398</c:v>
                </c:pt>
                <c:pt idx="27">
                  <c:v>32.944652341325103</c:v>
                </c:pt>
                <c:pt idx="28">
                  <c:v>19.643702585748699</c:v>
                </c:pt>
                <c:pt idx="29">
                  <c:v>7.11350117234372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34-44F4-8E0B-B2973F7091E8}"/>
            </c:ext>
          </c:extLst>
        </c:ser>
        <c:ser>
          <c:idx val="1"/>
          <c:order val="1"/>
          <c:tx>
            <c:strRef>
              <c:f>Choke!$A$27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Choke!$B$27:$AE$27</c:f>
              <c:numCache>
                <c:formatCode>0</c:formatCode>
                <c:ptCount val="30"/>
                <c:pt idx="0">
                  <c:v>447.77303316797901</c:v>
                </c:pt>
                <c:pt idx="1">
                  <c:v>518.18713280857298</c:v>
                </c:pt>
                <c:pt idx="2">
                  <c:v>601.16252492734702</c:v>
                </c:pt>
                <c:pt idx="3">
                  <c:v>697.427079859939</c:v>
                </c:pt>
                <c:pt idx="4">
                  <c:v>812.41792470615303</c:v>
                </c:pt>
                <c:pt idx="5">
                  <c:v>955.63213642315895</c:v>
                </c:pt>
                <c:pt idx="6">
                  <c:v>1132.03052447052</c:v>
                </c:pt>
                <c:pt idx="7">
                  <c:v>1353.8222250153301</c:v>
                </c:pt>
                <c:pt idx="8">
                  <c:v>1646.85816280732</c:v>
                </c:pt>
                <c:pt idx="9">
                  <c:v>2066.1446437248901</c:v>
                </c:pt>
                <c:pt idx="10">
                  <c:v>2690.2235515166099</c:v>
                </c:pt>
                <c:pt idx="11">
                  <c:v>3677.06490449173</c:v>
                </c:pt>
                <c:pt idx="12">
                  <c:v>5303.1171141018403</c:v>
                </c:pt>
                <c:pt idx="13">
                  <c:v>8836.1870391371594</c:v>
                </c:pt>
                <c:pt idx="14">
                  <c:v>13186.640784867601</c:v>
                </c:pt>
                <c:pt idx="15">
                  <c:v>-10674.8571796792</c:v>
                </c:pt>
                <c:pt idx="16">
                  <c:v>-7001.5678775504803</c:v>
                </c:pt>
                <c:pt idx="17">
                  <c:v>-4901.60982431913</c:v>
                </c:pt>
                <c:pt idx="18">
                  <c:v>-3702.8321672064899</c:v>
                </c:pt>
                <c:pt idx="19">
                  <c:v>-2938.3138157856101</c:v>
                </c:pt>
                <c:pt idx="20">
                  <c:v>-2390.0076612248399</c:v>
                </c:pt>
                <c:pt idx="21">
                  <c:v>-1973.5065741466201</c:v>
                </c:pt>
                <c:pt idx="22">
                  <c:v>-1649.5479459466701</c:v>
                </c:pt>
                <c:pt idx="23">
                  <c:v>-1391.6314381536799</c:v>
                </c:pt>
                <c:pt idx="24">
                  <c:v>-1183.27187424057</c:v>
                </c:pt>
                <c:pt idx="25">
                  <c:v>-1011.75690291517</c:v>
                </c:pt>
                <c:pt idx="26">
                  <c:v>-866.735027708129</c:v>
                </c:pt>
                <c:pt idx="27">
                  <c:v>-740.44540292025704</c:v>
                </c:pt>
                <c:pt idx="28">
                  <c:v>-631.63036920407706</c:v>
                </c:pt>
                <c:pt idx="29">
                  <c:v>-546.61111913343905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34-44F4-8E0B-B2973F7091E8}"/>
            </c:ext>
          </c:extLst>
        </c:ser>
        <c:ser>
          <c:idx val="2"/>
          <c:order val="2"/>
          <c:tx>
            <c:strRef>
              <c:f>Choke!$A$28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Choke!$B$28:$AE$28</c:f>
              <c:numCache>
                <c:formatCode>0</c:formatCode>
                <c:ptCount val="30"/>
                <c:pt idx="0">
                  <c:v>447.7910009021935</c:v>
                </c:pt>
                <c:pt idx="1">
                  <c:v>518.20901242850346</c:v>
                </c:pt>
                <c:pt idx="2">
                  <c:v>601.18977674327414</c:v>
                </c:pt>
                <c:pt idx="3">
                  <c:v>697.46289469871931</c:v>
                </c:pt>
                <c:pt idx="4">
                  <c:v>812.46589307731824</c:v>
                </c:pt>
                <c:pt idx="5">
                  <c:v>955.69967302176542</c:v>
                </c:pt>
                <c:pt idx="6">
                  <c:v>1132.1341275053942</c:v>
                </c:pt>
                <c:pt idx="7">
                  <c:v>1353.9899354758716</c:v>
                </c:pt>
                <c:pt idx="8">
                  <c:v>1647.1581844893674</c:v>
                </c:pt>
                <c:pt idx="9">
                  <c:v>2066.7297925134753</c:v>
                </c:pt>
                <c:pt idx="10">
                  <c:v>2691.7278210067302</c:v>
                </c:pt>
                <c:pt idx="11">
                  <c:v>3682.4307181080135</c:v>
                </c:pt>
                <c:pt idx="12">
                  <c:v>5331.820732184955</c:v>
                </c:pt>
                <c:pt idx="13">
                  <c:v>9118.7955358292947</c:v>
                </c:pt>
                <c:pt idx="14">
                  <c:v>20048.276407943307</c:v>
                </c:pt>
                <c:pt idx="15">
                  <c:v>16049.673658751581</c:v>
                </c:pt>
                <c:pt idx="16">
                  <c:v>7883.9403799568272</c:v>
                </c:pt>
                <c:pt idx="17">
                  <c:v>5170.9252504881269</c:v>
                </c:pt>
                <c:pt idx="18">
                  <c:v>3815.9426718050418</c:v>
                </c:pt>
                <c:pt idx="19">
                  <c:v>2996.5991987869947</c:v>
                </c:pt>
                <c:pt idx="20">
                  <c:v>2422.0206200849793</c:v>
                </c:pt>
                <c:pt idx="21">
                  <c:v>1991.1925095268543</c:v>
                </c:pt>
                <c:pt idx="22">
                  <c:v>1659.367011289017</c:v>
                </c:pt>
                <c:pt idx="23">
                  <c:v>1397.1177278843315</c:v>
                </c:pt>
                <c:pt idx="24">
                  <c:v>1186.32990664248</c:v>
                </c:pt>
                <c:pt idx="25">
                  <c:v>1013.5134989520095</c:v>
                </c:pt>
                <c:pt idx="26">
                  <c:v>867.83637418319222</c:v>
                </c:pt>
                <c:pt idx="27">
                  <c:v>741.17794410224633</c:v>
                </c:pt>
                <c:pt idx="28">
                  <c:v>631.93575492462526</c:v>
                </c:pt>
                <c:pt idx="29">
                  <c:v>546.65740410172771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34-44F4-8E0B-B2973F709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133008"/>
        <c:axId val="350544400"/>
      </c:scatterChart>
      <c:valAx>
        <c:axId val="45213300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286579687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544400"/>
        <c:crosses val="autoZero"/>
        <c:crossBetween val="midCat"/>
      </c:valAx>
      <c:valAx>
        <c:axId val="350544400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21330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Complex permeability</a:t>
            </a:r>
          </a:p>
        </c:rich>
      </c:tx>
      <c:layout>
        <c:manualLayout>
          <c:xMode val="edge"/>
          <c:yMode val="edge"/>
          <c:x val="0.3979936360080770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662207357859535E-2"/>
          <c:y val="0.18080376848904037"/>
          <c:w val="0.78093715710285383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Choke!$A$19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Choke!$B$19:$AE$19</c:f>
              <c:numCache>
                <c:formatCode>0</c:formatCode>
                <c:ptCount val="30"/>
                <c:pt idx="0">
                  <c:v>1.9121445035223179</c:v>
                </c:pt>
                <c:pt idx="1">
                  <c:v>1.9574362303797543</c:v>
                </c:pt>
                <c:pt idx="2">
                  <c:v>2.0226374329293155</c:v>
                </c:pt>
                <c:pt idx="3">
                  <c:v>2.13811662060994</c:v>
                </c:pt>
                <c:pt idx="4">
                  <c:v>2.2733346634365299</c:v>
                </c:pt>
                <c:pt idx="5">
                  <c:v>2.4696466463547706</c:v>
                </c:pt>
                <c:pt idx="6">
                  <c:v>2.7791213259113334</c:v>
                </c:pt>
                <c:pt idx="7">
                  <c:v>3.1775320463613363</c:v>
                </c:pt>
                <c:pt idx="8">
                  <c:v>3.761712878740791</c:v>
                </c:pt>
                <c:pt idx="9">
                  <c:v>4.5431176223534013</c:v>
                </c:pt>
                <c:pt idx="10">
                  <c:v>6.0421780525816695</c:v>
                </c:pt>
                <c:pt idx="11">
                  <c:v>8.8077479841265731</c:v>
                </c:pt>
                <c:pt idx="12">
                  <c:v>13.980324367016085</c:v>
                </c:pt>
                <c:pt idx="13">
                  <c:v>23.484815673283332</c:v>
                </c:pt>
                <c:pt idx="14">
                  <c:v>38.259354026927227</c:v>
                </c:pt>
                <c:pt idx="15">
                  <c:v>56.472371106696684</c:v>
                </c:pt>
                <c:pt idx="16">
                  <c:v>80.674965517493945</c:v>
                </c:pt>
                <c:pt idx="17">
                  <c:v>95.766108505532216</c:v>
                </c:pt>
                <c:pt idx="18">
                  <c:v>106.15987426408267</c:v>
                </c:pt>
                <c:pt idx="19">
                  <c:v>111.79845317976333</c:v>
                </c:pt>
                <c:pt idx="20">
                  <c:v>115.41576165229573</c:v>
                </c:pt>
                <c:pt idx="21">
                  <c:v>118.74905396107683</c:v>
                </c:pt>
                <c:pt idx="22">
                  <c:v>121.58877771325294</c:v>
                </c:pt>
                <c:pt idx="23">
                  <c:v>124.23422193122427</c:v>
                </c:pt>
                <c:pt idx="24">
                  <c:v>125.68862620524732</c:v>
                </c:pt>
                <c:pt idx="25">
                  <c:v>126.48837881104612</c:v>
                </c:pt>
                <c:pt idx="26">
                  <c:v>131.67124057216782</c:v>
                </c:pt>
                <c:pt idx="27">
                  <c:v>151.46200540619219</c:v>
                </c:pt>
                <c:pt idx="28">
                  <c:v>204.89884681421552</c:v>
                </c:pt>
                <c:pt idx="29">
                  <c:v>325.6578397936072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A6-4F39-9B91-40D3ED9AD331}"/>
            </c:ext>
          </c:extLst>
        </c:ser>
        <c:ser>
          <c:idx val="1"/>
          <c:order val="1"/>
          <c:tx>
            <c:strRef>
              <c:f>Choke!$A$20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Choke!$B$20:$AE$20</c:f>
              <c:numCache>
                <c:formatCode>0</c:formatCode>
                <c:ptCount val="30"/>
                <c:pt idx="0">
                  <c:v>216.56677081846061</c:v>
                </c:pt>
                <c:pt idx="1">
                  <c:v>217.14871349507604</c:v>
                </c:pt>
                <c:pt idx="2">
                  <c:v>217.9262915874186</c:v>
                </c:pt>
                <c:pt idx="3">
                  <c:v>218.26130634875207</c:v>
                </c:pt>
                <c:pt idx="4">
                  <c:v>218.86564770997416</c:v>
                </c:pt>
                <c:pt idx="5">
                  <c:v>220.69798291534474</c:v>
                </c:pt>
                <c:pt idx="6">
                  <c:v>222.86931423204547</c:v>
                </c:pt>
                <c:pt idx="7">
                  <c:v>225.43540443442456</c:v>
                </c:pt>
                <c:pt idx="8">
                  <c:v>229.21687247983448</c:v>
                </c:pt>
                <c:pt idx="9">
                  <c:v>235.77294877348464</c:v>
                </c:pt>
                <c:pt idx="10">
                  <c:v>244.24136720170733</c:v>
                </c:pt>
                <c:pt idx="11">
                  <c:v>253.20428554657747</c:v>
                </c:pt>
                <c:pt idx="12">
                  <c:v>258.23510458974437</c:v>
                </c:pt>
                <c:pt idx="13">
                  <c:v>263.84961579974163</c:v>
                </c:pt>
                <c:pt idx="14">
                  <c:v>265.12039210045725</c:v>
                </c:pt>
                <c:pt idx="15">
                  <c:v>266.95307501135346</c:v>
                </c:pt>
                <c:pt idx="16">
                  <c:v>259.57203478269071</c:v>
                </c:pt>
                <c:pt idx="17">
                  <c:v>251.20457283472493</c:v>
                </c:pt>
                <c:pt idx="18">
                  <c:v>237.84015515956833</c:v>
                </c:pt>
                <c:pt idx="19">
                  <c:v>218.25882830152995</c:v>
                </c:pt>
                <c:pt idx="20">
                  <c:v>198.96334379253616</c:v>
                </c:pt>
                <c:pt idx="21">
                  <c:v>182.68089201570345</c:v>
                </c:pt>
                <c:pt idx="22">
                  <c:v>168.49007711967346</c:v>
                </c:pt>
                <c:pt idx="23">
                  <c:v>155.67988040016419</c:v>
                </c:pt>
                <c:pt idx="24">
                  <c:v>144.24901848827639</c:v>
                </c:pt>
                <c:pt idx="25">
                  <c:v>131.93407537755965</c:v>
                </c:pt>
                <c:pt idx="26">
                  <c:v>113.8081278926735</c:v>
                </c:pt>
                <c:pt idx="27">
                  <c:v>80.072509261330453</c:v>
                </c:pt>
                <c:pt idx="28">
                  <c:v>12.66483834112536</c:v>
                </c:pt>
                <c:pt idx="29">
                  <c:v>-120.18242149596054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A6-4F39-9B91-40D3ED9AD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662376"/>
        <c:axId val="446662768"/>
      </c:scatterChart>
      <c:valAx>
        <c:axId val="446662376"/>
        <c:scaling>
          <c:logBase val="10"/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5167187475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6662768"/>
        <c:crosses val="autoZero"/>
        <c:crossBetween val="midCat"/>
      </c:valAx>
      <c:valAx>
        <c:axId val="446662768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permeability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66623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7767909205746467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Zcm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'28-053-31'!$A$26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'28-053-31'!$B$18:$AE$18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'28-053-31'!$B$26:$AE$26</c:f>
              <c:numCache>
                <c:formatCode>0</c:formatCode>
                <c:ptCount val="30"/>
                <c:pt idx="0">
                  <c:v>1.4531940952926801</c:v>
                </c:pt>
                <c:pt idx="1">
                  <c:v>1.7109561150163199</c:v>
                </c:pt>
                <c:pt idx="2">
                  <c:v>2.0342108521973401</c:v>
                </c:pt>
                <c:pt idx="3">
                  <c:v>2.4754983121579301</c:v>
                </c:pt>
                <c:pt idx="4">
                  <c:v>3.0322182841615999</c:v>
                </c:pt>
                <c:pt idx="5">
                  <c:v>3.7987956824912699</c:v>
                </c:pt>
                <c:pt idx="6">
                  <c:v>4.9364622349431597</c:v>
                </c:pt>
                <c:pt idx="7">
                  <c:v>6.52960730226701</c:v>
                </c:pt>
                <c:pt idx="8">
                  <c:v>8.96615824509494</c:v>
                </c:pt>
                <c:pt idx="9">
                  <c:v>12.610505257825</c:v>
                </c:pt>
                <c:pt idx="10">
                  <c:v>19.6400596185408</c:v>
                </c:pt>
                <c:pt idx="11">
                  <c:v>33.776751349419101</c:v>
                </c:pt>
                <c:pt idx="12">
                  <c:v>63.769262945936802</c:v>
                </c:pt>
                <c:pt idx="13">
                  <c:v>129.12570626914399</c:v>
                </c:pt>
                <c:pt idx="14">
                  <c:v>257.17226232803301</c:v>
                </c:pt>
                <c:pt idx="15">
                  <c:v>475.08661788476098</c:v>
                </c:pt>
                <c:pt idx="16">
                  <c:v>861.61995054183706</c:v>
                </c:pt>
                <c:pt idx="17">
                  <c:v>1336.4496014188901</c:v>
                </c:pt>
                <c:pt idx="18">
                  <c:v>1974.75302248258</c:v>
                </c:pt>
                <c:pt idx="19">
                  <c:v>2771.5518604006302</c:v>
                </c:pt>
                <c:pt idx="20">
                  <c:v>3800.7246223706702</c:v>
                </c:pt>
                <c:pt idx="21">
                  <c:v>4998.6547405802203</c:v>
                </c:pt>
                <c:pt idx="22">
                  <c:v>5671.9716736467099</c:v>
                </c:pt>
                <c:pt idx="23">
                  <c:v>4986.4167113290196</c:v>
                </c:pt>
                <c:pt idx="24">
                  <c:v>3513.7310600762498</c:v>
                </c:pt>
                <c:pt idx="25">
                  <c:v>2234.34764274075</c:v>
                </c:pt>
                <c:pt idx="26">
                  <c:v>1384.72265230534</c:v>
                </c:pt>
                <c:pt idx="27">
                  <c:v>826.84186689865203</c:v>
                </c:pt>
                <c:pt idx="28">
                  <c:v>396.75072352389401</c:v>
                </c:pt>
                <c:pt idx="29">
                  <c:v>137.76104323969199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8-4CC9-98BD-A6CA58B41DA6}"/>
            </c:ext>
          </c:extLst>
        </c:ser>
        <c:ser>
          <c:idx val="1"/>
          <c:order val="1"/>
          <c:tx>
            <c:strRef>
              <c:f>'28-053-31'!$A$27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'28-053-31'!$B$18:$AE$18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'28-053-31'!$B$27:$AE$27</c:f>
              <c:numCache>
                <c:formatCode>0</c:formatCode>
                <c:ptCount val="30"/>
                <c:pt idx="0">
                  <c:v>164.269280761213</c:v>
                </c:pt>
                <c:pt idx="1">
                  <c:v>189.321063950873</c:v>
                </c:pt>
                <c:pt idx="2">
                  <c:v>218.43267612037999</c:v>
                </c:pt>
                <c:pt idx="3">
                  <c:v>251.57317263342301</c:v>
                </c:pt>
                <c:pt idx="4">
                  <c:v>290.20240514171002</c:v>
                </c:pt>
                <c:pt idx="5">
                  <c:v>336.80740397760599</c:v>
                </c:pt>
                <c:pt idx="6">
                  <c:v>391.72821555277301</c:v>
                </c:pt>
                <c:pt idx="7">
                  <c:v>456.77633140344699</c:v>
                </c:pt>
                <c:pt idx="8">
                  <c:v>536.09510565851497</c:v>
                </c:pt>
                <c:pt idx="9">
                  <c:v>637.77736209877799</c:v>
                </c:pt>
                <c:pt idx="10">
                  <c:v>766.26192621226005</c:v>
                </c:pt>
                <c:pt idx="11">
                  <c:v>924.73387442542798</c:v>
                </c:pt>
                <c:pt idx="12">
                  <c:v>1102.22785927328</c:v>
                </c:pt>
                <c:pt idx="13">
                  <c:v>1324.43501270612</c:v>
                </c:pt>
                <c:pt idx="14">
                  <c:v>1573.7828502765501</c:v>
                </c:pt>
                <c:pt idx="15">
                  <c:v>1888.8499542198399</c:v>
                </c:pt>
                <c:pt idx="16">
                  <c:v>2178.8711079508498</c:v>
                </c:pt>
                <c:pt idx="17">
                  <c:v>2504.8551507198799</c:v>
                </c:pt>
                <c:pt idx="18">
                  <c:v>2772.0672664122699</c:v>
                </c:pt>
                <c:pt idx="19">
                  <c:v>2835.2766700582501</c:v>
                </c:pt>
                <c:pt idx="20">
                  <c:v>2580.3831838454698</c:v>
                </c:pt>
                <c:pt idx="21">
                  <c:v>1678.91838764455</c:v>
                </c:pt>
                <c:pt idx="22">
                  <c:v>-133.43836985848699</c:v>
                </c:pt>
                <c:pt idx="23">
                  <c:v>-2090.20240151692</c:v>
                </c:pt>
                <c:pt idx="24">
                  <c:v>-3038.9989638080101</c:v>
                </c:pt>
                <c:pt idx="25">
                  <c:v>-3050.1150640739802</c:v>
                </c:pt>
                <c:pt idx="26">
                  <c:v>-2635.6992660914302</c:v>
                </c:pt>
                <c:pt idx="27">
                  <c:v>-2106.7637566952699</c:v>
                </c:pt>
                <c:pt idx="28">
                  <c:v>-1684.945847062</c:v>
                </c:pt>
                <c:pt idx="29">
                  <c:v>-1459.80599737334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8-4CC9-98BD-A6CA58B41DA6}"/>
            </c:ext>
          </c:extLst>
        </c:ser>
        <c:ser>
          <c:idx val="2"/>
          <c:order val="2"/>
          <c:tx>
            <c:strRef>
              <c:f>'28-053-31'!$A$28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'28-053-31'!$B$18:$AE$18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'28-053-31'!$B$28:$AE$28</c:f>
              <c:numCache>
                <c:formatCode>0</c:formatCode>
                <c:ptCount val="30"/>
                <c:pt idx="0">
                  <c:v>164.2757084138882</c:v>
                </c:pt>
                <c:pt idx="1">
                  <c:v>189.32879502684756</c:v>
                </c:pt>
                <c:pt idx="2">
                  <c:v>218.44214797264291</c:v>
                </c:pt>
                <c:pt idx="3">
                  <c:v>251.58535188031033</c:v>
                </c:pt>
                <c:pt idx="4">
                  <c:v>290.21824597663738</c:v>
                </c:pt>
                <c:pt idx="5">
                  <c:v>336.82882629426416</c:v>
                </c:pt>
                <c:pt idx="6">
                  <c:v>391.75931835701988</c:v>
                </c:pt>
                <c:pt idx="7">
                  <c:v>456.82299931364383</c:v>
                </c:pt>
                <c:pt idx="8">
                  <c:v>536.17007964328855</c:v>
                </c:pt>
                <c:pt idx="9">
                  <c:v>637.90202104126729</c:v>
                </c:pt>
                <c:pt idx="10">
                  <c:v>766.51358207427927</c:v>
                </c:pt>
                <c:pt idx="11">
                  <c:v>925.35053219933025</c:v>
                </c:pt>
                <c:pt idx="12">
                  <c:v>1104.0709998251136</c:v>
                </c:pt>
                <c:pt idx="13">
                  <c:v>1330.7146767438037</c:v>
                </c:pt>
                <c:pt idx="14">
                  <c:v>1594.6567130061258</c:v>
                </c:pt>
                <c:pt idx="15">
                  <c:v>1947.6810426888362</c:v>
                </c:pt>
                <c:pt idx="16">
                  <c:v>2343.0467866081294</c:v>
                </c:pt>
                <c:pt idx="17">
                  <c:v>2839.0838070089835</c:v>
                </c:pt>
                <c:pt idx="18">
                  <c:v>3403.5285262971543</c:v>
                </c:pt>
                <c:pt idx="19">
                  <c:v>3964.8825342835557</c:v>
                </c:pt>
                <c:pt idx="20">
                  <c:v>4593.896497589727</c:v>
                </c:pt>
                <c:pt idx="21">
                  <c:v>5273.0746408424839</c:v>
                </c:pt>
                <c:pt idx="22">
                  <c:v>5673.5410869404259</c:v>
                </c:pt>
                <c:pt idx="23">
                  <c:v>5406.7825643656524</c:v>
                </c:pt>
                <c:pt idx="24">
                  <c:v>4645.6238186674918</c:v>
                </c:pt>
                <c:pt idx="25">
                  <c:v>3780.9405301739625</c:v>
                </c:pt>
                <c:pt idx="26">
                  <c:v>2977.30875877569</c:v>
                </c:pt>
                <c:pt idx="27">
                  <c:v>2263.2103303451968</c:v>
                </c:pt>
                <c:pt idx="28">
                  <c:v>1731.0267600901534</c:v>
                </c:pt>
                <c:pt idx="29">
                  <c:v>1466.2918041787113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8-4CC9-98BD-A6CA58B41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47752"/>
        <c:axId val="453548144"/>
      </c:scatterChart>
      <c:valAx>
        <c:axId val="45354775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286579687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3548144"/>
        <c:crosses val="autoZero"/>
        <c:crossBetween val="midCat"/>
      </c:valAx>
      <c:valAx>
        <c:axId val="453548144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3547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Complex permeability</a:t>
            </a:r>
          </a:p>
        </c:rich>
      </c:tx>
      <c:layout>
        <c:manualLayout>
          <c:xMode val="edge"/>
          <c:yMode val="edge"/>
          <c:x val="0.3979936360080770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662207357859535E-2"/>
          <c:y val="0.18080376848904037"/>
          <c:w val="0.78093715710285383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'28-053-31'!$A$19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'28-053-31'!$B$18:$AE$18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'28-053-31'!$B$19:$AE$19</c:f>
              <c:numCache>
                <c:formatCode>0</c:formatCode>
                <c:ptCount val="30"/>
                <c:pt idx="0">
                  <c:v>1.9121445035223179</c:v>
                </c:pt>
                <c:pt idx="1">
                  <c:v>1.9574362303797543</c:v>
                </c:pt>
                <c:pt idx="2">
                  <c:v>2.0226374329293155</c:v>
                </c:pt>
                <c:pt idx="3">
                  <c:v>2.13811662060994</c:v>
                </c:pt>
                <c:pt idx="4">
                  <c:v>2.2733346634365299</c:v>
                </c:pt>
                <c:pt idx="5">
                  <c:v>2.4696466463547706</c:v>
                </c:pt>
                <c:pt idx="6">
                  <c:v>2.7791213259113334</c:v>
                </c:pt>
                <c:pt idx="7">
                  <c:v>3.1775320463613363</c:v>
                </c:pt>
                <c:pt idx="8">
                  <c:v>3.761712878740791</c:v>
                </c:pt>
                <c:pt idx="9">
                  <c:v>4.5431176223534013</c:v>
                </c:pt>
                <c:pt idx="10">
                  <c:v>6.0421780525816695</c:v>
                </c:pt>
                <c:pt idx="11">
                  <c:v>8.8077479841265731</c:v>
                </c:pt>
                <c:pt idx="12">
                  <c:v>13.980324367016085</c:v>
                </c:pt>
                <c:pt idx="13">
                  <c:v>23.484815673283332</c:v>
                </c:pt>
                <c:pt idx="14">
                  <c:v>38.259354026927227</c:v>
                </c:pt>
                <c:pt idx="15">
                  <c:v>56.472371106696684</c:v>
                </c:pt>
                <c:pt idx="16">
                  <c:v>80.674965517493945</c:v>
                </c:pt>
                <c:pt idx="17">
                  <c:v>95.766108505532216</c:v>
                </c:pt>
                <c:pt idx="18">
                  <c:v>106.15987426408267</c:v>
                </c:pt>
                <c:pt idx="19">
                  <c:v>111.79845317976333</c:v>
                </c:pt>
                <c:pt idx="20">
                  <c:v>115.41576165229573</c:v>
                </c:pt>
                <c:pt idx="21">
                  <c:v>118.74905396107683</c:v>
                </c:pt>
                <c:pt idx="22">
                  <c:v>121.58877771325294</c:v>
                </c:pt>
                <c:pt idx="23">
                  <c:v>124.23422193122427</c:v>
                </c:pt>
                <c:pt idx="24">
                  <c:v>125.68862620524732</c:v>
                </c:pt>
                <c:pt idx="25">
                  <c:v>126.48837881104612</c:v>
                </c:pt>
                <c:pt idx="26">
                  <c:v>131.67124057216782</c:v>
                </c:pt>
                <c:pt idx="27">
                  <c:v>151.46200540619219</c:v>
                </c:pt>
                <c:pt idx="28">
                  <c:v>204.89884681421552</c:v>
                </c:pt>
                <c:pt idx="29">
                  <c:v>325.6578397936072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47-4403-96D2-0F96128CF428}"/>
            </c:ext>
          </c:extLst>
        </c:ser>
        <c:ser>
          <c:idx val="1"/>
          <c:order val="1"/>
          <c:tx>
            <c:strRef>
              <c:f>'28-053-31'!$A$20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'28-053-31'!$B$18:$AE$18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'28-053-31'!$B$20:$AE$20</c:f>
              <c:numCache>
                <c:formatCode>0</c:formatCode>
                <c:ptCount val="30"/>
                <c:pt idx="0">
                  <c:v>216.56677081846061</c:v>
                </c:pt>
                <c:pt idx="1">
                  <c:v>217.14871349507604</c:v>
                </c:pt>
                <c:pt idx="2">
                  <c:v>217.9262915874186</c:v>
                </c:pt>
                <c:pt idx="3">
                  <c:v>218.26130634875207</c:v>
                </c:pt>
                <c:pt idx="4">
                  <c:v>218.86564770997416</c:v>
                </c:pt>
                <c:pt idx="5">
                  <c:v>220.69798291534474</c:v>
                </c:pt>
                <c:pt idx="6">
                  <c:v>222.86931423204547</c:v>
                </c:pt>
                <c:pt idx="7">
                  <c:v>225.43540443442456</c:v>
                </c:pt>
                <c:pt idx="8">
                  <c:v>229.21687247983448</c:v>
                </c:pt>
                <c:pt idx="9">
                  <c:v>235.77294877348464</c:v>
                </c:pt>
                <c:pt idx="10">
                  <c:v>244.24136720170733</c:v>
                </c:pt>
                <c:pt idx="11">
                  <c:v>253.20428554657747</c:v>
                </c:pt>
                <c:pt idx="12">
                  <c:v>258.23510458974437</c:v>
                </c:pt>
                <c:pt idx="13">
                  <c:v>263.84961579974163</c:v>
                </c:pt>
                <c:pt idx="14">
                  <c:v>265.12039210045725</c:v>
                </c:pt>
                <c:pt idx="15">
                  <c:v>266.95307501135346</c:v>
                </c:pt>
                <c:pt idx="16">
                  <c:v>259.57203478269071</c:v>
                </c:pt>
                <c:pt idx="17">
                  <c:v>251.20457283472493</c:v>
                </c:pt>
                <c:pt idx="18">
                  <c:v>237.84015515956833</c:v>
                </c:pt>
                <c:pt idx="19">
                  <c:v>218.25882830152995</c:v>
                </c:pt>
                <c:pt idx="20">
                  <c:v>198.96334379253616</c:v>
                </c:pt>
                <c:pt idx="21">
                  <c:v>182.68089201570345</c:v>
                </c:pt>
                <c:pt idx="22">
                  <c:v>168.49007711967346</c:v>
                </c:pt>
                <c:pt idx="23">
                  <c:v>155.67988040016419</c:v>
                </c:pt>
                <c:pt idx="24">
                  <c:v>144.24901848827639</c:v>
                </c:pt>
                <c:pt idx="25">
                  <c:v>131.93407537755965</c:v>
                </c:pt>
                <c:pt idx="26">
                  <c:v>113.8081278926735</c:v>
                </c:pt>
                <c:pt idx="27">
                  <c:v>80.072509261330453</c:v>
                </c:pt>
                <c:pt idx="28">
                  <c:v>12.66483834112536</c:v>
                </c:pt>
                <c:pt idx="29">
                  <c:v>-120.18242149596054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47-4403-96D2-0F96128CF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48928"/>
        <c:axId val="453549320"/>
      </c:scatterChart>
      <c:valAx>
        <c:axId val="453548928"/>
        <c:scaling>
          <c:logBase val="10"/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5167187475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3549320"/>
        <c:crosses val="autoZero"/>
        <c:crossBetween val="midCat"/>
      </c:valAx>
      <c:valAx>
        <c:axId val="453549320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permeability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3548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7767909205746467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Zcm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'28-053-31'!$A$26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'28-053-31'!$B$18:$AE$18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'28-053-31'!$B$26:$AE$26</c:f>
              <c:numCache>
                <c:formatCode>0</c:formatCode>
                <c:ptCount val="30"/>
                <c:pt idx="0">
                  <c:v>1.4531940952926801</c:v>
                </c:pt>
                <c:pt idx="1">
                  <c:v>1.7109561150163199</c:v>
                </c:pt>
                <c:pt idx="2">
                  <c:v>2.0342108521973401</c:v>
                </c:pt>
                <c:pt idx="3">
                  <c:v>2.4754983121579301</c:v>
                </c:pt>
                <c:pt idx="4">
                  <c:v>3.0322182841615999</c:v>
                </c:pt>
                <c:pt idx="5">
                  <c:v>3.7987956824912699</c:v>
                </c:pt>
                <c:pt idx="6">
                  <c:v>4.9364622349431597</c:v>
                </c:pt>
                <c:pt idx="7">
                  <c:v>6.52960730226701</c:v>
                </c:pt>
                <c:pt idx="8">
                  <c:v>8.96615824509494</c:v>
                </c:pt>
                <c:pt idx="9">
                  <c:v>12.610505257825</c:v>
                </c:pt>
                <c:pt idx="10">
                  <c:v>19.6400596185408</c:v>
                </c:pt>
                <c:pt idx="11">
                  <c:v>33.776751349419101</c:v>
                </c:pt>
                <c:pt idx="12">
                  <c:v>63.769262945936802</c:v>
                </c:pt>
                <c:pt idx="13">
                  <c:v>129.12570626914399</c:v>
                </c:pt>
                <c:pt idx="14">
                  <c:v>257.17226232803301</c:v>
                </c:pt>
                <c:pt idx="15">
                  <c:v>475.08661788476098</c:v>
                </c:pt>
                <c:pt idx="16">
                  <c:v>861.61995054183706</c:v>
                </c:pt>
                <c:pt idx="17">
                  <c:v>1336.4496014188901</c:v>
                </c:pt>
                <c:pt idx="18">
                  <c:v>1974.75302248258</c:v>
                </c:pt>
                <c:pt idx="19">
                  <c:v>2771.5518604006302</c:v>
                </c:pt>
                <c:pt idx="20">
                  <c:v>3800.7246223706702</c:v>
                </c:pt>
                <c:pt idx="21">
                  <c:v>4998.6547405802203</c:v>
                </c:pt>
                <c:pt idx="22">
                  <c:v>5671.9716736467099</c:v>
                </c:pt>
                <c:pt idx="23">
                  <c:v>4986.4167113290196</c:v>
                </c:pt>
                <c:pt idx="24">
                  <c:v>3513.7310600762498</c:v>
                </c:pt>
                <c:pt idx="25">
                  <c:v>2234.34764274075</c:v>
                </c:pt>
                <c:pt idx="26">
                  <c:v>1384.72265230534</c:v>
                </c:pt>
                <c:pt idx="27">
                  <c:v>826.84186689865203</c:v>
                </c:pt>
                <c:pt idx="28">
                  <c:v>396.75072352389401</c:v>
                </c:pt>
                <c:pt idx="29">
                  <c:v>137.76104323969199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2C-4D82-9D58-BCE6F630F2A2}"/>
            </c:ext>
          </c:extLst>
        </c:ser>
        <c:ser>
          <c:idx val="1"/>
          <c:order val="1"/>
          <c:tx>
            <c:strRef>
              <c:f>'28-053-31'!$A$27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'28-053-31'!$B$18:$AE$18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'28-053-31'!$B$27:$AE$27</c:f>
              <c:numCache>
                <c:formatCode>0</c:formatCode>
                <c:ptCount val="30"/>
                <c:pt idx="0">
                  <c:v>164.269280761213</c:v>
                </c:pt>
                <c:pt idx="1">
                  <c:v>189.321063950873</c:v>
                </c:pt>
                <c:pt idx="2">
                  <c:v>218.43267612037999</c:v>
                </c:pt>
                <c:pt idx="3">
                  <c:v>251.57317263342301</c:v>
                </c:pt>
                <c:pt idx="4">
                  <c:v>290.20240514171002</c:v>
                </c:pt>
                <c:pt idx="5">
                  <c:v>336.80740397760599</c:v>
                </c:pt>
                <c:pt idx="6">
                  <c:v>391.72821555277301</c:v>
                </c:pt>
                <c:pt idx="7">
                  <c:v>456.77633140344699</c:v>
                </c:pt>
                <c:pt idx="8">
                  <c:v>536.09510565851497</c:v>
                </c:pt>
                <c:pt idx="9">
                  <c:v>637.77736209877799</c:v>
                </c:pt>
                <c:pt idx="10">
                  <c:v>766.26192621226005</c:v>
                </c:pt>
                <c:pt idx="11">
                  <c:v>924.73387442542798</c:v>
                </c:pt>
                <c:pt idx="12">
                  <c:v>1102.22785927328</c:v>
                </c:pt>
                <c:pt idx="13">
                  <c:v>1324.43501270612</c:v>
                </c:pt>
                <c:pt idx="14">
                  <c:v>1573.7828502765501</c:v>
                </c:pt>
                <c:pt idx="15">
                  <c:v>1888.8499542198399</c:v>
                </c:pt>
                <c:pt idx="16">
                  <c:v>2178.8711079508498</c:v>
                </c:pt>
                <c:pt idx="17">
                  <c:v>2504.8551507198799</c:v>
                </c:pt>
                <c:pt idx="18">
                  <c:v>2772.0672664122699</c:v>
                </c:pt>
                <c:pt idx="19">
                  <c:v>2835.2766700582501</c:v>
                </c:pt>
                <c:pt idx="20">
                  <c:v>2580.3831838454698</c:v>
                </c:pt>
                <c:pt idx="21">
                  <c:v>1678.91838764455</c:v>
                </c:pt>
                <c:pt idx="22">
                  <c:v>-133.43836985848699</c:v>
                </c:pt>
                <c:pt idx="23">
                  <c:v>-2090.20240151692</c:v>
                </c:pt>
                <c:pt idx="24">
                  <c:v>-3038.9989638080101</c:v>
                </c:pt>
                <c:pt idx="25">
                  <c:v>-3050.1150640739802</c:v>
                </c:pt>
                <c:pt idx="26">
                  <c:v>-2635.6992660914302</c:v>
                </c:pt>
                <c:pt idx="27">
                  <c:v>-2106.7637566952699</c:v>
                </c:pt>
                <c:pt idx="28">
                  <c:v>-1684.945847062</c:v>
                </c:pt>
                <c:pt idx="29">
                  <c:v>-1459.80599737334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2C-4D82-9D58-BCE6F630F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70344"/>
        <c:axId val="454360896"/>
      </c:scatterChart>
      <c:valAx>
        <c:axId val="45587034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286579687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4360896"/>
        <c:crosses val="autoZero"/>
        <c:crossBetween val="midCat"/>
      </c:valAx>
      <c:valAx>
        <c:axId val="454360896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</a:t>
                </a:r>
                <a:r>
                  <a:rPr lang="en-AU" baseline="0"/>
                  <a:t> (</a:t>
                </a:r>
                <a:r>
                  <a:rPr lang="en-AU"/>
                  <a:t>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58703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Zcm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'28-042-31'!$A$26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'28-042-31'!$B$18:$AE$18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'28-042-31'!$B$26:$AE$26</c:f>
              <c:numCache>
                <c:formatCode>0</c:formatCode>
                <c:ptCount val="30"/>
                <c:pt idx="0">
                  <c:v>1.2889522939282601</c:v>
                </c:pt>
                <c:pt idx="1">
                  <c:v>1.5177408103684</c:v>
                </c:pt>
                <c:pt idx="2">
                  <c:v>1.8047425127172201</c:v>
                </c:pt>
                <c:pt idx="3">
                  <c:v>2.1966536086287598</c:v>
                </c:pt>
                <c:pt idx="4">
                  <c:v>2.69132096432361</c:v>
                </c:pt>
                <c:pt idx="5">
                  <c:v>3.3728347500975602</c:v>
                </c:pt>
                <c:pt idx="6">
                  <c:v>4.3848902111694601</c:v>
                </c:pt>
                <c:pt idx="7">
                  <c:v>5.8035211558695297</c:v>
                </c:pt>
                <c:pt idx="8">
                  <c:v>7.9757300523667398</c:v>
                </c:pt>
                <c:pt idx="9">
                  <c:v>11.2307079017031</c:v>
                </c:pt>
                <c:pt idx="10">
                  <c:v>17.520298313283899</c:v>
                </c:pt>
                <c:pt idx="11">
                  <c:v>30.201813776695602</c:v>
                </c:pt>
                <c:pt idx="12">
                  <c:v>57.197244738829902</c:v>
                </c:pt>
                <c:pt idx="13">
                  <c:v>116.327323683328</c:v>
                </c:pt>
                <c:pt idx="14">
                  <c:v>233.03584395333499</c:v>
                </c:pt>
                <c:pt idx="15">
                  <c:v>434.073400926305</c:v>
                </c:pt>
                <c:pt idx="16">
                  <c:v>794.98890926835099</c:v>
                </c:pt>
                <c:pt idx="17">
                  <c:v>1248.9826969138201</c:v>
                </c:pt>
                <c:pt idx="18">
                  <c:v>1871.84150846342</c:v>
                </c:pt>
                <c:pt idx="19">
                  <c:v>2656.28888803363</c:v>
                </c:pt>
                <c:pt idx="20">
                  <c:v>3647.5962082055198</c:v>
                </c:pt>
                <c:pt idx="21">
                  <c:v>4673.7649643591003</c:v>
                </c:pt>
                <c:pt idx="22">
                  <c:v>4933.2577987901896</c:v>
                </c:pt>
                <c:pt idx="23">
                  <c:v>3959.9708501192099</c:v>
                </c:pt>
                <c:pt idx="24">
                  <c:v>2633.62427084514</c:v>
                </c:pt>
                <c:pt idx="25">
                  <c:v>1642.14352776237</c:v>
                </c:pt>
                <c:pt idx="26">
                  <c:v>1021.09269522071</c:v>
                </c:pt>
                <c:pt idx="27">
                  <c:v>619.17393645633399</c:v>
                </c:pt>
                <c:pt idx="28">
                  <c:v>301.24168057940102</c:v>
                </c:pt>
                <c:pt idx="29">
                  <c:v>104.699838940314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8E-4F95-9F43-AA4BB237891E}"/>
            </c:ext>
          </c:extLst>
        </c:ser>
        <c:ser>
          <c:idx val="1"/>
          <c:order val="1"/>
          <c:tx>
            <c:strRef>
              <c:f>'28-042-31'!$A$27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'28-042-31'!$B$18:$AE$18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'28-042-31'!$B$27:$AE$27</c:f>
              <c:numCache>
                <c:formatCode>0</c:formatCode>
                <c:ptCount val="30"/>
                <c:pt idx="0">
                  <c:v>145.679787763425</c:v>
                </c:pt>
                <c:pt idx="1">
                  <c:v>167.905390859325</c:v>
                </c:pt>
                <c:pt idx="2">
                  <c:v>193.73744908020899</c:v>
                </c:pt>
                <c:pt idx="3">
                  <c:v>223.15166065693001</c:v>
                </c:pt>
                <c:pt idx="4">
                  <c:v>257.44818848651403</c:v>
                </c:pt>
                <c:pt idx="5">
                  <c:v>298.84259407252898</c:v>
                </c:pt>
                <c:pt idx="6">
                  <c:v>347.65028189561099</c:v>
                </c:pt>
                <c:pt idx="7">
                  <c:v>405.50114174191202</c:v>
                </c:pt>
                <c:pt idx="8">
                  <c:v>476.11296859043301</c:v>
                </c:pt>
                <c:pt idx="9">
                  <c:v>566.75112360350397</c:v>
                </c:pt>
                <c:pt idx="10">
                  <c:v>681.49405169015495</c:v>
                </c:pt>
                <c:pt idx="11">
                  <c:v>823.39503030760102</c:v>
                </c:pt>
                <c:pt idx="12">
                  <c:v>982.94943766841197</c:v>
                </c:pt>
                <c:pt idx="13">
                  <c:v>1183.63682107925</c:v>
                </c:pt>
                <c:pt idx="14">
                  <c:v>1410.27298456369</c:v>
                </c:pt>
                <c:pt idx="15">
                  <c:v>1698.4805668100901</c:v>
                </c:pt>
                <c:pt idx="16">
                  <c:v>1964.52893284129</c:v>
                </c:pt>
                <c:pt idx="17">
                  <c:v>2262.6031151464199</c:v>
                </c:pt>
                <c:pt idx="18">
                  <c:v>2496.4716287727001</c:v>
                </c:pt>
                <c:pt idx="19">
                  <c:v>2510.6749185824301</c:v>
                </c:pt>
                <c:pt idx="20">
                  <c:v>2157.2585807589699</c:v>
                </c:pt>
                <c:pt idx="21">
                  <c:v>1099.19069181753</c:v>
                </c:pt>
                <c:pt idx="22">
                  <c:v>-698.20252395004695</c:v>
                </c:pt>
                <c:pt idx="23">
                  <c:v>-2214.4468557521</c:v>
                </c:pt>
                <c:pt idx="24">
                  <c:v>-2721.62145361791</c:v>
                </c:pt>
                <c:pt idx="25">
                  <c:v>-2572.8261851327702</c:v>
                </c:pt>
                <c:pt idx="26">
                  <c:v>-2180.2053403190498</c:v>
                </c:pt>
                <c:pt idx="27">
                  <c:v>-1737.14459103528</c:v>
                </c:pt>
                <c:pt idx="28">
                  <c:v>-1388.01526763728</c:v>
                </c:pt>
                <c:pt idx="29">
                  <c:v>-1199.1330919316599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8E-4F95-9F43-AA4BB237891E}"/>
            </c:ext>
          </c:extLst>
        </c:ser>
        <c:ser>
          <c:idx val="2"/>
          <c:order val="2"/>
          <c:tx>
            <c:strRef>
              <c:f>'28-042-31'!$A$28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'28-042-31'!$B$18:$AE$18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'28-042-31'!$B$28:$AE$28</c:f>
              <c:numCache>
                <c:formatCode>0</c:formatCode>
                <c:ptCount val="30"/>
                <c:pt idx="0">
                  <c:v>145.68548987738134</c:v>
                </c:pt>
                <c:pt idx="1">
                  <c:v>167.91225034758526</c:v>
                </c:pt>
                <c:pt idx="2">
                  <c:v>193.74585485022328</c:v>
                </c:pt>
                <c:pt idx="3">
                  <c:v>223.16247207140796</c:v>
                </c:pt>
                <c:pt idx="4">
                  <c:v>257.46225541527565</c:v>
                </c:pt>
                <c:pt idx="5">
                  <c:v>298.86162692164044</c:v>
                </c:pt>
                <c:pt idx="6">
                  <c:v>347.67793396225449</c:v>
                </c:pt>
                <c:pt idx="7">
                  <c:v>405.54266953281353</c:v>
                </c:pt>
                <c:pt idx="8">
                  <c:v>476.17976766118795</c:v>
                </c:pt>
                <c:pt idx="9">
                  <c:v>566.86238621539144</c:v>
                </c:pt>
                <c:pt idx="10">
                  <c:v>681.71922617896746</c:v>
                </c:pt>
                <c:pt idx="11">
                  <c:v>823.94873960135237</c:v>
                </c:pt>
                <c:pt idx="12">
                  <c:v>984.61216822582537</c:v>
                </c:pt>
                <c:pt idx="13">
                  <c:v>1189.3393840489425</c:v>
                </c:pt>
                <c:pt idx="14">
                  <c:v>1429.39693421989</c:v>
                </c:pt>
                <c:pt idx="15">
                  <c:v>1753.0704358990411</c:v>
                </c:pt>
                <c:pt idx="16">
                  <c:v>2119.2879214090331</c:v>
                </c:pt>
                <c:pt idx="17">
                  <c:v>2584.4401006524413</c:v>
                </c:pt>
                <c:pt idx="18">
                  <c:v>3120.28223500273</c:v>
                </c:pt>
                <c:pt idx="19">
                  <c:v>3655.0457183857261</c:v>
                </c:pt>
                <c:pt idx="20">
                  <c:v>4237.7733165394175</c:v>
                </c:pt>
                <c:pt idx="21">
                  <c:v>4801.2809873042133</c:v>
                </c:pt>
                <c:pt idx="22">
                  <c:v>4982.4210253424426</c:v>
                </c:pt>
                <c:pt idx="23">
                  <c:v>4537.0854092406307</c:v>
                </c:pt>
                <c:pt idx="24">
                  <c:v>3787.2417584276104</c:v>
                </c:pt>
                <c:pt idx="25">
                  <c:v>3052.2237704134154</c:v>
                </c:pt>
                <c:pt idx="26">
                  <c:v>2407.4728696682746</c:v>
                </c:pt>
                <c:pt idx="27">
                  <c:v>1844.1929654322953</c:v>
                </c:pt>
                <c:pt idx="28">
                  <c:v>1420.3284596573048</c:v>
                </c:pt>
                <c:pt idx="29">
                  <c:v>1203.6952390201227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8E-4F95-9F43-AA4BB2378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47752"/>
        <c:axId val="453548144"/>
      </c:scatterChart>
      <c:valAx>
        <c:axId val="45354775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286579687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3548144"/>
        <c:crosses val="autoZero"/>
        <c:crossBetween val="midCat"/>
      </c:valAx>
      <c:valAx>
        <c:axId val="453548144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3547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Complex permeability</a:t>
            </a:r>
          </a:p>
        </c:rich>
      </c:tx>
      <c:layout>
        <c:manualLayout>
          <c:xMode val="edge"/>
          <c:yMode val="edge"/>
          <c:x val="0.3979936360080770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662207357859535E-2"/>
          <c:y val="0.18080376848904037"/>
          <c:w val="0.78093715710285383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'28-042-31'!$A$19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'28-042-31'!$B$18:$AE$18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'28-042-31'!$B$19:$AE$19</c:f>
              <c:numCache>
                <c:formatCode>0</c:formatCode>
                <c:ptCount val="30"/>
                <c:pt idx="0">
                  <c:v>1.9121445035223179</c:v>
                </c:pt>
                <c:pt idx="1">
                  <c:v>1.9574362303797543</c:v>
                </c:pt>
                <c:pt idx="2">
                  <c:v>2.0226374329293155</c:v>
                </c:pt>
                <c:pt idx="3">
                  <c:v>2.13811662060994</c:v>
                </c:pt>
                <c:pt idx="4">
                  <c:v>2.2733346634365299</c:v>
                </c:pt>
                <c:pt idx="5">
                  <c:v>2.4696466463547706</c:v>
                </c:pt>
                <c:pt idx="6">
                  <c:v>2.7791213259113334</c:v>
                </c:pt>
                <c:pt idx="7">
                  <c:v>3.1775320463613363</c:v>
                </c:pt>
                <c:pt idx="8">
                  <c:v>3.761712878740791</c:v>
                </c:pt>
                <c:pt idx="9">
                  <c:v>4.5431176223534013</c:v>
                </c:pt>
                <c:pt idx="10">
                  <c:v>6.0421780525816695</c:v>
                </c:pt>
                <c:pt idx="11">
                  <c:v>8.8077479841265731</c:v>
                </c:pt>
                <c:pt idx="12">
                  <c:v>13.980324367016085</c:v>
                </c:pt>
                <c:pt idx="13">
                  <c:v>23.484815673283332</c:v>
                </c:pt>
                <c:pt idx="14">
                  <c:v>38.259354026927227</c:v>
                </c:pt>
                <c:pt idx="15">
                  <c:v>56.472371106696684</c:v>
                </c:pt>
                <c:pt idx="16">
                  <c:v>80.674965517493945</c:v>
                </c:pt>
                <c:pt idx="17">
                  <c:v>95.766108505532216</c:v>
                </c:pt>
                <c:pt idx="18">
                  <c:v>106.15987426408267</c:v>
                </c:pt>
                <c:pt idx="19">
                  <c:v>111.79845317976333</c:v>
                </c:pt>
                <c:pt idx="20">
                  <c:v>115.41576165229573</c:v>
                </c:pt>
                <c:pt idx="21">
                  <c:v>118.74905396107683</c:v>
                </c:pt>
                <c:pt idx="22">
                  <c:v>121.58877771325294</c:v>
                </c:pt>
                <c:pt idx="23">
                  <c:v>124.23422193122427</c:v>
                </c:pt>
                <c:pt idx="24">
                  <c:v>125.68862620524732</c:v>
                </c:pt>
                <c:pt idx="25">
                  <c:v>126.48837881104612</c:v>
                </c:pt>
                <c:pt idx="26">
                  <c:v>131.67124057216782</c:v>
                </c:pt>
                <c:pt idx="27">
                  <c:v>151.46200540619219</c:v>
                </c:pt>
                <c:pt idx="28">
                  <c:v>204.89884681421552</c:v>
                </c:pt>
                <c:pt idx="29">
                  <c:v>325.6578397936072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9-4CED-9BD8-95E012A45A92}"/>
            </c:ext>
          </c:extLst>
        </c:ser>
        <c:ser>
          <c:idx val="1"/>
          <c:order val="1"/>
          <c:tx>
            <c:strRef>
              <c:f>'28-042-31'!$A$20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'28-042-31'!$B$18:$AE$18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'28-042-31'!$B$20:$AE$20</c:f>
              <c:numCache>
                <c:formatCode>0</c:formatCode>
                <c:ptCount val="30"/>
                <c:pt idx="0">
                  <c:v>216.56677081846061</c:v>
                </c:pt>
                <c:pt idx="1">
                  <c:v>217.14871349507604</c:v>
                </c:pt>
                <c:pt idx="2">
                  <c:v>217.9262915874186</c:v>
                </c:pt>
                <c:pt idx="3">
                  <c:v>218.26130634875207</c:v>
                </c:pt>
                <c:pt idx="4">
                  <c:v>218.86564770997416</c:v>
                </c:pt>
                <c:pt idx="5">
                  <c:v>220.69798291534474</c:v>
                </c:pt>
                <c:pt idx="6">
                  <c:v>222.86931423204547</c:v>
                </c:pt>
                <c:pt idx="7">
                  <c:v>225.43540443442456</c:v>
                </c:pt>
                <c:pt idx="8">
                  <c:v>229.21687247983448</c:v>
                </c:pt>
                <c:pt idx="9">
                  <c:v>235.77294877348464</c:v>
                </c:pt>
                <c:pt idx="10">
                  <c:v>244.24136720170733</c:v>
                </c:pt>
                <c:pt idx="11">
                  <c:v>253.20428554657747</c:v>
                </c:pt>
                <c:pt idx="12">
                  <c:v>258.23510458974437</c:v>
                </c:pt>
                <c:pt idx="13">
                  <c:v>263.84961579974163</c:v>
                </c:pt>
                <c:pt idx="14">
                  <c:v>265.12039210045725</c:v>
                </c:pt>
                <c:pt idx="15">
                  <c:v>266.95307501135346</c:v>
                </c:pt>
                <c:pt idx="16">
                  <c:v>259.57203478269071</c:v>
                </c:pt>
                <c:pt idx="17">
                  <c:v>251.20457283472493</c:v>
                </c:pt>
                <c:pt idx="18">
                  <c:v>237.84015515956833</c:v>
                </c:pt>
                <c:pt idx="19">
                  <c:v>218.25882830152995</c:v>
                </c:pt>
                <c:pt idx="20">
                  <c:v>198.96334379253616</c:v>
                </c:pt>
                <c:pt idx="21">
                  <c:v>182.68089201570345</c:v>
                </c:pt>
                <c:pt idx="22">
                  <c:v>168.49007711967346</c:v>
                </c:pt>
                <c:pt idx="23">
                  <c:v>155.67988040016419</c:v>
                </c:pt>
                <c:pt idx="24">
                  <c:v>144.24901848827639</c:v>
                </c:pt>
                <c:pt idx="25">
                  <c:v>131.93407537755965</c:v>
                </c:pt>
                <c:pt idx="26">
                  <c:v>113.8081278926735</c:v>
                </c:pt>
                <c:pt idx="27">
                  <c:v>80.072509261330453</c:v>
                </c:pt>
                <c:pt idx="28">
                  <c:v>12.66483834112536</c:v>
                </c:pt>
                <c:pt idx="29">
                  <c:v>-120.18242149596054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9-4CED-9BD8-95E012A45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48928"/>
        <c:axId val="453549320"/>
      </c:scatterChart>
      <c:valAx>
        <c:axId val="453548928"/>
        <c:scaling>
          <c:logBase val="10"/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5167187475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3549320"/>
        <c:crosses val="autoZero"/>
        <c:crossBetween val="midCat"/>
      </c:valAx>
      <c:valAx>
        <c:axId val="453549320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permeability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3548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7767909205746467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Zcm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'28-042-31'!$A$26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'28-042-31'!$B$18:$AE$18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'28-042-31'!$B$26:$AE$26</c:f>
              <c:numCache>
                <c:formatCode>0</c:formatCode>
                <c:ptCount val="30"/>
                <c:pt idx="0">
                  <c:v>1.2889522939282601</c:v>
                </c:pt>
                <c:pt idx="1">
                  <c:v>1.5177408103684</c:v>
                </c:pt>
                <c:pt idx="2">
                  <c:v>1.8047425127172201</c:v>
                </c:pt>
                <c:pt idx="3">
                  <c:v>2.1966536086287598</c:v>
                </c:pt>
                <c:pt idx="4">
                  <c:v>2.69132096432361</c:v>
                </c:pt>
                <c:pt idx="5">
                  <c:v>3.3728347500975602</c:v>
                </c:pt>
                <c:pt idx="6">
                  <c:v>4.3848902111694601</c:v>
                </c:pt>
                <c:pt idx="7">
                  <c:v>5.8035211558695297</c:v>
                </c:pt>
                <c:pt idx="8">
                  <c:v>7.9757300523667398</c:v>
                </c:pt>
                <c:pt idx="9">
                  <c:v>11.2307079017031</c:v>
                </c:pt>
                <c:pt idx="10">
                  <c:v>17.520298313283899</c:v>
                </c:pt>
                <c:pt idx="11">
                  <c:v>30.201813776695602</c:v>
                </c:pt>
                <c:pt idx="12">
                  <c:v>57.197244738829902</c:v>
                </c:pt>
                <c:pt idx="13">
                  <c:v>116.327323683328</c:v>
                </c:pt>
                <c:pt idx="14">
                  <c:v>233.03584395333499</c:v>
                </c:pt>
                <c:pt idx="15">
                  <c:v>434.073400926305</c:v>
                </c:pt>
                <c:pt idx="16">
                  <c:v>794.98890926835099</c:v>
                </c:pt>
                <c:pt idx="17">
                  <c:v>1248.9826969138201</c:v>
                </c:pt>
                <c:pt idx="18">
                  <c:v>1871.84150846342</c:v>
                </c:pt>
                <c:pt idx="19">
                  <c:v>2656.28888803363</c:v>
                </c:pt>
                <c:pt idx="20">
                  <c:v>3647.5962082055198</c:v>
                </c:pt>
                <c:pt idx="21">
                  <c:v>4673.7649643591003</c:v>
                </c:pt>
                <c:pt idx="22">
                  <c:v>4933.2577987901896</c:v>
                </c:pt>
                <c:pt idx="23">
                  <c:v>3959.9708501192099</c:v>
                </c:pt>
                <c:pt idx="24">
                  <c:v>2633.62427084514</c:v>
                </c:pt>
                <c:pt idx="25">
                  <c:v>1642.14352776237</c:v>
                </c:pt>
                <c:pt idx="26">
                  <c:v>1021.09269522071</c:v>
                </c:pt>
                <c:pt idx="27">
                  <c:v>619.17393645633399</c:v>
                </c:pt>
                <c:pt idx="28">
                  <c:v>301.24168057940102</c:v>
                </c:pt>
                <c:pt idx="29">
                  <c:v>104.699838940314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44-4B1B-8DBF-54A844C9F6EB}"/>
            </c:ext>
          </c:extLst>
        </c:ser>
        <c:ser>
          <c:idx val="1"/>
          <c:order val="1"/>
          <c:tx>
            <c:strRef>
              <c:f>'28-042-31'!$A$27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'28-042-31'!$B$18:$AE$18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'28-042-31'!$B$27:$AE$27</c:f>
              <c:numCache>
                <c:formatCode>0</c:formatCode>
                <c:ptCount val="30"/>
                <c:pt idx="0">
                  <c:v>145.679787763425</c:v>
                </c:pt>
                <c:pt idx="1">
                  <c:v>167.905390859325</c:v>
                </c:pt>
                <c:pt idx="2">
                  <c:v>193.73744908020899</c:v>
                </c:pt>
                <c:pt idx="3">
                  <c:v>223.15166065693001</c:v>
                </c:pt>
                <c:pt idx="4">
                  <c:v>257.44818848651403</c:v>
                </c:pt>
                <c:pt idx="5">
                  <c:v>298.84259407252898</c:v>
                </c:pt>
                <c:pt idx="6">
                  <c:v>347.65028189561099</c:v>
                </c:pt>
                <c:pt idx="7">
                  <c:v>405.50114174191202</c:v>
                </c:pt>
                <c:pt idx="8">
                  <c:v>476.11296859043301</c:v>
                </c:pt>
                <c:pt idx="9">
                  <c:v>566.75112360350397</c:v>
                </c:pt>
                <c:pt idx="10">
                  <c:v>681.49405169015495</c:v>
                </c:pt>
                <c:pt idx="11">
                  <c:v>823.39503030760102</c:v>
                </c:pt>
                <c:pt idx="12">
                  <c:v>982.94943766841197</c:v>
                </c:pt>
                <c:pt idx="13">
                  <c:v>1183.63682107925</c:v>
                </c:pt>
                <c:pt idx="14">
                  <c:v>1410.27298456369</c:v>
                </c:pt>
                <c:pt idx="15">
                  <c:v>1698.4805668100901</c:v>
                </c:pt>
                <c:pt idx="16">
                  <c:v>1964.52893284129</c:v>
                </c:pt>
                <c:pt idx="17">
                  <c:v>2262.6031151464199</c:v>
                </c:pt>
                <c:pt idx="18">
                  <c:v>2496.4716287727001</c:v>
                </c:pt>
                <c:pt idx="19">
                  <c:v>2510.6749185824301</c:v>
                </c:pt>
                <c:pt idx="20">
                  <c:v>2157.2585807589699</c:v>
                </c:pt>
                <c:pt idx="21">
                  <c:v>1099.19069181753</c:v>
                </c:pt>
                <c:pt idx="22">
                  <c:v>-698.20252395004695</c:v>
                </c:pt>
                <c:pt idx="23">
                  <c:v>-2214.4468557521</c:v>
                </c:pt>
                <c:pt idx="24">
                  <c:v>-2721.62145361791</c:v>
                </c:pt>
                <c:pt idx="25">
                  <c:v>-2572.8261851327702</c:v>
                </c:pt>
                <c:pt idx="26">
                  <c:v>-2180.2053403190498</c:v>
                </c:pt>
                <c:pt idx="27">
                  <c:v>-1737.14459103528</c:v>
                </c:pt>
                <c:pt idx="28">
                  <c:v>-1388.01526763728</c:v>
                </c:pt>
                <c:pt idx="29">
                  <c:v>-1199.1330919316599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44-4B1B-8DBF-54A844C9F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70344"/>
        <c:axId val="454360896"/>
      </c:scatterChart>
      <c:valAx>
        <c:axId val="45587034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286579687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4360896"/>
        <c:crosses val="autoZero"/>
        <c:crossBetween val="midCat"/>
      </c:valAx>
      <c:valAx>
        <c:axId val="454360896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</a:t>
                </a:r>
                <a:r>
                  <a:rPr lang="en-AU" baseline="0"/>
                  <a:t> (</a:t>
                </a:r>
                <a:r>
                  <a:rPr lang="en-AU"/>
                  <a:t>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58703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Zcm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'42-001-31'!$A$26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'42-001-31'!$B$18:$AE$18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'42-001-31'!$B$26:$AE$26</c:f>
              <c:numCache>
                <c:formatCode>0</c:formatCode>
                <c:ptCount val="30"/>
                <c:pt idx="0">
                  <c:v>1.23079479477806</c:v>
                </c:pt>
                <c:pt idx="1">
                  <c:v>1.4488319362178499</c:v>
                </c:pt>
                <c:pt idx="2">
                  <c:v>1.72212589040395</c:v>
                </c:pt>
                <c:pt idx="3">
                  <c:v>2.0950122919696401</c:v>
                </c:pt>
                <c:pt idx="4">
                  <c:v>2.5650236580429202</c:v>
                </c:pt>
                <c:pt idx="5">
                  <c:v>3.2115506291679998</c:v>
                </c:pt>
                <c:pt idx="6">
                  <c:v>4.1699650510114301</c:v>
                </c:pt>
                <c:pt idx="7">
                  <c:v>5.5097066463394597</c:v>
                </c:pt>
                <c:pt idx="8">
                  <c:v>7.5543203265287904</c:v>
                </c:pt>
                <c:pt idx="9">
                  <c:v>10.6022065146624</c:v>
                </c:pt>
                <c:pt idx="10">
                  <c:v>16.4625525669049</c:v>
                </c:pt>
                <c:pt idx="11">
                  <c:v>28.1928637143813</c:v>
                </c:pt>
                <c:pt idx="12">
                  <c:v>52.930969224810298</c:v>
                </c:pt>
                <c:pt idx="13">
                  <c:v>106.342061281414</c:v>
                </c:pt>
                <c:pt idx="14">
                  <c:v>209.61499796773299</c:v>
                </c:pt>
                <c:pt idx="15">
                  <c:v>381.62421985891598</c:v>
                </c:pt>
                <c:pt idx="16">
                  <c:v>680.29136476462895</c:v>
                </c:pt>
                <c:pt idx="17">
                  <c:v>1031.7090970684301</c:v>
                </c:pt>
                <c:pt idx="18">
                  <c:v>1486.1161971792999</c:v>
                </c:pt>
                <c:pt idx="19">
                  <c:v>2039.6914869422801</c:v>
                </c:pt>
                <c:pt idx="20">
                  <c:v>2763.47334617457</c:v>
                </c:pt>
                <c:pt idx="21">
                  <c:v>3712.7744253420401</c:v>
                </c:pt>
                <c:pt idx="22">
                  <c:v>4639.3749580041203</c:v>
                </c:pt>
                <c:pt idx="23">
                  <c:v>4838.0371850214497</c:v>
                </c:pt>
                <c:pt idx="24">
                  <c:v>3969.6704770850201</c:v>
                </c:pt>
                <c:pt idx="25">
                  <c:v>2717.13316321206</c:v>
                </c:pt>
                <c:pt idx="26">
                  <c:v>1698.51213390619</c:v>
                </c:pt>
                <c:pt idx="27">
                  <c:v>986.66599139124105</c:v>
                </c:pt>
                <c:pt idx="28">
                  <c:v>460.94926029960601</c:v>
                </c:pt>
                <c:pt idx="29">
                  <c:v>160.00915670120699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D-413F-93E5-952A11AE82A0}"/>
            </c:ext>
          </c:extLst>
        </c:ser>
        <c:ser>
          <c:idx val="1"/>
          <c:order val="1"/>
          <c:tx>
            <c:strRef>
              <c:f>'42-001-31'!$A$27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'42-001-31'!$B$18:$AE$18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'42-001-31'!$B$27:$AE$27</c:f>
              <c:numCache>
                <c:formatCode>0</c:formatCode>
                <c:ptCount val="30"/>
                <c:pt idx="0">
                  <c:v>139.17023967020799</c:v>
                </c:pt>
                <c:pt idx="1">
                  <c:v>160.37900572209</c:v>
                </c:pt>
                <c:pt idx="2">
                  <c:v>185.01676662335299</c:v>
                </c:pt>
                <c:pt idx="3">
                  <c:v>213.05185618559901</c:v>
                </c:pt>
                <c:pt idx="4">
                  <c:v>245.711511323743</c:v>
                </c:pt>
                <c:pt idx="5">
                  <c:v>285.08548866613103</c:v>
                </c:pt>
                <c:pt idx="6">
                  <c:v>331.43796956449302</c:v>
                </c:pt>
                <c:pt idx="7">
                  <c:v>386.26333548357502</c:v>
                </c:pt>
                <c:pt idx="8">
                  <c:v>452.997379510423</c:v>
                </c:pt>
                <c:pt idx="9">
                  <c:v>538.34496392650499</c:v>
                </c:pt>
                <c:pt idx="10">
                  <c:v>645.82519832931996</c:v>
                </c:pt>
                <c:pt idx="11">
                  <c:v>777.75137556154596</c:v>
                </c:pt>
                <c:pt idx="12">
                  <c:v>924.47366376007506</c:v>
                </c:pt>
                <c:pt idx="13">
                  <c:v>1106.6086012880301</c:v>
                </c:pt>
                <c:pt idx="14">
                  <c:v>1308.6525789120301</c:v>
                </c:pt>
                <c:pt idx="15">
                  <c:v>1561.0006509672501</c:v>
                </c:pt>
                <c:pt idx="16">
                  <c:v>1791.7942760974299</c:v>
                </c:pt>
                <c:pt idx="17">
                  <c:v>2051.5445919795502</c:v>
                </c:pt>
                <c:pt idx="18">
                  <c:v>2275.8045674597402</c:v>
                </c:pt>
                <c:pt idx="19">
                  <c:v>2375.7184646667802</c:v>
                </c:pt>
                <c:pt idx="20">
                  <c:v>2316.6754419491699</c:v>
                </c:pt>
                <c:pt idx="21">
                  <c:v>1928.06900676845</c:v>
                </c:pt>
                <c:pt idx="22">
                  <c:v>888.19162700709296</c:v>
                </c:pt>
                <c:pt idx="23">
                  <c:v>-793.841469963549</c:v>
                </c:pt>
                <c:pt idx="24">
                  <c:v>-2214.6447603893498</c:v>
                </c:pt>
                <c:pt idx="25">
                  <c:v>-2711.0395249514399</c:v>
                </c:pt>
                <c:pt idx="26">
                  <c:v>-2515.8602557424301</c:v>
                </c:pt>
                <c:pt idx="27">
                  <c:v>-2050.93160742191</c:v>
                </c:pt>
                <c:pt idx="28">
                  <c:v>-1654.6269256426101</c:v>
                </c:pt>
                <c:pt idx="29">
                  <c:v>-1445.9242763493501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7D-413F-93E5-952A11AE82A0}"/>
            </c:ext>
          </c:extLst>
        </c:ser>
        <c:ser>
          <c:idx val="2"/>
          <c:order val="2"/>
          <c:tx>
            <c:strRef>
              <c:f>'42-001-31'!$A$28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'42-001-31'!$B$18:$AE$18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'42-001-31'!$B$28:$AE$28</c:f>
              <c:numCache>
                <c:formatCode>0</c:formatCode>
                <c:ptCount val="30"/>
                <c:pt idx="0">
                  <c:v>139.17568201984852</c:v>
                </c:pt>
                <c:pt idx="1">
                  <c:v>160.38554981788596</c:v>
                </c:pt>
                <c:pt idx="2">
                  <c:v>185.02478117631341</c:v>
                </c:pt>
                <c:pt idx="3">
                  <c:v>213.06215642537896</c:v>
                </c:pt>
                <c:pt idx="4">
                  <c:v>245.72489931499453</c:v>
                </c:pt>
                <c:pt idx="5">
                  <c:v>285.10357750377392</c:v>
                </c:pt>
                <c:pt idx="6">
                  <c:v>331.46420059722959</c:v>
                </c:pt>
                <c:pt idx="7">
                  <c:v>386.30262904389554</c:v>
                </c:pt>
                <c:pt idx="8">
                  <c:v>453.06036418881973</c:v>
                </c:pt>
                <c:pt idx="9">
                  <c:v>538.44935413463861</c:v>
                </c:pt>
                <c:pt idx="10">
                  <c:v>646.03498545676575</c:v>
                </c:pt>
                <c:pt idx="11">
                  <c:v>778.26219216424408</c:v>
                </c:pt>
                <c:pt idx="12">
                  <c:v>925.98771184560223</c:v>
                </c:pt>
                <c:pt idx="13">
                  <c:v>1111.7064497619101</c:v>
                </c:pt>
                <c:pt idx="14">
                  <c:v>1325.333927606971</c:v>
                </c:pt>
                <c:pt idx="15">
                  <c:v>1606.972332525705</c:v>
                </c:pt>
                <c:pt idx="16">
                  <c:v>1916.591523728735</c:v>
                </c:pt>
                <c:pt idx="17">
                  <c:v>2296.3577408266106</c:v>
                </c:pt>
                <c:pt idx="18">
                  <c:v>2718.0558825729245</c:v>
                </c:pt>
                <c:pt idx="19">
                  <c:v>3131.19459396306</c:v>
                </c:pt>
                <c:pt idx="20">
                  <c:v>3606.074047818161</c:v>
                </c:pt>
                <c:pt idx="21">
                  <c:v>4183.5563852223859</c:v>
                </c:pt>
                <c:pt idx="22">
                  <c:v>4723.630422380782</c:v>
                </c:pt>
                <c:pt idx="23">
                  <c:v>4902.7327158518601</c:v>
                </c:pt>
                <c:pt idx="24">
                  <c:v>4545.6501307690196</c:v>
                </c:pt>
                <c:pt idx="25">
                  <c:v>3838.3001357991411</c:v>
                </c:pt>
                <c:pt idx="26">
                  <c:v>3035.5388805697949</c:v>
                </c:pt>
                <c:pt idx="27">
                  <c:v>2275.9240402285577</c:v>
                </c:pt>
                <c:pt idx="28">
                  <c:v>1717.6333961681898</c:v>
                </c:pt>
                <c:pt idx="29">
                  <c:v>1454.7508182381694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7D-413F-93E5-952A11AE8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47752"/>
        <c:axId val="453548144"/>
      </c:scatterChart>
      <c:valAx>
        <c:axId val="45354775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286579687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3548144"/>
        <c:crosses val="autoZero"/>
        <c:crossBetween val="midCat"/>
      </c:valAx>
      <c:valAx>
        <c:axId val="453548144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3547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Complex permeability</a:t>
            </a:r>
          </a:p>
        </c:rich>
      </c:tx>
      <c:layout>
        <c:manualLayout>
          <c:xMode val="edge"/>
          <c:yMode val="edge"/>
          <c:x val="0.3979936360080770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662207357859535E-2"/>
          <c:y val="0.18080376848904037"/>
          <c:w val="0.78093715710285383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'42-001-31'!$A$19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'42-001-31'!$B$18:$AE$18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'42-001-31'!$B$19:$AE$19</c:f>
              <c:numCache>
                <c:formatCode>0</c:formatCode>
                <c:ptCount val="30"/>
                <c:pt idx="0">
                  <c:v>1.9121445035223179</c:v>
                </c:pt>
                <c:pt idx="1">
                  <c:v>1.9574362303797543</c:v>
                </c:pt>
                <c:pt idx="2">
                  <c:v>2.0226374329293155</c:v>
                </c:pt>
                <c:pt idx="3">
                  <c:v>2.13811662060994</c:v>
                </c:pt>
                <c:pt idx="4">
                  <c:v>2.2733346634365299</c:v>
                </c:pt>
                <c:pt idx="5">
                  <c:v>2.4696466463547706</c:v>
                </c:pt>
                <c:pt idx="6">
                  <c:v>2.7791213259113334</c:v>
                </c:pt>
                <c:pt idx="7">
                  <c:v>3.1775320463613363</c:v>
                </c:pt>
                <c:pt idx="8">
                  <c:v>3.761712878740791</c:v>
                </c:pt>
                <c:pt idx="9">
                  <c:v>4.5431176223534013</c:v>
                </c:pt>
                <c:pt idx="10">
                  <c:v>6.0421780525816695</c:v>
                </c:pt>
                <c:pt idx="11">
                  <c:v>8.8077479841265731</c:v>
                </c:pt>
                <c:pt idx="12">
                  <c:v>13.980324367016085</c:v>
                </c:pt>
                <c:pt idx="13">
                  <c:v>23.484815673283332</c:v>
                </c:pt>
                <c:pt idx="14">
                  <c:v>38.259354026927227</c:v>
                </c:pt>
                <c:pt idx="15">
                  <c:v>56.472371106696684</c:v>
                </c:pt>
                <c:pt idx="16">
                  <c:v>80.674965517493945</c:v>
                </c:pt>
                <c:pt idx="17">
                  <c:v>95.766108505532216</c:v>
                </c:pt>
                <c:pt idx="18">
                  <c:v>106.15987426408267</c:v>
                </c:pt>
                <c:pt idx="19">
                  <c:v>111.79845317976333</c:v>
                </c:pt>
                <c:pt idx="20">
                  <c:v>115.41576165229573</c:v>
                </c:pt>
                <c:pt idx="21">
                  <c:v>118.74905396107683</c:v>
                </c:pt>
                <c:pt idx="22">
                  <c:v>121.58877771325294</c:v>
                </c:pt>
                <c:pt idx="23">
                  <c:v>124.23422193122427</c:v>
                </c:pt>
                <c:pt idx="24">
                  <c:v>125.68862620524732</c:v>
                </c:pt>
                <c:pt idx="25">
                  <c:v>126.48837881104612</c:v>
                </c:pt>
                <c:pt idx="26">
                  <c:v>131.67124057216782</c:v>
                </c:pt>
                <c:pt idx="27">
                  <c:v>151.46200540619219</c:v>
                </c:pt>
                <c:pt idx="28">
                  <c:v>204.89884681421552</c:v>
                </c:pt>
                <c:pt idx="29">
                  <c:v>325.6578397936072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F6-417C-B59D-AADD9B862FEE}"/>
            </c:ext>
          </c:extLst>
        </c:ser>
        <c:ser>
          <c:idx val="1"/>
          <c:order val="1"/>
          <c:tx>
            <c:strRef>
              <c:f>'42-001-31'!$A$20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'42-001-31'!$B$18:$AE$18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'42-001-31'!$B$20:$AE$20</c:f>
              <c:numCache>
                <c:formatCode>0</c:formatCode>
                <c:ptCount val="30"/>
                <c:pt idx="0">
                  <c:v>216.56677081846061</c:v>
                </c:pt>
                <c:pt idx="1">
                  <c:v>217.14871349507604</c:v>
                </c:pt>
                <c:pt idx="2">
                  <c:v>217.9262915874186</c:v>
                </c:pt>
                <c:pt idx="3">
                  <c:v>218.26130634875207</c:v>
                </c:pt>
                <c:pt idx="4">
                  <c:v>218.86564770997416</c:v>
                </c:pt>
                <c:pt idx="5">
                  <c:v>220.69798291534474</c:v>
                </c:pt>
                <c:pt idx="6">
                  <c:v>222.86931423204547</c:v>
                </c:pt>
                <c:pt idx="7">
                  <c:v>225.43540443442456</c:v>
                </c:pt>
                <c:pt idx="8">
                  <c:v>229.21687247983448</c:v>
                </c:pt>
                <c:pt idx="9">
                  <c:v>235.77294877348464</c:v>
                </c:pt>
                <c:pt idx="10">
                  <c:v>244.24136720170733</c:v>
                </c:pt>
                <c:pt idx="11">
                  <c:v>253.20428554657747</c:v>
                </c:pt>
                <c:pt idx="12">
                  <c:v>258.23510458974437</c:v>
                </c:pt>
                <c:pt idx="13">
                  <c:v>263.84961579974163</c:v>
                </c:pt>
                <c:pt idx="14">
                  <c:v>265.12039210045725</c:v>
                </c:pt>
                <c:pt idx="15">
                  <c:v>266.95307501135346</c:v>
                </c:pt>
                <c:pt idx="16">
                  <c:v>259.57203478269071</c:v>
                </c:pt>
                <c:pt idx="17">
                  <c:v>251.20457283472493</c:v>
                </c:pt>
                <c:pt idx="18">
                  <c:v>237.84015515956833</c:v>
                </c:pt>
                <c:pt idx="19">
                  <c:v>218.25882830152995</c:v>
                </c:pt>
                <c:pt idx="20">
                  <c:v>198.96334379253616</c:v>
                </c:pt>
                <c:pt idx="21">
                  <c:v>182.68089201570345</c:v>
                </c:pt>
                <c:pt idx="22">
                  <c:v>168.49007711967346</c:v>
                </c:pt>
                <c:pt idx="23">
                  <c:v>155.67988040016419</c:v>
                </c:pt>
                <c:pt idx="24">
                  <c:v>144.24901848827639</c:v>
                </c:pt>
                <c:pt idx="25">
                  <c:v>131.93407537755965</c:v>
                </c:pt>
                <c:pt idx="26">
                  <c:v>113.8081278926735</c:v>
                </c:pt>
                <c:pt idx="27">
                  <c:v>80.072509261330453</c:v>
                </c:pt>
                <c:pt idx="28">
                  <c:v>12.66483834112536</c:v>
                </c:pt>
                <c:pt idx="29">
                  <c:v>-120.18242149596054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F6-417C-B59D-AADD9B862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548928"/>
        <c:axId val="453549320"/>
      </c:scatterChart>
      <c:valAx>
        <c:axId val="453548928"/>
        <c:scaling>
          <c:logBase val="10"/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5167187475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3549320"/>
        <c:crosses val="autoZero"/>
        <c:crossBetween val="midCat"/>
      </c:valAx>
      <c:valAx>
        <c:axId val="453549320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permeability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3548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7767909205746467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Zcm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'42-001-31'!$A$26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'42-001-31'!$B$18:$AE$18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'42-001-31'!$B$26:$AE$26</c:f>
              <c:numCache>
                <c:formatCode>0</c:formatCode>
                <c:ptCount val="30"/>
                <c:pt idx="0">
                  <c:v>1.23079479477806</c:v>
                </c:pt>
                <c:pt idx="1">
                  <c:v>1.4488319362178499</c:v>
                </c:pt>
                <c:pt idx="2">
                  <c:v>1.72212589040395</c:v>
                </c:pt>
                <c:pt idx="3">
                  <c:v>2.0950122919696401</c:v>
                </c:pt>
                <c:pt idx="4">
                  <c:v>2.5650236580429202</c:v>
                </c:pt>
                <c:pt idx="5">
                  <c:v>3.2115506291679998</c:v>
                </c:pt>
                <c:pt idx="6">
                  <c:v>4.1699650510114301</c:v>
                </c:pt>
                <c:pt idx="7">
                  <c:v>5.5097066463394597</c:v>
                </c:pt>
                <c:pt idx="8">
                  <c:v>7.5543203265287904</c:v>
                </c:pt>
                <c:pt idx="9">
                  <c:v>10.6022065146624</c:v>
                </c:pt>
                <c:pt idx="10">
                  <c:v>16.4625525669049</c:v>
                </c:pt>
                <c:pt idx="11">
                  <c:v>28.1928637143813</c:v>
                </c:pt>
                <c:pt idx="12">
                  <c:v>52.930969224810298</c:v>
                </c:pt>
                <c:pt idx="13">
                  <c:v>106.342061281414</c:v>
                </c:pt>
                <c:pt idx="14">
                  <c:v>209.61499796773299</c:v>
                </c:pt>
                <c:pt idx="15">
                  <c:v>381.62421985891598</c:v>
                </c:pt>
                <c:pt idx="16">
                  <c:v>680.29136476462895</c:v>
                </c:pt>
                <c:pt idx="17">
                  <c:v>1031.7090970684301</c:v>
                </c:pt>
                <c:pt idx="18">
                  <c:v>1486.1161971792999</c:v>
                </c:pt>
                <c:pt idx="19">
                  <c:v>2039.6914869422801</c:v>
                </c:pt>
                <c:pt idx="20">
                  <c:v>2763.47334617457</c:v>
                </c:pt>
                <c:pt idx="21">
                  <c:v>3712.7744253420401</c:v>
                </c:pt>
                <c:pt idx="22">
                  <c:v>4639.3749580041203</c:v>
                </c:pt>
                <c:pt idx="23">
                  <c:v>4838.0371850214497</c:v>
                </c:pt>
                <c:pt idx="24">
                  <c:v>3969.6704770850201</c:v>
                </c:pt>
                <c:pt idx="25">
                  <c:v>2717.13316321206</c:v>
                </c:pt>
                <c:pt idx="26">
                  <c:v>1698.51213390619</c:v>
                </c:pt>
                <c:pt idx="27">
                  <c:v>986.66599139124105</c:v>
                </c:pt>
                <c:pt idx="28">
                  <c:v>460.94926029960601</c:v>
                </c:pt>
                <c:pt idx="29">
                  <c:v>160.00915670120699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0F-48EF-B3B3-29D12127921D}"/>
            </c:ext>
          </c:extLst>
        </c:ser>
        <c:ser>
          <c:idx val="1"/>
          <c:order val="1"/>
          <c:tx>
            <c:strRef>
              <c:f>'42-001-31'!$A$27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'42-001-31'!$B$18:$AE$18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'42-001-31'!$B$27:$AE$27</c:f>
              <c:numCache>
                <c:formatCode>0</c:formatCode>
                <c:ptCount val="30"/>
                <c:pt idx="0">
                  <c:v>139.17023967020799</c:v>
                </c:pt>
                <c:pt idx="1">
                  <c:v>160.37900572209</c:v>
                </c:pt>
                <c:pt idx="2">
                  <c:v>185.01676662335299</c:v>
                </c:pt>
                <c:pt idx="3">
                  <c:v>213.05185618559901</c:v>
                </c:pt>
                <c:pt idx="4">
                  <c:v>245.711511323743</c:v>
                </c:pt>
                <c:pt idx="5">
                  <c:v>285.08548866613103</c:v>
                </c:pt>
                <c:pt idx="6">
                  <c:v>331.43796956449302</c:v>
                </c:pt>
                <c:pt idx="7">
                  <c:v>386.26333548357502</c:v>
                </c:pt>
                <c:pt idx="8">
                  <c:v>452.997379510423</c:v>
                </c:pt>
                <c:pt idx="9">
                  <c:v>538.34496392650499</c:v>
                </c:pt>
                <c:pt idx="10">
                  <c:v>645.82519832931996</c:v>
                </c:pt>
                <c:pt idx="11">
                  <c:v>777.75137556154596</c:v>
                </c:pt>
                <c:pt idx="12">
                  <c:v>924.47366376007506</c:v>
                </c:pt>
                <c:pt idx="13">
                  <c:v>1106.6086012880301</c:v>
                </c:pt>
                <c:pt idx="14">
                  <c:v>1308.6525789120301</c:v>
                </c:pt>
                <c:pt idx="15">
                  <c:v>1561.0006509672501</c:v>
                </c:pt>
                <c:pt idx="16">
                  <c:v>1791.7942760974299</c:v>
                </c:pt>
                <c:pt idx="17">
                  <c:v>2051.5445919795502</c:v>
                </c:pt>
                <c:pt idx="18">
                  <c:v>2275.8045674597402</c:v>
                </c:pt>
                <c:pt idx="19">
                  <c:v>2375.7184646667802</c:v>
                </c:pt>
                <c:pt idx="20">
                  <c:v>2316.6754419491699</c:v>
                </c:pt>
                <c:pt idx="21">
                  <c:v>1928.06900676845</c:v>
                </c:pt>
                <c:pt idx="22">
                  <c:v>888.19162700709296</c:v>
                </c:pt>
                <c:pt idx="23">
                  <c:v>-793.841469963549</c:v>
                </c:pt>
                <c:pt idx="24">
                  <c:v>-2214.6447603893498</c:v>
                </c:pt>
                <c:pt idx="25">
                  <c:v>-2711.0395249514399</c:v>
                </c:pt>
                <c:pt idx="26">
                  <c:v>-2515.8602557424301</c:v>
                </c:pt>
                <c:pt idx="27">
                  <c:v>-2050.93160742191</c:v>
                </c:pt>
                <c:pt idx="28">
                  <c:v>-1654.6269256426101</c:v>
                </c:pt>
                <c:pt idx="29">
                  <c:v>-1445.9242763493501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0F-48EF-B3B3-29D121279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70344"/>
        <c:axId val="454360896"/>
      </c:scatterChart>
      <c:valAx>
        <c:axId val="45587034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286579687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4360896"/>
        <c:crosses val="autoZero"/>
        <c:crossBetween val="midCat"/>
      </c:valAx>
      <c:valAx>
        <c:axId val="454360896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</a:t>
                </a:r>
                <a:r>
                  <a:rPr lang="en-AU" baseline="0"/>
                  <a:t> (</a:t>
                </a:r>
                <a:r>
                  <a:rPr lang="en-AU"/>
                  <a:t>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58703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180975</xdr:colOff>
      <xdr:row>28</xdr:row>
      <xdr:rowOff>133350</xdr:rowOff>
    </xdr:from>
    <xdr:to>
      <xdr:col>19</xdr:col>
      <xdr:colOff>390525</xdr:colOff>
      <xdr:row>55</xdr:row>
      <xdr:rowOff>28575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714375</xdr:colOff>
      <xdr:row>33</xdr:row>
      <xdr:rowOff>9525</xdr:rowOff>
    </xdr:from>
    <xdr:to>
      <xdr:col>8</xdr:col>
      <xdr:colOff>190500</xdr:colOff>
      <xdr:row>59</xdr:row>
      <xdr:rowOff>66675</xdr:rowOff>
    </xdr:to>
    <xdr:graphicFrame macro="">
      <xdr:nvGraphicFramePr>
        <xdr:cNvPr id="1027" name="Chart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485775</xdr:colOff>
      <xdr:row>0</xdr:row>
      <xdr:rowOff>180975</xdr:rowOff>
    </xdr:from>
    <xdr:to>
      <xdr:col>18</xdr:col>
      <xdr:colOff>85725</xdr:colOff>
      <xdr:row>26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6075AD-7376-4CF2-A273-60E61BA9F6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714375</xdr:colOff>
      <xdr:row>33</xdr:row>
      <xdr:rowOff>9525</xdr:rowOff>
    </xdr:from>
    <xdr:to>
      <xdr:col>8</xdr:col>
      <xdr:colOff>190500</xdr:colOff>
      <xdr:row>59</xdr:row>
      <xdr:rowOff>66675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5824B678-9A94-4B38-8FFE-23B8BDE0CD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31</xdr:row>
      <xdr:rowOff>0</xdr:rowOff>
    </xdr:from>
    <xdr:to>
      <xdr:col>19</xdr:col>
      <xdr:colOff>209550</xdr:colOff>
      <xdr:row>57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3915E4-AA68-4A1D-A880-8064A70D66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0</xdr:row>
      <xdr:rowOff>171450</xdr:rowOff>
    </xdr:from>
    <xdr:to>
      <xdr:col>18</xdr:col>
      <xdr:colOff>247650</xdr:colOff>
      <xdr:row>26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6275C4-6780-46CE-ACFD-C2C71899F5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714375</xdr:colOff>
      <xdr:row>33</xdr:row>
      <xdr:rowOff>9525</xdr:rowOff>
    </xdr:from>
    <xdr:to>
      <xdr:col>8</xdr:col>
      <xdr:colOff>190500</xdr:colOff>
      <xdr:row>59</xdr:row>
      <xdr:rowOff>66675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B8601CBB-2A96-4C8D-83B0-43B840BAE9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31</xdr:row>
      <xdr:rowOff>0</xdr:rowOff>
    </xdr:from>
    <xdr:to>
      <xdr:col>19</xdr:col>
      <xdr:colOff>209550</xdr:colOff>
      <xdr:row>57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73AA127-A525-4C3D-B320-E5C0BA70F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485775</xdr:colOff>
      <xdr:row>0</xdr:row>
      <xdr:rowOff>180975</xdr:rowOff>
    </xdr:from>
    <xdr:to>
      <xdr:col>18</xdr:col>
      <xdr:colOff>85725</xdr:colOff>
      <xdr:row>26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714375</xdr:colOff>
      <xdr:row>33</xdr:row>
      <xdr:rowOff>9525</xdr:rowOff>
    </xdr:from>
    <xdr:to>
      <xdr:col>8</xdr:col>
      <xdr:colOff>190500</xdr:colOff>
      <xdr:row>59</xdr:row>
      <xdr:rowOff>66675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31</xdr:row>
      <xdr:rowOff>0</xdr:rowOff>
    </xdr:from>
    <xdr:to>
      <xdr:col>19</xdr:col>
      <xdr:colOff>209550</xdr:colOff>
      <xdr:row>57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vk1od.net/blog/?p=806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35"/>
  <sheetViews>
    <sheetView topLeftCell="A10" workbookViewId="0">
      <selection activeCell="B13" sqref="B1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3" ht="20.25" x14ac:dyDescent="0.3">
      <c r="A1" s="9" t="s">
        <v>28</v>
      </c>
    </row>
    <row r="3" spans="1:3" x14ac:dyDescent="0.2">
      <c r="A3" s="8" t="s">
        <v>30</v>
      </c>
    </row>
    <row r="4" spans="1:3" x14ac:dyDescent="0.2">
      <c r="A4" s="13" t="s">
        <v>29</v>
      </c>
    </row>
    <row r="6" spans="1:3" x14ac:dyDescent="0.2">
      <c r="A6" s="8" t="s">
        <v>18</v>
      </c>
    </row>
    <row r="7" spans="1:3" x14ac:dyDescent="0.2">
      <c r="A7" t="s">
        <v>3</v>
      </c>
      <c r="B7" s="3">
        <v>567</v>
      </c>
      <c r="C7" s="15" t="s">
        <v>32</v>
      </c>
    </row>
    <row r="8" spans="1:3" x14ac:dyDescent="0.2">
      <c r="A8" t="s">
        <v>7</v>
      </c>
      <c r="B8" s="3">
        <v>11</v>
      </c>
    </row>
    <row r="9" spans="1:3" x14ac:dyDescent="0.2">
      <c r="A9" t="s">
        <v>10</v>
      </c>
      <c r="B9" s="3">
        <v>5</v>
      </c>
    </row>
    <row r="11" spans="1:3" x14ac:dyDescent="0.2">
      <c r="A11" s="8" t="s">
        <v>19</v>
      </c>
    </row>
    <row r="12" spans="1:3" x14ac:dyDescent="0.2">
      <c r="A12" t="s">
        <v>21</v>
      </c>
      <c r="B12" t="str">
        <f>Mix!B1</f>
        <v>F14</v>
      </c>
    </row>
    <row r="13" spans="1:3" x14ac:dyDescent="0.2">
      <c r="A13" t="s">
        <v>20</v>
      </c>
      <c r="B13">
        <f>Mix!B2</f>
        <v>220</v>
      </c>
    </row>
    <row r="15" spans="1:3" x14ac:dyDescent="0.2">
      <c r="A15" s="8" t="s">
        <v>22</v>
      </c>
    </row>
    <row r="16" spans="1:3" x14ac:dyDescent="0.2">
      <c r="A16" s="2" t="s">
        <v>11</v>
      </c>
      <c r="B16" s="4">
        <f>2*PI()*$B$8^2*$B$7*0.000000001</f>
        <v>4.3107049436966991E-4</v>
      </c>
    </row>
    <row r="18" spans="1:31" x14ac:dyDescent="0.2">
      <c r="A18" t="s">
        <v>4</v>
      </c>
      <c r="B18" s="10">
        <v>1.04</v>
      </c>
      <c r="C18" s="10">
        <f>B18*2^(1/5)</f>
        <v>1.1946462891969165</v>
      </c>
      <c r="D18" s="10">
        <f t="shared" ref="D18:AE18" si="0">C18*2^(1/5)</f>
        <v>1.3722882272038102</v>
      </c>
      <c r="E18" s="10">
        <f t="shared" si="0"/>
        <v>1.5763452291708142</v>
      </c>
      <c r="F18" s="10">
        <f t="shared" si="0"/>
        <v>1.8107451716559386</v>
      </c>
      <c r="G18" s="10">
        <f t="shared" si="0"/>
        <v>2.0800000000000005</v>
      </c>
      <c r="H18" s="10">
        <f t="shared" si="0"/>
        <v>2.3892925783938335</v>
      </c>
      <c r="I18" s="10">
        <f t="shared" si="0"/>
        <v>2.7445764544076212</v>
      </c>
      <c r="J18" s="10">
        <f t="shared" si="0"/>
        <v>3.1526904583416298</v>
      </c>
      <c r="K18" s="10">
        <f t="shared" si="0"/>
        <v>3.6214903433118786</v>
      </c>
      <c r="L18" s="10">
        <f t="shared" si="0"/>
        <v>4.1600000000000028</v>
      </c>
      <c r="M18" s="10">
        <f t="shared" si="0"/>
        <v>4.7785851567876696</v>
      </c>
      <c r="N18" s="10">
        <f t="shared" si="0"/>
        <v>5.4891529088152451</v>
      </c>
      <c r="O18" s="10">
        <f t="shared" si="0"/>
        <v>6.3053809166832622</v>
      </c>
      <c r="P18" s="10">
        <f t="shared" si="0"/>
        <v>7.2429806866237607</v>
      </c>
      <c r="Q18" s="10">
        <f t="shared" si="0"/>
        <v>8.3200000000000092</v>
      </c>
      <c r="R18" s="10">
        <f t="shared" si="0"/>
        <v>9.5571703135753427</v>
      </c>
      <c r="S18" s="10">
        <f t="shared" si="0"/>
        <v>10.978305817630494</v>
      </c>
      <c r="T18" s="10">
        <f t="shared" si="0"/>
        <v>12.610761833366528</v>
      </c>
      <c r="U18" s="10">
        <f t="shared" si="0"/>
        <v>14.485961373247525</v>
      </c>
      <c r="V18" s="10">
        <f t="shared" si="0"/>
        <v>16.640000000000022</v>
      </c>
      <c r="W18" s="10">
        <f t="shared" si="0"/>
        <v>19.114340627150689</v>
      </c>
      <c r="X18" s="10">
        <f t="shared" si="0"/>
        <v>21.956611635260991</v>
      </c>
      <c r="Y18" s="10">
        <f t="shared" si="0"/>
        <v>25.221523666733063</v>
      </c>
      <c r="Z18" s="10">
        <f t="shared" si="0"/>
        <v>28.971922746495057</v>
      </c>
      <c r="AA18" s="10">
        <f t="shared" si="0"/>
        <v>33.280000000000058</v>
      </c>
      <c r="AB18" s="10">
        <f t="shared" si="0"/>
        <v>38.228681254301392</v>
      </c>
      <c r="AC18" s="10">
        <f t="shared" si="0"/>
        <v>43.913223270522003</v>
      </c>
      <c r="AD18" s="10">
        <f t="shared" si="0"/>
        <v>50.443047333466147</v>
      </c>
      <c r="AE18" s="10">
        <f t="shared" si="0"/>
        <v>57.943845492990143</v>
      </c>
    </row>
    <row r="19" spans="1:31" x14ac:dyDescent="0.2">
      <c r="A19" t="s">
        <v>6</v>
      </c>
      <c r="B19" s="7">
        <f>csinterpolate(CSTableU2,Choke!B18*1000000)</f>
        <v>1.9121445035223179</v>
      </c>
      <c r="C19" s="7">
        <f>csinterpolate(CSTableU2,Choke!C18*1000000)</f>
        <v>1.9574362303797543</v>
      </c>
      <c r="D19" s="7">
        <f>csinterpolate(CSTableU2,Choke!D18*1000000)</f>
        <v>2.0226374329293155</v>
      </c>
      <c r="E19" s="7">
        <f>csinterpolate(CSTableU2,Choke!E18*1000000)</f>
        <v>2.13811662060994</v>
      </c>
      <c r="F19" s="7">
        <f>csinterpolate(CSTableU2,Choke!F18*1000000)</f>
        <v>2.2733346634365299</v>
      </c>
      <c r="G19" s="7">
        <f>csinterpolate(CSTableU2,Choke!G18*1000000)</f>
        <v>2.4696466463547706</v>
      </c>
      <c r="H19" s="7">
        <f>csinterpolate(CSTableU2,Choke!H18*1000000)</f>
        <v>2.7791213259113334</v>
      </c>
      <c r="I19" s="7">
        <f>csinterpolate(CSTableU2,Choke!I18*1000000)</f>
        <v>3.1775320463613363</v>
      </c>
      <c r="J19" s="7">
        <f>csinterpolate(CSTableU2,Choke!J18*1000000)</f>
        <v>3.761712878740791</v>
      </c>
      <c r="K19" s="7">
        <f>csinterpolate(CSTableU2,Choke!K18*1000000)</f>
        <v>4.5431176223534013</v>
      </c>
      <c r="L19" s="7">
        <f>csinterpolate(CSTableU2,Choke!L18*1000000)</f>
        <v>6.0421780525816695</v>
      </c>
      <c r="M19" s="7">
        <f>csinterpolate(CSTableU2,Choke!M18*1000000)</f>
        <v>8.8077479841265731</v>
      </c>
      <c r="N19" s="7">
        <f>csinterpolate(CSTableU2,Choke!N18*1000000)</f>
        <v>13.980324367016085</v>
      </c>
      <c r="O19" s="7">
        <f>csinterpolate(CSTableU2,Choke!O18*1000000)</f>
        <v>23.484815673283332</v>
      </c>
      <c r="P19" s="7">
        <f>csinterpolate(CSTableU2,Choke!P18*1000000)</f>
        <v>38.259354026927227</v>
      </c>
      <c r="Q19" s="7">
        <f>csinterpolate(CSTableU2,Choke!Q18*1000000)</f>
        <v>56.472371106696684</v>
      </c>
      <c r="R19" s="7">
        <f>csinterpolate(CSTableU2,Choke!R18*1000000)</f>
        <v>80.674965517493945</v>
      </c>
      <c r="S19" s="7">
        <f>csinterpolate(CSTableU2,Choke!S18*1000000)</f>
        <v>95.766108505532216</v>
      </c>
      <c r="T19" s="7">
        <f>csinterpolate(CSTableU2,Choke!T18*1000000)</f>
        <v>106.15987426408267</v>
      </c>
      <c r="U19" s="7">
        <f>csinterpolate(CSTableU2,Choke!U18*1000000)</f>
        <v>111.79845317976333</v>
      </c>
      <c r="V19" s="7">
        <f>csinterpolate(CSTableU2,Choke!V18*1000000)</f>
        <v>115.41576165229573</v>
      </c>
      <c r="W19" s="7">
        <f>csinterpolate(CSTableU2,Choke!W18*1000000)</f>
        <v>118.74905396107683</v>
      </c>
      <c r="X19" s="7">
        <f>csinterpolate(CSTableU2,Choke!X18*1000000)</f>
        <v>121.58877771325294</v>
      </c>
      <c r="Y19" s="7">
        <f>csinterpolate(CSTableU2,Choke!Y18*1000000)</f>
        <v>124.23422193122427</v>
      </c>
      <c r="Z19" s="7">
        <f>csinterpolate(CSTableU2,Choke!Z18*1000000)</f>
        <v>125.68862620524732</v>
      </c>
      <c r="AA19" s="7">
        <f>csinterpolate(CSTableU2,Choke!AA18*1000000)</f>
        <v>126.48837881104612</v>
      </c>
      <c r="AB19" s="7">
        <f>csinterpolate(CSTableU2,Choke!AB18*1000000)</f>
        <v>131.67124057216782</v>
      </c>
      <c r="AC19" s="7">
        <f>csinterpolate(CSTableU2,Choke!AC18*1000000)</f>
        <v>151.46200540619219</v>
      </c>
      <c r="AD19" s="7">
        <f>csinterpolate(CSTableU2,Choke!AD18*1000000)</f>
        <v>204.89884681421552</v>
      </c>
      <c r="AE19" s="7">
        <f>csinterpolate(CSTableU2,Choke!AE18*1000000)</f>
        <v>325.6578397936072</v>
      </c>
    </row>
    <row r="20" spans="1:31" x14ac:dyDescent="0.2">
      <c r="A20" t="s">
        <v>5</v>
      </c>
      <c r="B20" s="7">
        <f>csinterpolate(CSTableU1,Choke!B18*1000000)</f>
        <v>216.56677081846061</v>
      </c>
      <c r="C20" s="7">
        <f>csinterpolate(CSTableU1,Choke!C18*1000000)</f>
        <v>217.14871349507604</v>
      </c>
      <c r="D20" s="7">
        <f>csinterpolate(CSTableU1,Choke!D18*1000000)</f>
        <v>217.9262915874186</v>
      </c>
      <c r="E20" s="7">
        <f>csinterpolate(CSTableU1,Choke!E18*1000000)</f>
        <v>218.26130634875207</v>
      </c>
      <c r="F20" s="7">
        <f>csinterpolate(CSTableU1,Choke!F18*1000000)</f>
        <v>218.86564770997416</v>
      </c>
      <c r="G20" s="7">
        <f>csinterpolate(CSTableU1,Choke!G18*1000000)</f>
        <v>220.69798291534474</v>
      </c>
      <c r="H20" s="7">
        <f>csinterpolate(CSTableU1,Choke!H18*1000000)</f>
        <v>222.86931423204547</v>
      </c>
      <c r="I20" s="7">
        <f>csinterpolate(CSTableU1,Choke!I18*1000000)</f>
        <v>225.43540443442456</v>
      </c>
      <c r="J20" s="7">
        <f>csinterpolate(CSTableU1,Choke!J18*1000000)</f>
        <v>229.21687247983448</v>
      </c>
      <c r="K20" s="7">
        <f>csinterpolate(CSTableU1,Choke!K18*1000000)</f>
        <v>235.77294877348464</v>
      </c>
      <c r="L20" s="7">
        <f>csinterpolate(CSTableU1,Choke!L18*1000000)</f>
        <v>244.24136720170733</v>
      </c>
      <c r="M20" s="7">
        <f>csinterpolate(CSTableU1,Choke!M18*1000000)</f>
        <v>253.20428554657747</v>
      </c>
      <c r="N20" s="7">
        <f>csinterpolate(CSTableU1,Choke!N18*1000000)</f>
        <v>258.23510458974437</v>
      </c>
      <c r="O20" s="7">
        <f>csinterpolate(CSTableU1,Choke!O18*1000000)</f>
        <v>263.84961579974163</v>
      </c>
      <c r="P20" s="7">
        <f>csinterpolate(CSTableU1,Choke!P18*1000000)</f>
        <v>265.12039210045725</v>
      </c>
      <c r="Q20" s="7">
        <f>csinterpolate(CSTableU1,Choke!Q18*1000000)</f>
        <v>266.95307501135346</v>
      </c>
      <c r="R20" s="7">
        <f>csinterpolate(CSTableU1,Choke!R18*1000000)</f>
        <v>259.57203478269071</v>
      </c>
      <c r="S20" s="7">
        <f>csinterpolate(CSTableU1,Choke!S18*1000000)</f>
        <v>251.20457283472493</v>
      </c>
      <c r="T20" s="7">
        <f>csinterpolate(CSTableU1,Choke!T18*1000000)</f>
        <v>237.84015515956833</v>
      </c>
      <c r="U20" s="7">
        <f>csinterpolate(CSTableU1,Choke!U18*1000000)</f>
        <v>218.25882830152995</v>
      </c>
      <c r="V20" s="7">
        <f>csinterpolate(CSTableU1,Choke!V18*1000000)</f>
        <v>198.96334379253616</v>
      </c>
      <c r="W20" s="7">
        <f>csinterpolate(CSTableU1,Choke!W18*1000000)</f>
        <v>182.68089201570345</v>
      </c>
      <c r="X20" s="7">
        <f>csinterpolate(CSTableU1,Choke!X18*1000000)</f>
        <v>168.49007711967346</v>
      </c>
      <c r="Y20" s="7">
        <f>csinterpolate(CSTableU1,Choke!Y18*1000000)</f>
        <v>155.67988040016419</v>
      </c>
      <c r="Z20" s="7">
        <f>csinterpolate(CSTableU1,Choke!Z18*1000000)</f>
        <v>144.24901848827639</v>
      </c>
      <c r="AA20" s="7">
        <f>csinterpolate(CSTableU1,Choke!AA18*1000000)</f>
        <v>131.93407537755965</v>
      </c>
      <c r="AB20" s="7">
        <f>csinterpolate(CSTableU1,Choke!AB18*1000000)</f>
        <v>113.8081278926735</v>
      </c>
      <c r="AC20" s="7">
        <f>csinterpolate(CSTableU1,Choke!AC18*1000000)</f>
        <v>80.072509261330453</v>
      </c>
      <c r="AD20" s="7">
        <f>csinterpolate(CSTableU1,Choke!AD18*1000000)</f>
        <v>12.66483834112536</v>
      </c>
      <c r="AE20" s="7">
        <f>csinterpolate(CSTableU1,Choke!AE18*1000000)</f>
        <v>-120.18242149596054</v>
      </c>
    </row>
    <row r="21" spans="1:31" x14ac:dyDescent="0.2">
      <c r="A21" t="s">
        <v>12</v>
      </c>
      <c r="B21" s="5">
        <f t="shared" ref="B21:AE21" si="1">B19/$B$13*$B$16*B18*1000000</f>
        <v>3.89654472498726</v>
      </c>
      <c r="C21" s="5">
        <f t="shared" si="1"/>
        <v>4.581973547789711</v>
      </c>
      <c r="D21" s="5">
        <f t="shared" si="1"/>
        <v>5.4386234981603279</v>
      </c>
      <c r="E21" s="5">
        <f t="shared" si="1"/>
        <v>6.6040194391416271</v>
      </c>
      <c r="F21" s="5">
        <f t="shared" si="1"/>
        <v>8.065779154538907</v>
      </c>
      <c r="G21" s="5">
        <f t="shared" si="1"/>
        <v>10.065231570845913</v>
      </c>
      <c r="H21" s="5">
        <f t="shared" si="1"/>
        <v>13.010753764329326</v>
      </c>
      <c r="I21" s="5">
        <f t="shared" si="1"/>
        <v>17.087986380703132</v>
      </c>
      <c r="J21" s="5">
        <f t="shared" si="1"/>
        <v>23.237670701597942</v>
      </c>
      <c r="K21" s="5">
        <f t="shared" si="1"/>
        <v>32.237913761102959</v>
      </c>
      <c r="L21" s="5">
        <f t="shared" si="1"/>
        <v>49.250706680068902</v>
      </c>
      <c r="M21" s="5">
        <f t="shared" si="1"/>
        <v>82.468828669911076</v>
      </c>
      <c r="N21" s="5">
        <f t="shared" si="1"/>
        <v>150.36549680431881</v>
      </c>
      <c r="O21" s="5">
        <f t="shared" si="1"/>
        <v>290.15101933359938</v>
      </c>
      <c r="P21" s="5">
        <f t="shared" si="1"/>
        <v>542.97592895544176</v>
      </c>
      <c r="Q21" s="5">
        <f t="shared" si="1"/>
        <v>920.62966721595922</v>
      </c>
      <c r="R21" s="5">
        <f t="shared" si="1"/>
        <v>1510.7539228423918</v>
      </c>
      <c r="S21" s="5">
        <f t="shared" si="1"/>
        <v>2060.0263777032997</v>
      </c>
      <c r="T21" s="5">
        <f t="shared" si="1"/>
        <v>2623.1754303348944</v>
      </c>
      <c r="U21" s="5">
        <f t="shared" si="1"/>
        <v>3173.2824829368324</v>
      </c>
      <c r="V21" s="5">
        <f t="shared" si="1"/>
        <v>3763.0852807889069</v>
      </c>
      <c r="W21" s="5">
        <f t="shared" si="1"/>
        <v>4447.4911877493796</v>
      </c>
      <c r="X21" s="5">
        <f t="shared" si="1"/>
        <v>5230.9965024324792</v>
      </c>
      <c r="Y21" s="5">
        <f t="shared" si="1"/>
        <v>6139.5731831046178</v>
      </c>
      <c r="Z21" s="5">
        <f t="shared" si="1"/>
        <v>7135.0811124406837</v>
      </c>
      <c r="AA21" s="5">
        <f t="shared" si="1"/>
        <v>8248.2071717148592</v>
      </c>
      <c r="AB21" s="5">
        <f t="shared" si="1"/>
        <v>9862.9279575851342</v>
      </c>
      <c r="AC21" s="5">
        <f t="shared" si="1"/>
        <v>13032.407026900184</v>
      </c>
      <c r="AD21" s="5">
        <f t="shared" si="1"/>
        <v>20251.931321243188</v>
      </c>
      <c r="AE21" s="5">
        <f t="shared" si="1"/>
        <v>36973.832429916329</v>
      </c>
    </row>
    <row r="22" spans="1:31" x14ac:dyDescent="0.2">
      <c r="A22" t="s">
        <v>13</v>
      </c>
      <c r="B22" s="5">
        <f t="shared" ref="B22:AE22" si="2">B20/$B$13*$B$16*B18*1000000</f>
        <v>441.3171216326686</v>
      </c>
      <c r="C22" s="5">
        <f t="shared" si="2"/>
        <v>508.30246509638522</v>
      </c>
      <c r="D22" s="5">
        <f t="shared" si="2"/>
        <v>585.97701743201833</v>
      </c>
      <c r="E22" s="5">
        <f t="shared" si="2"/>
        <v>674.14559900311519</v>
      </c>
      <c r="F22" s="5">
        <f t="shared" si="2"/>
        <v>776.53414050141782</v>
      </c>
      <c r="G22" s="5">
        <f t="shared" si="2"/>
        <v>899.47131041613557</v>
      </c>
      <c r="H22" s="5">
        <f t="shared" si="2"/>
        <v>1043.3865344641652</v>
      </c>
      <c r="I22" s="5">
        <f t="shared" si="2"/>
        <v>1212.3361981872167</v>
      </c>
      <c r="J22" s="5">
        <f t="shared" si="2"/>
        <v>1415.9683031735162</v>
      </c>
      <c r="K22" s="5">
        <f t="shared" si="2"/>
        <v>1673.0423074151454</v>
      </c>
      <c r="L22" s="5">
        <f t="shared" si="2"/>
        <v>1990.848305115831</v>
      </c>
      <c r="M22" s="5">
        <f t="shared" si="2"/>
        <v>2370.8058950892728</v>
      </c>
      <c r="N22" s="5">
        <f t="shared" si="2"/>
        <v>2777.4498484143414</v>
      </c>
      <c r="O22" s="5">
        <f t="shared" si="2"/>
        <v>3259.8184307729134</v>
      </c>
      <c r="P22" s="5">
        <f t="shared" si="2"/>
        <v>3762.5828989287379</v>
      </c>
      <c r="Q22" s="5">
        <f t="shared" si="2"/>
        <v>4351.9497374325001</v>
      </c>
      <c r="R22" s="5">
        <f t="shared" si="2"/>
        <v>4860.8569869558378</v>
      </c>
      <c r="S22" s="5">
        <f t="shared" si="2"/>
        <v>5403.6658094896775</v>
      </c>
      <c r="T22" s="5">
        <f t="shared" si="2"/>
        <v>5876.9516795924001</v>
      </c>
      <c r="U22" s="5">
        <f t="shared" si="2"/>
        <v>6195.0491880412701</v>
      </c>
      <c r="V22" s="5">
        <f t="shared" si="2"/>
        <v>6487.1211671923584</v>
      </c>
      <c r="W22" s="5">
        <f t="shared" si="2"/>
        <v>6841.9210958627627</v>
      </c>
      <c r="X22" s="5">
        <f t="shared" si="2"/>
        <v>7248.7857899695191</v>
      </c>
      <c r="Y22" s="5">
        <f t="shared" si="2"/>
        <v>7693.5968527489558</v>
      </c>
      <c r="Z22" s="5">
        <f t="shared" si="2"/>
        <v>8188.7158637814691</v>
      </c>
      <c r="AA22" s="5">
        <f t="shared" si="2"/>
        <v>8603.3167390688632</v>
      </c>
      <c r="AB22" s="5">
        <f t="shared" si="2"/>
        <v>8524.8787929346836</v>
      </c>
      <c r="AC22" s="5">
        <f t="shared" si="2"/>
        <v>6889.7643970864156</v>
      </c>
      <c r="AD22" s="5">
        <f t="shared" si="2"/>
        <v>1251.7758897475831</v>
      </c>
      <c r="AE22" s="5">
        <f t="shared" si="2"/>
        <v>-13645.010715017488</v>
      </c>
    </row>
    <row r="23" spans="1:31" x14ac:dyDescent="0.2">
      <c r="A23" t="s">
        <v>14</v>
      </c>
      <c r="B23" s="5" t="str">
        <f t="shared" ref="B23:AE23" si="3">IMDIV(1,COMPLEX(B21,B22))</f>
        <v>0.0000200052625935841-0.0022657676296363i</v>
      </c>
      <c r="C23" s="5" t="str">
        <f t="shared" si="3"/>
        <v>0.0000177326179723825-0.00196717273331325i</v>
      </c>
      <c r="D23" s="5" t="str">
        <f t="shared" si="3"/>
        <v>0.0000158376382661183-0.00170640457782864i</v>
      </c>
      <c r="E23" s="5" t="str">
        <f t="shared" si="3"/>
        <v>0.0000145297874376537-0.00148321675092133i</v>
      </c>
      <c r="F23" s="5" t="str">
        <f t="shared" si="3"/>
        <v>0.0000133745249566158-0.00128763446690156i</v>
      </c>
      <c r="G23" s="5" t="str">
        <f t="shared" si="3"/>
        <v>0.000012439266178437-0.00111162500051586i</v>
      </c>
      <c r="H23" s="5" t="str">
        <f t="shared" si="3"/>
        <v>0.0000119493553794103-0.000958268577227696i</v>
      </c>
      <c r="I23" s="5" t="str">
        <f t="shared" si="3"/>
        <v>0.0000116240767983288-0.000824689858662113i</v>
      </c>
      <c r="J23" s="5" t="str">
        <f t="shared" si="3"/>
        <v>0.0000115869352150173-0.00070604034311672i</v>
      </c>
      <c r="K23" s="5" t="str">
        <f t="shared" si="3"/>
        <v>0.0000115130889643806-0.000597491669876101i</v>
      </c>
      <c r="L23" s="5" t="str">
        <f t="shared" si="3"/>
        <v>0.0000124185366036036-0.000501991224408328i</v>
      </c>
      <c r="M23" s="5" t="str">
        <f t="shared" si="3"/>
        <v>0.0000146545554273901-0.000421287739349752i</v>
      </c>
      <c r="N23" s="5" t="str">
        <f t="shared" si="3"/>
        <v>0.0000194350078970176-0.000358990332787253i</v>
      </c>
      <c r="O23" s="5" t="str">
        <f t="shared" si="3"/>
        <v>0.0000270900711414851-0.000304354309699771i</v>
      </c>
      <c r="P23" s="5" t="str">
        <f t="shared" si="3"/>
        <v>0.0000375713710593226-0.000260352974595149i</v>
      </c>
      <c r="Q23" s="5" t="str">
        <f t="shared" si="3"/>
        <v>0.0000465269359033077-0.000219939562778005i</v>
      </c>
      <c r="R23" s="5" t="str">
        <f t="shared" si="3"/>
        <v>0.0000583070613891512-0.000187603210858508i</v>
      </c>
      <c r="S23" s="5" t="str">
        <f t="shared" si="3"/>
        <v>0.0000615975572301139-0.000161576869866853i</v>
      </c>
      <c r="T23" s="5" t="str">
        <f t="shared" si="3"/>
        <v>0.0000633317263514952-0.000141888144898258i</v>
      </c>
      <c r="U23" s="5" t="str">
        <f t="shared" si="3"/>
        <v>0.0000654982487442511-0.000127869130744915i</v>
      </c>
      <c r="V23" s="5" t="str">
        <f t="shared" si="3"/>
        <v>0.0000669069636568982-0.000115339820329621i</v>
      </c>
      <c r="W23" s="5" t="str">
        <f t="shared" si="3"/>
        <v>0.0000667871071168159-0.000102743793708431i</v>
      </c>
      <c r="X23" s="5" t="str">
        <f t="shared" si="3"/>
        <v>0.0000654625583335683-0.0000907138940740566i</v>
      </c>
      <c r="Y23" s="5" t="str">
        <f t="shared" si="3"/>
        <v>0.0000633691802913203-0.0000794089281958927i</v>
      </c>
      <c r="Z23" s="5" t="str">
        <f t="shared" si="3"/>
        <v>0.0000604850114904931-0.0000694168104479727i</v>
      </c>
      <c r="AA23" s="5" t="str">
        <f t="shared" si="3"/>
        <v>0.0000580655283794407-0.0000605654200809628i</v>
      </c>
      <c r="AB23" s="5" t="str">
        <f t="shared" si="3"/>
        <v>0.0000580339826984557-0.0000501608316012413i</v>
      </c>
      <c r="AC23" s="5" t="str">
        <f t="shared" si="3"/>
        <v>0.0000599708155065758-0.0000317044110645554i</v>
      </c>
      <c r="AD23" s="5" t="str">
        <f t="shared" si="3"/>
        <v>0.000049190075961821-3.04044834673475E-06i</v>
      </c>
      <c r="AE23" s="5" t="str">
        <f t="shared" si="3"/>
        <v>0.0000238041642366392+0.0000087848095456875i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0.0000326725635973338i</v>
      </c>
      <c r="C24" s="6" t="str">
        <f t="shared" si="4"/>
        <v>0.0000375309200577934i</v>
      </c>
      <c r="D24" s="6" t="str">
        <f t="shared" si="4"/>
        <v>0.0000431117061319125i</v>
      </c>
      <c r="E24" s="6" t="str">
        <f t="shared" si="4"/>
        <v>0.0000495223459148435i</v>
      </c>
      <c r="F24" s="6" t="str">
        <f t="shared" si="4"/>
        <v>0.0000568862372879748i</v>
      </c>
      <c r="G24" s="6" t="str">
        <f t="shared" si="4"/>
        <v>0.0000653451271946677i</v>
      </c>
      <c r="H24" s="6" t="str">
        <f t="shared" si="4"/>
        <v>0.0000750618401155868i</v>
      </c>
      <c r="I24" s="6" t="str">
        <f t="shared" si="4"/>
        <v>0.0000862234122638251i</v>
      </c>
      <c r="J24" s="6" t="str">
        <f t="shared" si="4"/>
        <v>0.000099044691829687i</v>
      </c>
      <c r="K24" s="6" t="str">
        <f t="shared" si="4"/>
        <v>0.00011377247457595i</v>
      </c>
      <c r="L24" s="6" t="str">
        <f t="shared" si="4"/>
        <v>0.000130690254389336i</v>
      </c>
      <c r="M24" s="6" t="str">
        <f t="shared" si="4"/>
        <v>0.000150123680231174i</v>
      </c>
      <c r="N24" s="6" t="str">
        <f t="shared" si="4"/>
        <v>0.00017244682452765i</v>
      </c>
      <c r="O24" s="6" t="str">
        <f t="shared" si="4"/>
        <v>0.000198089383659374i</v>
      </c>
      <c r="P24" s="6" t="str">
        <f t="shared" si="4"/>
        <v>0.0002275449491519i</v>
      </c>
      <c r="Q24" s="6" t="str">
        <f t="shared" si="4"/>
        <v>0.000261380508778671i</v>
      </c>
      <c r="R24" s="6" t="str">
        <f t="shared" si="4"/>
        <v>0.000300247360462348i</v>
      </c>
      <c r="S24" s="6" t="str">
        <f t="shared" si="4"/>
        <v>0.0003448936490553i</v>
      </c>
      <c r="T24" s="6" t="str">
        <f t="shared" si="4"/>
        <v>0.000396178767318748i</v>
      </c>
      <c r="U24" s="6" t="str">
        <f t="shared" si="4"/>
        <v>0.000455089898303799i</v>
      </c>
      <c r="V24" s="6" t="str">
        <f t="shared" si="4"/>
        <v>0.000522761017557342i</v>
      </c>
      <c r="W24" s="6" t="str">
        <f t="shared" si="4"/>
        <v>0.000600494720924695i</v>
      </c>
      <c r="X24" s="6" t="str">
        <f t="shared" si="4"/>
        <v>0.000689787298110601i</v>
      </c>
      <c r="Y24" s="6" t="str">
        <f t="shared" si="4"/>
        <v>0.000792357534637497i</v>
      </c>
      <c r="Z24" s="6" t="str">
        <f t="shared" si="4"/>
        <v>0.000910179796607599i</v>
      </c>
      <c r="AA24" s="6" t="str">
        <f t="shared" si="4"/>
        <v>0.00104552203511468i</v>
      </c>
      <c r="AB24" s="6" t="str">
        <f t="shared" si="4"/>
        <v>0.00120098944184939i</v>
      </c>
      <c r="AC24" s="6" t="str">
        <f t="shared" si="4"/>
        <v>0.0013795745962212i</v>
      </c>
      <c r="AD24" s="6" t="str">
        <f t="shared" si="4"/>
        <v>0.00158471506927499i</v>
      </c>
      <c r="AE24" s="6" t="str">
        <f t="shared" si="4"/>
        <v>0.0018203595932152i</v>
      </c>
    </row>
    <row r="25" spans="1:31" x14ac:dyDescent="0.2">
      <c r="A25" t="s">
        <v>16</v>
      </c>
      <c r="B25" s="6" t="str">
        <f t="shared" ref="B25:AE25" si="5">IMDIV(1,IMSUM(B23,B24))</f>
        <v>4.01139084810227+447.773033167979i</v>
      </c>
      <c r="C25" s="6" t="str">
        <f t="shared" si="5"/>
        <v>4.76192752518997+518.187132808573i</v>
      </c>
      <c r="D25" s="6" t="str">
        <f t="shared" si="5"/>
        <v>5.72418409948048+601.162524927347i</v>
      </c>
      <c r="E25" s="6" t="str">
        <f t="shared" si="5"/>
        <v>7.06808033025878+697.427079859939i</v>
      </c>
      <c r="F25" s="6" t="str">
        <f t="shared" si="5"/>
        <v>8.82853499013026+812.417924706153i</v>
      </c>
      <c r="G25" s="6" t="str">
        <f t="shared" si="5"/>
        <v>11.3615513561417+955.632136423159i</v>
      </c>
      <c r="H25" s="6" t="str">
        <f t="shared" si="5"/>
        <v>15.315819579761+1132.03052447052i</v>
      </c>
      <c r="I25" s="6" t="str">
        <f t="shared" si="5"/>
        <v>21.3102891696923+1353.82222501533i</v>
      </c>
      <c r="J25" s="6" t="str">
        <f t="shared" si="5"/>
        <v>31.4368625216846+1646.85816280732i</v>
      </c>
      <c r="K25" s="6" t="str">
        <f t="shared" si="5"/>
        <v>49.1766862419482+2066.14464372489i</v>
      </c>
      <c r="L25" s="6" t="str">
        <f t="shared" si="5"/>
        <v>89.9772484964869+2690.22355151661i</v>
      </c>
      <c r="M25" s="6" t="str">
        <f t="shared" si="5"/>
        <v>198.720109250987+3677.06490449173i</v>
      </c>
      <c r="N25" s="6" t="str">
        <f t="shared" si="5"/>
        <v>552.50447444114+5303.11711410184i</v>
      </c>
      <c r="O25" s="6" t="str">
        <f t="shared" si="5"/>
        <v>2252.60529912472+8836.18703913716i</v>
      </c>
      <c r="P25" s="6" t="str">
        <f t="shared" si="5"/>
        <v>15101.1884214509+13186.6407848676i</v>
      </c>
      <c r="Q25" s="6" t="str">
        <f t="shared" si="5"/>
        <v>11984.9676155539-10674.8571796792i</v>
      </c>
      <c r="R25" s="6" t="str">
        <f t="shared" si="5"/>
        <v>3624.16378917497-7001.56787755048i</v>
      </c>
      <c r="S25" s="6" t="str">
        <f t="shared" si="5"/>
        <v>1647.02430955766-4901.60982431913i</v>
      </c>
      <c r="T25" s="6" t="str">
        <f t="shared" si="5"/>
        <v>922.199770116806-3702.83216720649i</v>
      </c>
      <c r="U25" s="6" t="str">
        <f t="shared" si="5"/>
        <v>588.148517072233-2938.31381578561i</v>
      </c>
      <c r="V25" s="6" t="str">
        <f t="shared" si="5"/>
        <v>392.488551939286-2390.00766122484i</v>
      </c>
      <c r="W25" s="6" t="str">
        <f t="shared" si="5"/>
        <v>264.800702030644-1973.50657414662i</v>
      </c>
      <c r="X25" s="6" t="str">
        <f t="shared" si="5"/>
        <v>180.251080932587-1649.54794594667i</v>
      </c>
      <c r="Y25" s="6" t="str">
        <f t="shared" si="5"/>
        <v>123.692707590212-1391.63143815368i</v>
      </c>
      <c r="Z25" s="6" t="str">
        <f t="shared" si="5"/>
        <v>85.1253136591217-1183.27187424057i</v>
      </c>
      <c r="AA25" s="6" t="str">
        <f t="shared" si="5"/>
        <v>59.6454689096177-1011.75690291517i</v>
      </c>
      <c r="AB25" s="6" t="str">
        <f t="shared" si="5"/>
        <v>43.7077121251904-866.735027708129i</v>
      </c>
      <c r="AC25" s="6" t="str">
        <f t="shared" si="5"/>
        <v>32.9446523413251-740.445402920257i</v>
      </c>
      <c r="AD25" s="6" t="str">
        <f t="shared" si="5"/>
        <v>19.6437025857487-631.630369204077i</v>
      </c>
      <c r="AE25" s="6" t="str">
        <f t="shared" si="5"/>
        <v>7.11350117234372-546.611119133439i</v>
      </c>
    </row>
    <row r="26" spans="1:31" x14ac:dyDescent="0.2">
      <c r="A26" t="s">
        <v>8</v>
      </c>
      <c r="B26" s="5">
        <f t="shared" ref="B26:AE26" si="6">IMREAL(B25)</f>
        <v>4.0113908481022698</v>
      </c>
      <c r="C26" s="5">
        <f t="shared" si="6"/>
        <v>4.7619275251899698</v>
      </c>
      <c r="D26" s="5">
        <f t="shared" si="6"/>
        <v>5.72418409948048</v>
      </c>
      <c r="E26" s="5">
        <f t="shared" si="6"/>
        <v>7.0680803302587796</v>
      </c>
      <c r="F26" s="5">
        <f t="shared" si="6"/>
        <v>8.8285349901302599</v>
      </c>
      <c r="G26" s="5">
        <f t="shared" si="6"/>
        <v>11.3615513561417</v>
      </c>
      <c r="H26" s="5">
        <f t="shared" si="6"/>
        <v>15.315819579761</v>
      </c>
      <c r="I26" s="5">
        <f t="shared" si="6"/>
        <v>21.3102891696923</v>
      </c>
      <c r="J26" s="5">
        <f t="shared" si="6"/>
        <v>31.436862521684599</v>
      </c>
      <c r="K26" s="5">
        <f t="shared" si="6"/>
        <v>49.176686241948197</v>
      </c>
      <c r="L26" s="5">
        <f t="shared" si="6"/>
        <v>89.977248496486894</v>
      </c>
      <c r="M26" s="5">
        <f t="shared" si="6"/>
        <v>198.72010925098701</v>
      </c>
      <c r="N26" s="5">
        <f t="shared" si="6"/>
        <v>552.50447444114002</v>
      </c>
      <c r="O26" s="5">
        <f t="shared" si="6"/>
        <v>2252.6052991247202</v>
      </c>
      <c r="P26" s="5">
        <f t="shared" si="6"/>
        <v>15101.188421450899</v>
      </c>
      <c r="Q26" s="5">
        <f t="shared" si="6"/>
        <v>11984.9676155539</v>
      </c>
      <c r="R26" s="5">
        <f t="shared" si="6"/>
        <v>3624.1637891749701</v>
      </c>
      <c r="S26" s="5">
        <f t="shared" si="6"/>
        <v>1647.02430955766</v>
      </c>
      <c r="T26" s="5">
        <f t="shared" si="6"/>
        <v>922.19977011680601</v>
      </c>
      <c r="U26" s="5">
        <f t="shared" si="6"/>
        <v>588.14851707223295</v>
      </c>
      <c r="V26" s="5">
        <f t="shared" si="6"/>
        <v>392.48855193928603</v>
      </c>
      <c r="W26" s="5">
        <f t="shared" si="6"/>
        <v>264.800702030644</v>
      </c>
      <c r="X26" s="5">
        <f t="shared" si="6"/>
        <v>180.251080932587</v>
      </c>
      <c r="Y26" s="5">
        <f t="shared" si="6"/>
        <v>123.692707590212</v>
      </c>
      <c r="Z26" s="5">
        <f t="shared" si="6"/>
        <v>85.125313659121701</v>
      </c>
      <c r="AA26" s="5">
        <f t="shared" si="6"/>
        <v>59.645468909617698</v>
      </c>
      <c r="AB26" s="5">
        <f t="shared" si="6"/>
        <v>43.707712125190398</v>
      </c>
      <c r="AC26" s="5">
        <f t="shared" si="6"/>
        <v>32.944652341325103</v>
      </c>
      <c r="AD26" s="5">
        <f t="shared" si="6"/>
        <v>19.643702585748699</v>
      </c>
      <c r="AE26" s="5">
        <f t="shared" si="6"/>
        <v>7.11350117234372</v>
      </c>
    </row>
    <row r="27" spans="1:31" x14ac:dyDescent="0.2">
      <c r="A27" t="s">
        <v>9</v>
      </c>
      <c r="B27" s="5">
        <f t="shared" ref="B27:AE27" si="7">IMAGINARY(B25)</f>
        <v>447.77303316797901</v>
      </c>
      <c r="C27" s="5">
        <f t="shared" si="7"/>
        <v>518.18713280857298</v>
      </c>
      <c r="D27" s="5">
        <f t="shared" si="7"/>
        <v>601.16252492734702</v>
      </c>
      <c r="E27" s="5">
        <f t="shared" si="7"/>
        <v>697.427079859939</v>
      </c>
      <c r="F27" s="5">
        <f t="shared" si="7"/>
        <v>812.41792470615303</v>
      </c>
      <c r="G27" s="5">
        <f t="shared" si="7"/>
        <v>955.63213642315895</v>
      </c>
      <c r="H27" s="5">
        <f t="shared" si="7"/>
        <v>1132.03052447052</v>
      </c>
      <c r="I27" s="5">
        <f t="shared" si="7"/>
        <v>1353.8222250153301</v>
      </c>
      <c r="J27" s="5">
        <f t="shared" si="7"/>
        <v>1646.85816280732</v>
      </c>
      <c r="K27" s="5">
        <f t="shared" si="7"/>
        <v>2066.1446437248901</v>
      </c>
      <c r="L27" s="5">
        <f t="shared" si="7"/>
        <v>2690.2235515166099</v>
      </c>
      <c r="M27" s="5">
        <f t="shared" si="7"/>
        <v>3677.06490449173</v>
      </c>
      <c r="N27" s="5">
        <f t="shared" si="7"/>
        <v>5303.1171141018403</v>
      </c>
      <c r="O27" s="5">
        <f t="shared" si="7"/>
        <v>8836.1870391371594</v>
      </c>
      <c r="P27" s="5">
        <f t="shared" si="7"/>
        <v>13186.640784867601</v>
      </c>
      <c r="Q27" s="5">
        <f t="shared" si="7"/>
        <v>-10674.8571796792</v>
      </c>
      <c r="R27" s="5">
        <f t="shared" si="7"/>
        <v>-7001.5678775504803</v>
      </c>
      <c r="S27" s="5">
        <f t="shared" si="7"/>
        <v>-4901.60982431913</v>
      </c>
      <c r="T27" s="5">
        <f t="shared" si="7"/>
        <v>-3702.8321672064899</v>
      </c>
      <c r="U27" s="5">
        <f t="shared" si="7"/>
        <v>-2938.3138157856101</v>
      </c>
      <c r="V27" s="5">
        <f t="shared" si="7"/>
        <v>-2390.0076612248399</v>
      </c>
      <c r="W27" s="5">
        <f t="shared" si="7"/>
        <v>-1973.5065741466201</v>
      </c>
      <c r="X27" s="5">
        <f t="shared" si="7"/>
        <v>-1649.5479459466701</v>
      </c>
      <c r="Y27" s="5">
        <f t="shared" si="7"/>
        <v>-1391.6314381536799</v>
      </c>
      <c r="Z27" s="5">
        <f t="shared" si="7"/>
        <v>-1183.27187424057</v>
      </c>
      <c r="AA27" s="5">
        <f t="shared" si="7"/>
        <v>-1011.75690291517</v>
      </c>
      <c r="AB27" s="5">
        <f t="shared" si="7"/>
        <v>-866.735027708129</v>
      </c>
      <c r="AC27" s="5">
        <f t="shared" si="7"/>
        <v>-740.44540292025704</v>
      </c>
      <c r="AD27" s="5">
        <f t="shared" si="7"/>
        <v>-631.63036920407706</v>
      </c>
      <c r="AE27" s="5">
        <f t="shared" si="7"/>
        <v>-546.61111913343905</v>
      </c>
    </row>
    <row r="28" spans="1:31" x14ac:dyDescent="0.2">
      <c r="A28" t="s">
        <v>17</v>
      </c>
      <c r="B28" s="5">
        <f t="shared" ref="B28:AE28" si="8">IMABS(B25)</f>
        <v>447.7910009021935</v>
      </c>
      <c r="C28" s="5">
        <f t="shared" si="8"/>
        <v>518.20901242850346</v>
      </c>
      <c r="D28" s="5">
        <f t="shared" si="8"/>
        <v>601.18977674327414</v>
      </c>
      <c r="E28" s="5">
        <f t="shared" si="8"/>
        <v>697.46289469871931</v>
      </c>
      <c r="F28" s="5">
        <f t="shared" si="8"/>
        <v>812.46589307731824</v>
      </c>
      <c r="G28" s="5">
        <f t="shared" si="8"/>
        <v>955.69967302176542</v>
      </c>
      <c r="H28" s="5">
        <f t="shared" si="8"/>
        <v>1132.1341275053942</v>
      </c>
      <c r="I28" s="5">
        <f t="shared" si="8"/>
        <v>1353.9899354758716</v>
      </c>
      <c r="J28" s="5">
        <f t="shared" si="8"/>
        <v>1647.1581844893674</v>
      </c>
      <c r="K28" s="5">
        <f t="shared" si="8"/>
        <v>2066.7297925134753</v>
      </c>
      <c r="L28" s="5">
        <f t="shared" si="8"/>
        <v>2691.7278210067302</v>
      </c>
      <c r="M28" s="5">
        <f t="shared" si="8"/>
        <v>3682.4307181080135</v>
      </c>
      <c r="N28" s="5">
        <f t="shared" si="8"/>
        <v>5331.820732184955</v>
      </c>
      <c r="O28" s="5">
        <f t="shared" si="8"/>
        <v>9118.7955358292947</v>
      </c>
      <c r="P28" s="5">
        <f t="shared" si="8"/>
        <v>20048.276407943307</v>
      </c>
      <c r="Q28" s="5">
        <f t="shared" si="8"/>
        <v>16049.673658751581</v>
      </c>
      <c r="R28" s="5">
        <f t="shared" si="8"/>
        <v>7883.9403799568272</v>
      </c>
      <c r="S28" s="5">
        <f t="shared" si="8"/>
        <v>5170.9252504881269</v>
      </c>
      <c r="T28" s="5">
        <f t="shared" si="8"/>
        <v>3815.9426718050418</v>
      </c>
      <c r="U28" s="5">
        <f t="shared" si="8"/>
        <v>2996.5991987869947</v>
      </c>
      <c r="V28" s="5">
        <f t="shared" si="8"/>
        <v>2422.0206200849793</v>
      </c>
      <c r="W28" s="5">
        <f t="shared" si="8"/>
        <v>1991.1925095268543</v>
      </c>
      <c r="X28" s="5">
        <f t="shared" si="8"/>
        <v>1659.367011289017</v>
      </c>
      <c r="Y28" s="5">
        <f t="shared" si="8"/>
        <v>1397.1177278843315</v>
      </c>
      <c r="Z28" s="5">
        <f t="shared" si="8"/>
        <v>1186.32990664248</v>
      </c>
      <c r="AA28" s="5">
        <f t="shared" si="8"/>
        <v>1013.5134989520095</v>
      </c>
      <c r="AB28" s="5">
        <f t="shared" si="8"/>
        <v>867.83637418319222</v>
      </c>
      <c r="AC28" s="5">
        <f t="shared" si="8"/>
        <v>741.17794410224633</v>
      </c>
      <c r="AD28" s="5">
        <f t="shared" si="8"/>
        <v>631.93575492462526</v>
      </c>
      <c r="AE28" s="5">
        <f t="shared" si="8"/>
        <v>546.65740410172771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1.02</v>
      </c>
      <c r="C33" s="12">
        <f ca="1">CubicSpline_version("d")</f>
        <v>39544</v>
      </c>
    </row>
    <row r="34" spans="1:3" x14ac:dyDescent="0.2">
      <c r="A34" s="13"/>
    </row>
    <row r="35" spans="1:3" x14ac:dyDescent="0.2">
      <c r="A35" t="s">
        <v>27</v>
      </c>
    </row>
  </sheetData>
  <phoneticPr fontId="0" type="noConversion"/>
  <hyperlinks>
    <hyperlink ref="A4" r:id="rId1" xr:uid="{00000000-0004-0000-0000-000000000000}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877CE-0828-4455-A321-68451EB4E1AD}">
  <sheetPr codeName="Sheet4"/>
  <dimension ref="A1:AE35"/>
  <sheetViews>
    <sheetView workbookViewId="0">
      <selection activeCell="B7" sqref="B7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3" ht="20.25" x14ac:dyDescent="0.3">
      <c r="A1" s="9" t="s">
        <v>28</v>
      </c>
    </row>
    <row r="3" spans="1:3" x14ac:dyDescent="0.2">
      <c r="A3" s="8" t="s">
        <v>30</v>
      </c>
    </row>
    <row r="4" spans="1:3" x14ac:dyDescent="0.2">
      <c r="A4" s="13" t="s">
        <v>29</v>
      </c>
    </row>
    <row r="6" spans="1:3" x14ac:dyDescent="0.2">
      <c r="A6" s="8" t="s">
        <v>18</v>
      </c>
    </row>
    <row r="7" spans="1:3" x14ac:dyDescent="0.2">
      <c r="A7" t="s">
        <v>3</v>
      </c>
      <c r="B7" s="3">
        <v>708</v>
      </c>
      <c r="C7" s="15" t="s">
        <v>32</v>
      </c>
    </row>
    <row r="8" spans="1:3" x14ac:dyDescent="0.2">
      <c r="A8" t="s">
        <v>7</v>
      </c>
      <c r="B8" s="3">
        <v>6</v>
      </c>
    </row>
    <row r="9" spans="1:3" x14ac:dyDescent="0.2">
      <c r="A9" t="s">
        <v>10</v>
      </c>
      <c r="B9" s="3">
        <v>1.8</v>
      </c>
    </row>
    <row r="11" spans="1:3" x14ac:dyDescent="0.2">
      <c r="A11" s="8" t="s">
        <v>19</v>
      </c>
    </row>
    <row r="12" spans="1:3" x14ac:dyDescent="0.2">
      <c r="A12" t="s">
        <v>21</v>
      </c>
      <c r="B12" t="str">
        <f>Mix!B1</f>
        <v>F14</v>
      </c>
    </row>
    <row r="13" spans="1:3" x14ac:dyDescent="0.2">
      <c r="A13" t="s">
        <v>20</v>
      </c>
      <c r="B13">
        <f>Mix!B2</f>
        <v>220</v>
      </c>
    </row>
    <row r="15" spans="1:3" x14ac:dyDescent="0.2">
      <c r="A15" s="8" t="s">
        <v>22</v>
      </c>
    </row>
    <row r="16" spans="1:3" x14ac:dyDescent="0.2">
      <c r="A16" s="2" t="s">
        <v>11</v>
      </c>
      <c r="B16" s="4">
        <f>2*PI()*$B$8^2*$B$7*0.000000001</f>
        <v>1.6014582710939328E-4</v>
      </c>
    </row>
    <row r="18" spans="1:31" x14ac:dyDescent="0.2">
      <c r="A18" t="s">
        <v>4</v>
      </c>
      <c r="B18" s="10">
        <v>1.04</v>
      </c>
      <c r="C18" s="10">
        <f>B18*2^(1/5)</f>
        <v>1.1946462891969165</v>
      </c>
      <c r="D18" s="10">
        <f t="shared" ref="D18:AE18" si="0">C18*2^(1/5)</f>
        <v>1.3722882272038102</v>
      </c>
      <c r="E18" s="10">
        <f t="shared" si="0"/>
        <v>1.5763452291708142</v>
      </c>
      <c r="F18" s="10">
        <f t="shared" si="0"/>
        <v>1.8107451716559386</v>
      </c>
      <c r="G18" s="10">
        <f t="shared" si="0"/>
        <v>2.0800000000000005</v>
      </c>
      <c r="H18" s="10">
        <f t="shared" si="0"/>
        <v>2.3892925783938335</v>
      </c>
      <c r="I18" s="10">
        <f t="shared" si="0"/>
        <v>2.7445764544076212</v>
      </c>
      <c r="J18" s="10">
        <f t="shared" si="0"/>
        <v>3.1526904583416298</v>
      </c>
      <c r="K18" s="10">
        <f t="shared" si="0"/>
        <v>3.6214903433118786</v>
      </c>
      <c r="L18" s="10">
        <f t="shared" si="0"/>
        <v>4.1600000000000028</v>
      </c>
      <c r="M18" s="10">
        <f t="shared" si="0"/>
        <v>4.7785851567876696</v>
      </c>
      <c r="N18" s="10">
        <f t="shared" si="0"/>
        <v>5.4891529088152451</v>
      </c>
      <c r="O18" s="10">
        <f t="shared" si="0"/>
        <v>6.3053809166832622</v>
      </c>
      <c r="P18" s="10">
        <f t="shared" si="0"/>
        <v>7.2429806866237607</v>
      </c>
      <c r="Q18" s="10">
        <f t="shared" si="0"/>
        <v>8.3200000000000092</v>
      </c>
      <c r="R18" s="10">
        <f t="shared" si="0"/>
        <v>9.5571703135753427</v>
      </c>
      <c r="S18" s="10">
        <f t="shared" si="0"/>
        <v>10.978305817630494</v>
      </c>
      <c r="T18" s="10">
        <f t="shared" si="0"/>
        <v>12.610761833366528</v>
      </c>
      <c r="U18" s="10">
        <f t="shared" si="0"/>
        <v>14.485961373247525</v>
      </c>
      <c r="V18" s="10">
        <f t="shared" si="0"/>
        <v>16.640000000000022</v>
      </c>
      <c r="W18" s="10">
        <f t="shared" si="0"/>
        <v>19.114340627150689</v>
      </c>
      <c r="X18" s="10">
        <f t="shared" si="0"/>
        <v>21.956611635260991</v>
      </c>
      <c r="Y18" s="10">
        <f t="shared" si="0"/>
        <v>25.221523666733063</v>
      </c>
      <c r="Z18" s="10">
        <f t="shared" si="0"/>
        <v>28.971922746495057</v>
      </c>
      <c r="AA18" s="10">
        <f t="shared" si="0"/>
        <v>33.280000000000058</v>
      </c>
      <c r="AB18" s="10">
        <f t="shared" si="0"/>
        <v>38.228681254301392</v>
      </c>
      <c r="AC18" s="10">
        <f t="shared" si="0"/>
        <v>43.913223270522003</v>
      </c>
      <c r="AD18" s="10">
        <f t="shared" si="0"/>
        <v>50.443047333466147</v>
      </c>
      <c r="AE18" s="10">
        <f t="shared" si="0"/>
        <v>57.943845492990143</v>
      </c>
    </row>
    <row r="19" spans="1:31" x14ac:dyDescent="0.2">
      <c r="A19" t="s">
        <v>6</v>
      </c>
      <c r="B19" s="7">
        <f>csinterpolate(CSTableU2,'28-053-31'!B18*1000000)</f>
        <v>1.9121445035223179</v>
      </c>
      <c r="C19" s="7">
        <f>csinterpolate(CSTableU2,'28-053-31'!C18*1000000)</f>
        <v>1.9574362303797543</v>
      </c>
      <c r="D19" s="7">
        <f>csinterpolate(CSTableU2,'28-053-31'!D18*1000000)</f>
        <v>2.0226374329293155</v>
      </c>
      <c r="E19" s="7">
        <f>csinterpolate(CSTableU2,'28-053-31'!E18*1000000)</f>
        <v>2.13811662060994</v>
      </c>
      <c r="F19" s="7">
        <f>csinterpolate(CSTableU2,'28-053-31'!F18*1000000)</f>
        <v>2.2733346634365299</v>
      </c>
      <c r="G19" s="7">
        <f>csinterpolate(CSTableU2,'28-053-31'!G18*1000000)</f>
        <v>2.4696466463547706</v>
      </c>
      <c r="H19" s="7">
        <f>csinterpolate(CSTableU2,'28-053-31'!H18*1000000)</f>
        <v>2.7791213259113334</v>
      </c>
      <c r="I19" s="7">
        <f>csinterpolate(CSTableU2,'28-053-31'!I18*1000000)</f>
        <v>3.1775320463613363</v>
      </c>
      <c r="J19" s="7">
        <f>csinterpolate(CSTableU2,'28-053-31'!J18*1000000)</f>
        <v>3.761712878740791</v>
      </c>
      <c r="K19" s="7">
        <f>csinterpolate(CSTableU2,'28-053-31'!K18*1000000)</f>
        <v>4.5431176223534013</v>
      </c>
      <c r="L19" s="7">
        <f>csinterpolate(CSTableU2,'28-053-31'!L18*1000000)</f>
        <v>6.0421780525816695</v>
      </c>
      <c r="M19" s="7">
        <f>csinterpolate(CSTableU2,'28-053-31'!M18*1000000)</f>
        <v>8.8077479841265731</v>
      </c>
      <c r="N19" s="7">
        <f>csinterpolate(CSTableU2,'28-053-31'!N18*1000000)</f>
        <v>13.980324367016085</v>
      </c>
      <c r="O19" s="7">
        <f>csinterpolate(CSTableU2,'28-053-31'!O18*1000000)</f>
        <v>23.484815673283332</v>
      </c>
      <c r="P19" s="7">
        <f>csinterpolate(CSTableU2,'28-053-31'!P18*1000000)</f>
        <v>38.259354026927227</v>
      </c>
      <c r="Q19" s="7">
        <f>csinterpolate(CSTableU2,'28-053-31'!Q18*1000000)</f>
        <v>56.472371106696684</v>
      </c>
      <c r="R19" s="7">
        <f>csinterpolate(CSTableU2,'28-053-31'!R18*1000000)</f>
        <v>80.674965517493945</v>
      </c>
      <c r="S19" s="7">
        <f>csinterpolate(CSTableU2,'28-053-31'!S18*1000000)</f>
        <v>95.766108505532216</v>
      </c>
      <c r="T19" s="7">
        <f>csinterpolate(CSTableU2,'28-053-31'!T18*1000000)</f>
        <v>106.15987426408267</v>
      </c>
      <c r="U19" s="7">
        <f>csinterpolate(CSTableU2,'28-053-31'!U18*1000000)</f>
        <v>111.79845317976333</v>
      </c>
      <c r="V19" s="7">
        <f>csinterpolate(CSTableU2,'28-053-31'!V18*1000000)</f>
        <v>115.41576165229573</v>
      </c>
      <c r="W19" s="7">
        <f>csinterpolate(CSTableU2,'28-053-31'!W18*1000000)</f>
        <v>118.74905396107683</v>
      </c>
      <c r="X19" s="7">
        <f>csinterpolate(CSTableU2,'28-053-31'!X18*1000000)</f>
        <v>121.58877771325294</v>
      </c>
      <c r="Y19" s="7">
        <f>csinterpolate(CSTableU2,'28-053-31'!Y18*1000000)</f>
        <v>124.23422193122427</v>
      </c>
      <c r="Z19" s="7">
        <f>csinterpolate(CSTableU2,'28-053-31'!Z18*1000000)</f>
        <v>125.68862620524732</v>
      </c>
      <c r="AA19" s="7">
        <f>csinterpolate(CSTableU2,'28-053-31'!AA18*1000000)</f>
        <v>126.48837881104612</v>
      </c>
      <c r="AB19" s="7">
        <f>csinterpolate(CSTableU2,'28-053-31'!AB18*1000000)</f>
        <v>131.67124057216782</v>
      </c>
      <c r="AC19" s="7">
        <f>csinterpolate(CSTableU2,'28-053-31'!AC18*1000000)</f>
        <v>151.46200540619219</v>
      </c>
      <c r="AD19" s="7">
        <f>csinterpolate(CSTableU2,'28-053-31'!AD18*1000000)</f>
        <v>204.89884681421552</v>
      </c>
      <c r="AE19" s="7">
        <f>csinterpolate(CSTableU2,'28-053-31'!AE18*1000000)</f>
        <v>325.6578397936072</v>
      </c>
    </row>
    <row r="20" spans="1:31" x14ac:dyDescent="0.2">
      <c r="A20" t="s">
        <v>5</v>
      </c>
      <c r="B20" s="7">
        <f>csinterpolate(CSTableU1,'28-053-31'!B18*1000000)</f>
        <v>216.56677081846061</v>
      </c>
      <c r="C20" s="7">
        <f>csinterpolate(CSTableU1,'28-053-31'!C18*1000000)</f>
        <v>217.14871349507604</v>
      </c>
      <c r="D20" s="7">
        <f>csinterpolate(CSTableU1,'28-053-31'!D18*1000000)</f>
        <v>217.9262915874186</v>
      </c>
      <c r="E20" s="7">
        <f>csinterpolate(CSTableU1,'28-053-31'!E18*1000000)</f>
        <v>218.26130634875207</v>
      </c>
      <c r="F20" s="7">
        <f>csinterpolate(CSTableU1,'28-053-31'!F18*1000000)</f>
        <v>218.86564770997416</v>
      </c>
      <c r="G20" s="7">
        <f>csinterpolate(CSTableU1,'28-053-31'!G18*1000000)</f>
        <v>220.69798291534474</v>
      </c>
      <c r="H20" s="7">
        <f>csinterpolate(CSTableU1,'28-053-31'!H18*1000000)</f>
        <v>222.86931423204547</v>
      </c>
      <c r="I20" s="7">
        <f>csinterpolate(CSTableU1,'28-053-31'!I18*1000000)</f>
        <v>225.43540443442456</v>
      </c>
      <c r="J20" s="7">
        <f>csinterpolate(CSTableU1,'28-053-31'!J18*1000000)</f>
        <v>229.21687247983448</v>
      </c>
      <c r="K20" s="7">
        <f>csinterpolate(CSTableU1,'28-053-31'!K18*1000000)</f>
        <v>235.77294877348464</v>
      </c>
      <c r="L20" s="7">
        <f>csinterpolate(CSTableU1,'28-053-31'!L18*1000000)</f>
        <v>244.24136720170733</v>
      </c>
      <c r="M20" s="7">
        <f>csinterpolate(CSTableU1,'28-053-31'!M18*1000000)</f>
        <v>253.20428554657747</v>
      </c>
      <c r="N20" s="7">
        <f>csinterpolate(CSTableU1,'28-053-31'!N18*1000000)</f>
        <v>258.23510458974437</v>
      </c>
      <c r="O20" s="7">
        <f>csinterpolate(CSTableU1,'28-053-31'!O18*1000000)</f>
        <v>263.84961579974163</v>
      </c>
      <c r="P20" s="7">
        <f>csinterpolate(CSTableU1,'28-053-31'!P18*1000000)</f>
        <v>265.12039210045725</v>
      </c>
      <c r="Q20" s="7">
        <f>csinterpolate(CSTableU1,'28-053-31'!Q18*1000000)</f>
        <v>266.95307501135346</v>
      </c>
      <c r="R20" s="7">
        <f>csinterpolate(CSTableU1,'28-053-31'!R18*1000000)</f>
        <v>259.57203478269071</v>
      </c>
      <c r="S20" s="7">
        <f>csinterpolate(CSTableU1,'28-053-31'!S18*1000000)</f>
        <v>251.20457283472493</v>
      </c>
      <c r="T20" s="7">
        <f>csinterpolate(CSTableU1,'28-053-31'!T18*1000000)</f>
        <v>237.84015515956833</v>
      </c>
      <c r="U20" s="7">
        <f>csinterpolate(CSTableU1,'28-053-31'!U18*1000000)</f>
        <v>218.25882830152995</v>
      </c>
      <c r="V20" s="7">
        <f>csinterpolate(CSTableU1,'28-053-31'!V18*1000000)</f>
        <v>198.96334379253616</v>
      </c>
      <c r="W20" s="7">
        <f>csinterpolate(CSTableU1,'28-053-31'!W18*1000000)</f>
        <v>182.68089201570345</v>
      </c>
      <c r="X20" s="7">
        <f>csinterpolate(CSTableU1,'28-053-31'!X18*1000000)</f>
        <v>168.49007711967346</v>
      </c>
      <c r="Y20" s="7">
        <f>csinterpolate(CSTableU1,'28-053-31'!Y18*1000000)</f>
        <v>155.67988040016419</v>
      </c>
      <c r="Z20" s="7">
        <f>csinterpolate(CSTableU1,'28-053-31'!Z18*1000000)</f>
        <v>144.24901848827639</v>
      </c>
      <c r="AA20" s="7">
        <f>csinterpolate(CSTableU1,'28-053-31'!AA18*1000000)</f>
        <v>131.93407537755965</v>
      </c>
      <c r="AB20" s="7">
        <f>csinterpolate(CSTableU1,'28-053-31'!AB18*1000000)</f>
        <v>113.8081278926735</v>
      </c>
      <c r="AC20" s="7">
        <f>csinterpolate(CSTableU1,'28-053-31'!AC18*1000000)</f>
        <v>80.072509261330453</v>
      </c>
      <c r="AD20" s="7">
        <f>csinterpolate(CSTableU1,'28-053-31'!AD18*1000000)</f>
        <v>12.66483834112536</v>
      </c>
      <c r="AE20" s="7">
        <f>csinterpolate(CSTableU1,'28-053-31'!AE18*1000000)</f>
        <v>-120.18242149596054</v>
      </c>
    </row>
    <row r="21" spans="1:31" x14ac:dyDescent="0.2">
      <c r="A21" t="s">
        <v>12</v>
      </c>
      <c r="B21" s="5">
        <f t="shared" ref="B21:AE21" si="1">B19/$B$13*$B$16*B18*1000000</f>
        <v>1.4475947345092377</v>
      </c>
      <c r="C21" s="5">
        <f t="shared" si="1"/>
        <v>1.7022365325121944</v>
      </c>
      <c r="D21" s="5">
        <f t="shared" si="1"/>
        <v>2.0204882259989567</v>
      </c>
      <c r="E21" s="5">
        <f t="shared" si="1"/>
        <v>2.4534413028530873</v>
      </c>
      <c r="F21" s="5">
        <f t="shared" si="1"/>
        <v>2.9964956796083144</v>
      </c>
      <c r="G21" s="5">
        <f t="shared" si="1"/>
        <v>3.7393068094760102</v>
      </c>
      <c r="H21" s="5">
        <f t="shared" si="1"/>
        <v>4.8335897495186479</v>
      </c>
      <c r="I21" s="5">
        <f t="shared" si="1"/>
        <v>6.3483113511939209</v>
      </c>
      <c r="J21" s="5">
        <f t="shared" si="1"/>
        <v>8.6329638497868775</v>
      </c>
      <c r="K21" s="5">
        <f t="shared" si="1"/>
        <v>11.976619673546317</v>
      </c>
      <c r="L21" s="5">
        <f t="shared" si="1"/>
        <v>18.296996106251488</v>
      </c>
      <c r="M21" s="5">
        <f t="shared" si="1"/>
        <v>30.637770273276679</v>
      </c>
      <c r="N21" s="5">
        <f t="shared" si="1"/>
        <v>55.861876813568259</v>
      </c>
      <c r="O21" s="5">
        <f t="shared" si="1"/>
        <v>107.79321615541825</v>
      </c>
      <c r="P21" s="5">
        <f t="shared" si="1"/>
        <v>201.719510796512</v>
      </c>
      <c r="Q21" s="5">
        <f t="shared" si="1"/>
        <v>342.02062410541726</v>
      </c>
      <c r="R21" s="5">
        <f t="shared" si="1"/>
        <v>561.25608152822417</v>
      </c>
      <c r="S21" s="5">
        <f t="shared" si="1"/>
        <v>765.31479754109193</v>
      </c>
      <c r="T21" s="5">
        <f t="shared" si="1"/>
        <v>974.52877065570237</v>
      </c>
      <c r="U21" s="5">
        <f t="shared" si="1"/>
        <v>1178.8975458057337</v>
      </c>
      <c r="V21" s="5">
        <f t="shared" si="1"/>
        <v>1398.0135793249615</v>
      </c>
      <c r="W21" s="5">
        <f t="shared" si="1"/>
        <v>1652.2753566451845</v>
      </c>
      <c r="X21" s="5">
        <f t="shared" si="1"/>
        <v>1943.3532854373316</v>
      </c>
      <c r="Y21" s="5">
        <f t="shared" si="1"/>
        <v>2280.8961372887679</v>
      </c>
      <c r="Z21" s="5">
        <f t="shared" si="1"/>
        <v>2650.7345809303442</v>
      </c>
      <c r="AA21" s="5">
        <f t="shared" si="1"/>
        <v>3064.2690161742721</v>
      </c>
      <c r="AB21" s="5">
        <f t="shared" si="1"/>
        <v>3664.1495442583096</v>
      </c>
      <c r="AC21" s="5">
        <f t="shared" si="1"/>
        <v>4841.6340942124252</v>
      </c>
      <c r="AD21" s="5">
        <f t="shared" si="1"/>
        <v>7523.7399320163595</v>
      </c>
      <c r="AE21" s="5">
        <f t="shared" si="1"/>
        <v>13736.047939331369</v>
      </c>
    </row>
    <row r="22" spans="1:31" x14ac:dyDescent="0.2">
      <c r="A22" t="s">
        <v>13</v>
      </c>
      <c r="B22" s="5">
        <f t="shared" ref="B22:AE22" si="2">B20/$B$13*$B$16*B18*1000000</f>
        <v>163.95252373917322</v>
      </c>
      <c r="C22" s="5">
        <f t="shared" si="2"/>
        <v>188.83806652931426</v>
      </c>
      <c r="D22" s="5">
        <f t="shared" si="2"/>
        <v>217.69472823920711</v>
      </c>
      <c r="E22" s="5">
        <f t="shared" si="2"/>
        <v>250.44999821288494</v>
      </c>
      <c r="F22" s="5">
        <f t="shared" si="2"/>
        <v>288.48808682933424</v>
      </c>
      <c r="G22" s="5">
        <f t="shared" si="2"/>
        <v>334.16014050878863</v>
      </c>
      <c r="H22" s="5">
        <f t="shared" si="2"/>
        <v>387.62569403155123</v>
      </c>
      <c r="I22" s="5">
        <f t="shared" si="2"/>
        <v>450.39172415928073</v>
      </c>
      <c r="J22" s="5">
        <f t="shared" si="2"/>
        <v>526.04253372522589</v>
      </c>
      <c r="K22" s="5">
        <f t="shared" si="2"/>
        <v>621.54739795352111</v>
      </c>
      <c r="L22" s="5">
        <f t="shared" si="2"/>
        <v>739.61463991709718</v>
      </c>
      <c r="M22" s="5">
        <f t="shared" si="2"/>
        <v>880.77165091077256</v>
      </c>
      <c r="N22" s="5">
        <f t="shared" si="2"/>
        <v>1031.8428401822659</v>
      </c>
      <c r="O22" s="5">
        <f t="shared" si="2"/>
        <v>1211.0462804603028</v>
      </c>
      <c r="P22" s="5">
        <f t="shared" si="2"/>
        <v>1397.8269408062683</v>
      </c>
      <c r="Q22" s="5">
        <f t="shared" si="2"/>
        <v>1616.7810122535534</v>
      </c>
      <c r="R22" s="5">
        <f t="shared" si="2"/>
        <v>1805.843760600673</v>
      </c>
      <c r="S22" s="5">
        <f t="shared" si="2"/>
        <v>2007.501190144925</v>
      </c>
      <c r="T22" s="5">
        <f t="shared" si="2"/>
        <v>2183.3303366923351</v>
      </c>
      <c r="U22" s="5">
        <f t="shared" si="2"/>
        <v>2301.5058770212349</v>
      </c>
      <c r="V22" s="5">
        <f t="shared" si="2"/>
        <v>2410.0127437345868</v>
      </c>
      <c r="W22" s="5">
        <f t="shared" si="2"/>
        <v>2541.8235003913605</v>
      </c>
      <c r="X22" s="5">
        <f t="shared" si="2"/>
        <v>2692.9766964703763</v>
      </c>
      <c r="Y22" s="5">
        <f t="shared" si="2"/>
        <v>2858.2272447835544</v>
      </c>
      <c r="Z22" s="5">
        <f t="shared" si="2"/>
        <v>3042.1675621447089</v>
      </c>
      <c r="AA22" s="5">
        <f t="shared" si="2"/>
        <v>3196.194805856358</v>
      </c>
      <c r="AB22" s="5">
        <f t="shared" si="2"/>
        <v>3167.0545377923413</v>
      </c>
      <c r="AC22" s="5">
        <f t="shared" si="2"/>
        <v>2559.5976351237991</v>
      </c>
      <c r="AD22" s="5">
        <f t="shared" si="2"/>
        <v>465.04385671850389</v>
      </c>
      <c r="AE22" s="5">
        <f t="shared" si="2"/>
        <v>-5069.2208244693065</v>
      </c>
    </row>
    <row r="23" spans="1:31" x14ac:dyDescent="0.2">
      <c r="A23" t="s">
        <v>14</v>
      </c>
      <c r="B23" s="5" t="str">
        <f t="shared" ref="B23:AE23" si="3">IMDIV(1,COMPLEX(B21,B22))</f>
        <v>0.0000538489112820948-0.00609885121494265i</v>
      </c>
      <c r="C23" s="5" t="str">
        <f t="shared" si="3"/>
        <v>0.0000477315490125253-0.00529511219846289i</v>
      </c>
      <c r="D23" s="5" t="str">
        <f t="shared" si="3"/>
        <v>0.0000426307614769139-0.00459319283078664i</v>
      </c>
      <c r="E23" s="5" t="str">
        <f t="shared" si="3"/>
        <v>0.0000391103706346165-0.00399242983484227i</v>
      </c>
      <c r="F23" s="5" t="str">
        <f t="shared" si="3"/>
        <v>0.0000360007075368228-0.00346597370804752i</v>
      </c>
      <c r="G23" s="5" t="str">
        <f t="shared" si="3"/>
        <v>0.0000334832366095429-0.0029922024643123i</v>
      </c>
      <c r="H23" s="5" t="str">
        <f t="shared" si="3"/>
        <v>0.0000321645254439428-0.00257940726137244i</v>
      </c>
      <c r="I23" s="5" t="str">
        <f t="shared" si="3"/>
        <v>0.0000312889609582135-0.00221984844370809i</v>
      </c>
      <c r="J23" s="5" t="str">
        <f t="shared" si="3"/>
        <v>0.0000311889855734737-0.00190047511849533i</v>
      </c>
      <c r="K23" s="5" t="str">
        <f t="shared" si="3"/>
        <v>0.0000309902108670457-0.00160829060715591i</v>
      </c>
      <c r="L23" s="5" t="str">
        <f t="shared" si="3"/>
        <v>0.0000334274380399967-0.00135122849705674i</v>
      </c>
      <c r="M23" s="5" t="str">
        <f t="shared" si="3"/>
        <v>0.0000394462132849556-0.00113399591704208i</v>
      </c>
      <c r="N23" s="5" t="str">
        <f t="shared" si="3"/>
        <v>0.0000523139354516116-0.00096630766484365i</v>
      </c>
      <c r="O23" s="5" t="str">
        <f t="shared" si="3"/>
        <v>0.0000729193546297814-0.000819241844223642i</v>
      </c>
      <c r="P23" s="5" t="str">
        <f t="shared" si="3"/>
        <v>0.000101132260446757-0.00070080180979478i</v>
      </c>
      <c r="Q23" s="5" t="str">
        <f t="shared" si="3"/>
        <v>0.000125238288273628-0.000592019522265798i</v>
      </c>
      <c r="R23" s="5" t="str">
        <f t="shared" si="3"/>
        <v>0.00015694729130279-0.000504978558041811i</v>
      </c>
      <c r="S23" s="5" t="str">
        <f t="shared" si="3"/>
        <v>0.000165804441654365-0.000434922485520841i</v>
      </c>
      <c r="T23" s="5" t="str">
        <f t="shared" si="3"/>
        <v>0.000170472369342319-0.000381925610367026i</v>
      </c>
      <c r="U23" s="5" t="str">
        <f t="shared" si="3"/>
        <v>0.000176304078452481-0.000344190107227574i</v>
      </c>
      <c r="V23" s="5" t="str">
        <f t="shared" si="3"/>
        <v>0.000180095968911205-0.000310464495188101i</v>
      </c>
      <c r="W23" s="5" t="str">
        <f t="shared" si="3"/>
        <v>0.000179773346593039-0.000276559300649496i</v>
      </c>
      <c r="X23" s="5" t="str">
        <f t="shared" si="3"/>
        <v>0.000176208009243217-0.000244177971231121i</v>
      </c>
      <c r="Y23" s="5" t="str">
        <f t="shared" si="3"/>
        <v>0.000170573185508734-0.000213747973035766i</v>
      </c>
      <c r="Z23" s="5" t="str">
        <f t="shared" si="3"/>
        <v>0.00016280976080227-0.000186851817106249i</v>
      </c>
      <c r="AA23" s="5" t="str">
        <f t="shared" si="3"/>
        <v>0.000156297147894236-0.000163026199603524i</v>
      </c>
      <c r="AB23" s="5" t="str">
        <f t="shared" si="3"/>
        <v>0.000156212235208449-0.000135019780824951i</v>
      </c>
      <c r="AC23" s="5" t="str">
        <f t="shared" si="3"/>
        <v>0.00016142568029895-0.0000853399454608424i</v>
      </c>
      <c r="AD23" s="5" t="str">
        <f t="shared" si="3"/>
        <v>0.000132406761672656-8.18408818755616E-06i</v>
      </c>
      <c r="AE23" s="5" t="str">
        <f t="shared" si="3"/>
        <v>0.0000640745564886655+0.0000236463994232964i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0.0000117621228950402i</v>
      </c>
      <c r="C24" s="6" t="str">
        <f t="shared" si="4"/>
        <v>0.0000135111312208056i</v>
      </c>
      <c r="D24" s="6" t="str">
        <f t="shared" si="4"/>
        <v>0.0000155202142074885i</v>
      </c>
      <c r="E24" s="6" t="str">
        <f t="shared" si="4"/>
        <v>0.0000178280445293437i</v>
      </c>
      <c r="F24" s="6" t="str">
        <f t="shared" si="4"/>
        <v>0.0000204790454236709i</v>
      </c>
      <c r="G24" s="6" t="str">
        <f t="shared" si="4"/>
        <v>0.0000235242457900804i</v>
      </c>
      <c r="H24" s="6" t="str">
        <f t="shared" si="4"/>
        <v>0.0000270222624416113i</v>
      </c>
      <c r="I24" s="6" t="str">
        <f t="shared" si="4"/>
        <v>0.000031040428414977i</v>
      </c>
      <c r="J24" s="6" t="str">
        <f t="shared" si="4"/>
        <v>0.0000356560890586873i</v>
      </c>
      <c r="K24" s="6" t="str">
        <f t="shared" si="4"/>
        <v>0.0000409580908473419i</v>
      </c>
      <c r="L24" s="6" t="str">
        <f t="shared" si="4"/>
        <v>0.0000470484915801608i</v>
      </c>
      <c r="M24" s="6" t="str">
        <f t="shared" si="4"/>
        <v>0.0000540445248832225i</v>
      </c>
      <c r="N24" s="6" t="str">
        <f t="shared" si="4"/>
        <v>0.000062080856829954i</v>
      </c>
      <c r="O24" s="6" t="str">
        <f t="shared" si="4"/>
        <v>0.0000713121781173747i</v>
      </c>
      <c r="P24" s="6" t="str">
        <f t="shared" si="4"/>
        <v>0.0000819161816946839i</v>
      </c>
      <c r="Q24" s="6" t="str">
        <f t="shared" si="4"/>
        <v>0.0000940969831603216i</v>
      </c>
      <c r="R24" s="6" t="str">
        <f t="shared" si="4"/>
        <v>0.000108089049766445i</v>
      </c>
      <c r="S24" s="6" t="str">
        <f t="shared" si="4"/>
        <v>0.000124161713659908i</v>
      </c>
      <c r="T24" s="6" t="str">
        <f t="shared" si="4"/>
        <v>0.000142624356234749i</v>
      </c>
      <c r="U24" s="6" t="str">
        <f t="shared" si="4"/>
        <v>0.000163832363389368i</v>
      </c>
      <c r="V24" s="6" t="str">
        <f t="shared" si="4"/>
        <v>0.000188193966320643i</v>
      </c>
      <c r="W24" s="6" t="str">
        <f t="shared" si="4"/>
        <v>0.00021617809953289i</v>
      </c>
      <c r="X24" s="6" t="str">
        <f t="shared" si="4"/>
        <v>0.000248323427319816i</v>
      </c>
      <c r="Y24" s="6" t="str">
        <f t="shared" si="4"/>
        <v>0.000285248712469499i</v>
      </c>
      <c r="Z24" s="6" t="str">
        <f t="shared" si="4"/>
        <v>0.000327664726778736i</v>
      </c>
      <c r="AA24" s="6" t="str">
        <f t="shared" si="4"/>
        <v>0.000376387932641287i</v>
      </c>
      <c r="AB24" s="6" t="str">
        <f t="shared" si="4"/>
        <v>0.000432356199065781i</v>
      </c>
      <c r="AC24" s="6" t="str">
        <f t="shared" si="4"/>
        <v>0.000496646854639633i</v>
      </c>
      <c r="AD24" s="6" t="str">
        <f t="shared" si="4"/>
        <v>0.000570497424938998i</v>
      </c>
      <c r="AE24" s="6" t="str">
        <f t="shared" si="4"/>
        <v>0.000655329453557472i</v>
      </c>
    </row>
    <row r="25" spans="1:31" x14ac:dyDescent="0.2">
      <c r="A25" t="s">
        <v>16</v>
      </c>
      <c r="B25" s="6" t="str">
        <f t="shared" ref="B25:AE25" si="5">IMDIV(1,IMSUM(B23,B24))</f>
        <v>1.45319409529268+164.269280761213i</v>
      </c>
      <c r="C25" s="6" t="str">
        <f t="shared" si="5"/>
        <v>1.71095611501632+189.321063950873i</v>
      </c>
      <c r="D25" s="6" t="str">
        <f t="shared" si="5"/>
        <v>2.03421085219734+218.43267612038i</v>
      </c>
      <c r="E25" s="6" t="str">
        <f t="shared" si="5"/>
        <v>2.47549831215793+251.573172633423i</v>
      </c>
      <c r="F25" s="6" t="str">
        <f t="shared" si="5"/>
        <v>3.0322182841616+290.20240514171i</v>
      </c>
      <c r="G25" s="6" t="str">
        <f t="shared" si="5"/>
        <v>3.79879568249127+336.807403977606i</v>
      </c>
      <c r="H25" s="6" t="str">
        <f t="shared" si="5"/>
        <v>4.93646223494316+391.728215552773i</v>
      </c>
      <c r="I25" s="6" t="str">
        <f t="shared" si="5"/>
        <v>6.52960730226701+456.776331403447i</v>
      </c>
      <c r="J25" s="6" t="str">
        <f t="shared" si="5"/>
        <v>8.96615824509494+536.095105658515i</v>
      </c>
      <c r="K25" s="6" t="str">
        <f t="shared" si="5"/>
        <v>12.610505257825+637.777362098778i</v>
      </c>
      <c r="L25" s="6" t="str">
        <f t="shared" si="5"/>
        <v>19.6400596185408+766.26192621226i</v>
      </c>
      <c r="M25" s="6" t="str">
        <f t="shared" si="5"/>
        <v>33.7767513494191+924.733874425428i</v>
      </c>
      <c r="N25" s="6" t="str">
        <f t="shared" si="5"/>
        <v>63.7692629459368+1102.22785927328i</v>
      </c>
      <c r="O25" s="6" t="str">
        <f t="shared" si="5"/>
        <v>129.125706269144+1324.43501270612i</v>
      </c>
      <c r="P25" s="6" t="str">
        <f t="shared" si="5"/>
        <v>257.172262328033+1573.78285027655i</v>
      </c>
      <c r="Q25" s="6" t="str">
        <f t="shared" si="5"/>
        <v>475.086617884761+1888.84995421984i</v>
      </c>
      <c r="R25" s="6" t="str">
        <f t="shared" si="5"/>
        <v>861.619950541837+2178.87110795085i</v>
      </c>
      <c r="S25" s="6" t="str">
        <f t="shared" si="5"/>
        <v>1336.44960141889+2504.85515071988i</v>
      </c>
      <c r="T25" s="6" t="str">
        <f t="shared" si="5"/>
        <v>1974.75302248258+2772.06726641227i</v>
      </c>
      <c r="U25" s="6" t="str">
        <f t="shared" si="5"/>
        <v>2771.55186040063+2835.27667005825i</v>
      </c>
      <c r="V25" s="6" t="str">
        <f t="shared" si="5"/>
        <v>3800.72462237067+2580.38318384547i</v>
      </c>
      <c r="W25" s="6" t="str">
        <f t="shared" si="5"/>
        <v>4998.65474058022+1678.91838764455i</v>
      </c>
      <c r="X25" s="6" t="str">
        <f t="shared" si="5"/>
        <v>5671.97167364671-133.438369858487i</v>
      </c>
      <c r="Y25" s="6" t="str">
        <f t="shared" si="5"/>
        <v>4986.41671132902-2090.20240151692i</v>
      </c>
      <c r="Z25" s="6" t="str">
        <f t="shared" si="5"/>
        <v>3513.73106007625-3038.99896380801i</v>
      </c>
      <c r="AA25" s="6" t="str">
        <f t="shared" si="5"/>
        <v>2234.34764274075-3050.11506407398i</v>
      </c>
      <c r="AB25" s="6" t="str">
        <f t="shared" si="5"/>
        <v>1384.72265230534-2635.69926609143i</v>
      </c>
      <c r="AC25" s="6" t="str">
        <f t="shared" si="5"/>
        <v>826.841866898652-2106.76375669527i</v>
      </c>
      <c r="AD25" s="6" t="str">
        <f t="shared" si="5"/>
        <v>396.750723523894-1684.945847062i</v>
      </c>
      <c r="AE25" s="6" t="str">
        <f t="shared" si="5"/>
        <v>137.761043239692-1459.80599737334i</v>
      </c>
    </row>
    <row r="26" spans="1:31" x14ac:dyDescent="0.2">
      <c r="A26" t="s">
        <v>8</v>
      </c>
      <c r="B26" s="5">
        <f t="shared" ref="B26:AE26" si="6">IMREAL(B25)</f>
        <v>1.4531940952926801</v>
      </c>
      <c r="C26" s="5">
        <f t="shared" si="6"/>
        <v>1.7109561150163199</v>
      </c>
      <c r="D26" s="5">
        <f t="shared" si="6"/>
        <v>2.0342108521973401</v>
      </c>
      <c r="E26" s="5">
        <f t="shared" si="6"/>
        <v>2.4754983121579301</v>
      </c>
      <c r="F26" s="5">
        <f t="shared" si="6"/>
        <v>3.0322182841615999</v>
      </c>
      <c r="G26" s="5">
        <f t="shared" si="6"/>
        <v>3.7987956824912699</v>
      </c>
      <c r="H26" s="5">
        <f t="shared" si="6"/>
        <v>4.9364622349431597</v>
      </c>
      <c r="I26" s="5">
        <f t="shared" si="6"/>
        <v>6.52960730226701</v>
      </c>
      <c r="J26" s="5">
        <f t="shared" si="6"/>
        <v>8.96615824509494</v>
      </c>
      <c r="K26" s="5">
        <f t="shared" si="6"/>
        <v>12.610505257825</v>
      </c>
      <c r="L26" s="5">
        <f t="shared" si="6"/>
        <v>19.6400596185408</v>
      </c>
      <c r="M26" s="5">
        <f t="shared" si="6"/>
        <v>33.776751349419101</v>
      </c>
      <c r="N26" s="5">
        <f t="shared" si="6"/>
        <v>63.769262945936802</v>
      </c>
      <c r="O26" s="5">
        <f t="shared" si="6"/>
        <v>129.12570626914399</v>
      </c>
      <c r="P26" s="5">
        <f t="shared" si="6"/>
        <v>257.17226232803301</v>
      </c>
      <c r="Q26" s="5">
        <f t="shared" si="6"/>
        <v>475.08661788476098</v>
      </c>
      <c r="R26" s="5">
        <f t="shared" si="6"/>
        <v>861.61995054183706</v>
      </c>
      <c r="S26" s="5">
        <f t="shared" si="6"/>
        <v>1336.4496014188901</v>
      </c>
      <c r="T26" s="5">
        <f t="shared" si="6"/>
        <v>1974.75302248258</v>
      </c>
      <c r="U26" s="5">
        <f t="shared" si="6"/>
        <v>2771.5518604006302</v>
      </c>
      <c r="V26" s="5">
        <f t="shared" si="6"/>
        <v>3800.7246223706702</v>
      </c>
      <c r="W26" s="5">
        <f t="shared" si="6"/>
        <v>4998.6547405802203</v>
      </c>
      <c r="X26" s="5">
        <f t="shared" si="6"/>
        <v>5671.9716736467099</v>
      </c>
      <c r="Y26" s="5">
        <f t="shared" si="6"/>
        <v>4986.4167113290196</v>
      </c>
      <c r="Z26" s="5">
        <f t="shared" si="6"/>
        <v>3513.7310600762498</v>
      </c>
      <c r="AA26" s="5">
        <f t="shared" si="6"/>
        <v>2234.34764274075</v>
      </c>
      <c r="AB26" s="5">
        <f t="shared" si="6"/>
        <v>1384.72265230534</v>
      </c>
      <c r="AC26" s="5">
        <f t="shared" si="6"/>
        <v>826.84186689865203</v>
      </c>
      <c r="AD26" s="5">
        <f t="shared" si="6"/>
        <v>396.75072352389401</v>
      </c>
      <c r="AE26" s="5">
        <f t="shared" si="6"/>
        <v>137.76104323969199</v>
      </c>
    </row>
    <row r="27" spans="1:31" x14ac:dyDescent="0.2">
      <c r="A27" t="s">
        <v>9</v>
      </c>
      <c r="B27" s="5">
        <f t="shared" ref="B27:AE27" si="7">IMAGINARY(B25)</f>
        <v>164.269280761213</v>
      </c>
      <c r="C27" s="5">
        <f t="shared" si="7"/>
        <v>189.321063950873</v>
      </c>
      <c r="D27" s="5">
        <f t="shared" si="7"/>
        <v>218.43267612037999</v>
      </c>
      <c r="E27" s="5">
        <f t="shared" si="7"/>
        <v>251.57317263342301</v>
      </c>
      <c r="F27" s="5">
        <f t="shared" si="7"/>
        <v>290.20240514171002</v>
      </c>
      <c r="G27" s="5">
        <f t="shared" si="7"/>
        <v>336.80740397760599</v>
      </c>
      <c r="H27" s="5">
        <f t="shared" si="7"/>
        <v>391.72821555277301</v>
      </c>
      <c r="I27" s="5">
        <f t="shared" si="7"/>
        <v>456.77633140344699</v>
      </c>
      <c r="J27" s="5">
        <f t="shared" si="7"/>
        <v>536.09510565851497</v>
      </c>
      <c r="K27" s="5">
        <f t="shared" si="7"/>
        <v>637.77736209877799</v>
      </c>
      <c r="L27" s="5">
        <f t="shared" si="7"/>
        <v>766.26192621226005</v>
      </c>
      <c r="M27" s="5">
        <f t="shared" si="7"/>
        <v>924.73387442542798</v>
      </c>
      <c r="N27" s="5">
        <f t="shared" si="7"/>
        <v>1102.22785927328</v>
      </c>
      <c r="O27" s="5">
        <f t="shared" si="7"/>
        <v>1324.43501270612</v>
      </c>
      <c r="P27" s="5">
        <f t="shared" si="7"/>
        <v>1573.7828502765501</v>
      </c>
      <c r="Q27" s="5">
        <f t="shared" si="7"/>
        <v>1888.8499542198399</v>
      </c>
      <c r="R27" s="5">
        <f t="shared" si="7"/>
        <v>2178.8711079508498</v>
      </c>
      <c r="S27" s="5">
        <f t="shared" si="7"/>
        <v>2504.8551507198799</v>
      </c>
      <c r="T27" s="5">
        <f t="shared" si="7"/>
        <v>2772.0672664122699</v>
      </c>
      <c r="U27" s="5">
        <f t="shared" si="7"/>
        <v>2835.2766700582501</v>
      </c>
      <c r="V27" s="5">
        <f t="shared" si="7"/>
        <v>2580.3831838454698</v>
      </c>
      <c r="W27" s="5">
        <f t="shared" si="7"/>
        <v>1678.91838764455</v>
      </c>
      <c r="X27" s="5">
        <f t="shared" si="7"/>
        <v>-133.43836985848699</v>
      </c>
      <c r="Y27" s="5">
        <f t="shared" si="7"/>
        <v>-2090.20240151692</v>
      </c>
      <c r="Z27" s="5">
        <f t="shared" si="7"/>
        <v>-3038.9989638080101</v>
      </c>
      <c r="AA27" s="5">
        <f t="shared" si="7"/>
        <v>-3050.1150640739802</v>
      </c>
      <c r="AB27" s="5">
        <f t="shared" si="7"/>
        <v>-2635.6992660914302</v>
      </c>
      <c r="AC27" s="5">
        <f t="shared" si="7"/>
        <v>-2106.7637566952699</v>
      </c>
      <c r="AD27" s="5">
        <f t="shared" si="7"/>
        <v>-1684.945847062</v>
      </c>
      <c r="AE27" s="5">
        <f t="shared" si="7"/>
        <v>-1459.80599737334</v>
      </c>
    </row>
    <row r="28" spans="1:31" x14ac:dyDescent="0.2">
      <c r="A28" t="s">
        <v>17</v>
      </c>
      <c r="B28" s="5">
        <f t="shared" ref="B28:AE28" si="8">IMABS(B25)</f>
        <v>164.2757084138882</v>
      </c>
      <c r="C28" s="5">
        <f t="shared" si="8"/>
        <v>189.32879502684756</v>
      </c>
      <c r="D28" s="5">
        <f t="shared" si="8"/>
        <v>218.44214797264291</v>
      </c>
      <c r="E28" s="5">
        <f t="shared" si="8"/>
        <v>251.58535188031033</v>
      </c>
      <c r="F28" s="5">
        <f t="shared" si="8"/>
        <v>290.21824597663738</v>
      </c>
      <c r="G28" s="5">
        <f t="shared" si="8"/>
        <v>336.82882629426416</v>
      </c>
      <c r="H28" s="5">
        <f t="shared" si="8"/>
        <v>391.75931835701988</v>
      </c>
      <c r="I28" s="5">
        <f t="shared" si="8"/>
        <v>456.82299931364383</v>
      </c>
      <c r="J28" s="5">
        <f t="shared" si="8"/>
        <v>536.17007964328855</v>
      </c>
      <c r="K28" s="5">
        <f t="shared" si="8"/>
        <v>637.90202104126729</v>
      </c>
      <c r="L28" s="5">
        <f t="shared" si="8"/>
        <v>766.51358207427927</v>
      </c>
      <c r="M28" s="5">
        <f t="shared" si="8"/>
        <v>925.35053219933025</v>
      </c>
      <c r="N28" s="5">
        <f t="shared" si="8"/>
        <v>1104.0709998251136</v>
      </c>
      <c r="O28" s="5">
        <f t="shared" si="8"/>
        <v>1330.7146767438037</v>
      </c>
      <c r="P28" s="5">
        <f t="shared" si="8"/>
        <v>1594.6567130061258</v>
      </c>
      <c r="Q28" s="5">
        <f t="shared" si="8"/>
        <v>1947.6810426888362</v>
      </c>
      <c r="R28" s="5">
        <f t="shared" si="8"/>
        <v>2343.0467866081294</v>
      </c>
      <c r="S28" s="5">
        <f t="shared" si="8"/>
        <v>2839.0838070089835</v>
      </c>
      <c r="T28" s="5">
        <f t="shared" si="8"/>
        <v>3403.5285262971543</v>
      </c>
      <c r="U28" s="5">
        <f t="shared" si="8"/>
        <v>3964.8825342835557</v>
      </c>
      <c r="V28" s="5">
        <f t="shared" si="8"/>
        <v>4593.896497589727</v>
      </c>
      <c r="W28" s="5">
        <f t="shared" si="8"/>
        <v>5273.0746408424839</v>
      </c>
      <c r="X28" s="5">
        <f t="shared" si="8"/>
        <v>5673.5410869404259</v>
      </c>
      <c r="Y28" s="5">
        <f t="shared" si="8"/>
        <v>5406.7825643656524</v>
      </c>
      <c r="Z28" s="5">
        <f t="shared" si="8"/>
        <v>4645.6238186674918</v>
      </c>
      <c r="AA28" s="5">
        <f t="shared" si="8"/>
        <v>3780.9405301739625</v>
      </c>
      <c r="AB28" s="5">
        <f t="shared" si="8"/>
        <v>2977.30875877569</v>
      </c>
      <c r="AC28" s="5">
        <f t="shared" si="8"/>
        <v>2263.2103303451968</v>
      </c>
      <c r="AD28" s="5">
        <f t="shared" si="8"/>
        <v>1731.0267600901534</v>
      </c>
      <c r="AE28" s="5">
        <f t="shared" si="8"/>
        <v>1466.2918041787113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1.02</v>
      </c>
      <c r="C33" s="12">
        <f ca="1">CubicSpline_version("d")</f>
        <v>39544</v>
      </c>
    </row>
    <row r="34" spans="1:3" x14ac:dyDescent="0.2">
      <c r="A34" s="13"/>
    </row>
    <row r="35" spans="1:3" x14ac:dyDescent="0.2">
      <c r="A35" t="s">
        <v>27</v>
      </c>
    </row>
  </sheetData>
  <hyperlinks>
    <hyperlink ref="A4" r:id="rId1" xr:uid="{5C4B5BD8-2307-4710-92D7-F2229BD213F8}"/>
  </hyperlinks>
  <pageMargins left="0.75" right="0.75" top="1" bottom="1" header="0.5" footer="0.5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821C3-D58B-4176-93EF-931064789189}">
  <sheetPr codeName="Sheet5"/>
  <dimension ref="A1:AE35"/>
  <sheetViews>
    <sheetView tabSelected="1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3" ht="20.25" x14ac:dyDescent="0.3">
      <c r="A1" s="9" t="s">
        <v>28</v>
      </c>
    </row>
    <row r="3" spans="1:3" x14ac:dyDescent="0.2">
      <c r="A3" s="8" t="s">
        <v>30</v>
      </c>
    </row>
    <row r="4" spans="1:3" x14ac:dyDescent="0.2">
      <c r="A4" s="13" t="s">
        <v>29</v>
      </c>
    </row>
    <row r="6" spans="1:3" x14ac:dyDescent="0.2">
      <c r="A6" s="8" t="s">
        <v>18</v>
      </c>
    </row>
    <row r="7" spans="1:3" x14ac:dyDescent="0.2">
      <c r="A7" t="s">
        <v>3</v>
      </c>
      <c r="B7" s="3">
        <v>226</v>
      </c>
      <c r="C7" s="15" t="s">
        <v>34</v>
      </c>
    </row>
    <row r="8" spans="1:3" x14ac:dyDescent="0.2">
      <c r="A8" t="s">
        <v>7</v>
      </c>
      <c r="B8" s="3">
        <v>10</v>
      </c>
    </row>
    <row r="9" spans="1:3" x14ac:dyDescent="0.2">
      <c r="A9" t="s">
        <v>10</v>
      </c>
      <c r="B9" s="3">
        <v>2.2000000000000002</v>
      </c>
    </row>
    <row r="11" spans="1:3" x14ac:dyDescent="0.2">
      <c r="A11" s="8" t="s">
        <v>19</v>
      </c>
    </row>
    <row r="12" spans="1:3" x14ac:dyDescent="0.2">
      <c r="A12" t="s">
        <v>21</v>
      </c>
      <c r="B12" t="str">
        <f>Mix!B1</f>
        <v>F14</v>
      </c>
    </row>
    <row r="13" spans="1:3" x14ac:dyDescent="0.2">
      <c r="A13" t="s">
        <v>20</v>
      </c>
      <c r="B13">
        <f>Mix!B2</f>
        <v>220</v>
      </c>
    </row>
    <row r="15" spans="1:3" x14ac:dyDescent="0.2">
      <c r="A15" s="8" t="s">
        <v>22</v>
      </c>
    </row>
    <row r="16" spans="1:3" x14ac:dyDescent="0.2">
      <c r="A16" s="2" t="s">
        <v>11</v>
      </c>
      <c r="B16" s="4">
        <f>2*PI()*$B$8^2*$B$7*0.000000001</f>
        <v>1.4199998794225867E-4</v>
      </c>
    </row>
    <row r="18" spans="1:31" x14ac:dyDescent="0.2">
      <c r="A18" t="s">
        <v>4</v>
      </c>
      <c r="B18" s="10">
        <v>1.04</v>
      </c>
      <c r="C18" s="10">
        <f>B18*2^(1/5)</f>
        <v>1.1946462891969165</v>
      </c>
      <c r="D18" s="10">
        <f t="shared" ref="D18:AE18" si="0">C18*2^(1/5)</f>
        <v>1.3722882272038102</v>
      </c>
      <c r="E18" s="10">
        <f t="shared" si="0"/>
        <v>1.5763452291708142</v>
      </c>
      <c r="F18" s="10">
        <f t="shared" si="0"/>
        <v>1.8107451716559386</v>
      </c>
      <c r="G18" s="10">
        <f t="shared" si="0"/>
        <v>2.0800000000000005</v>
      </c>
      <c r="H18" s="10">
        <f t="shared" si="0"/>
        <v>2.3892925783938335</v>
      </c>
      <c r="I18" s="10">
        <f t="shared" si="0"/>
        <v>2.7445764544076212</v>
      </c>
      <c r="J18" s="10">
        <f t="shared" si="0"/>
        <v>3.1526904583416298</v>
      </c>
      <c r="K18" s="10">
        <f t="shared" si="0"/>
        <v>3.6214903433118786</v>
      </c>
      <c r="L18" s="10">
        <f t="shared" si="0"/>
        <v>4.1600000000000028</v>
      </c>
      <c r="M18" s="10">
        <f t="shared" si="0"/>
        <v>4.7785851567876696</v>
      </c>
      <c r="N18" s="10">
        <f t="shared" si="0"/>
        <v>5.4891529088152451</v>
      </c>
      <c r="O18" s="10">
        <f t="shared" si="0"/>
        <v>6.3053809166832622</v>
      </c>
      <c r="P18" s="10">
        <f t="shared" si="0"/>
        <v>7.2429806866237607</v>
      </c>
      <c r="Q18" s="10">
        <f t="shared" si="0"/>
        <v>8.3200000000000092</v>
      </c>
      <c r="R18" s="10">
        <f t="shared" si="0"/>
        <v>9.5571703135753427</v>
      </c>
      <c r="S18" s="10">
        <f t="shared" si="0"/>
        <v>10.978305817630494</v>
      </c>
      <c r="T18" s="10">
        <f t="shared" si="0"/>
        <v>12.610761833366528</v>
      </c>
      <c r="U18" s="10">
        <f t="shared" si="0"/>
        <v>14.485961373247525</v>
      </c>
      <c r="V18" s="10">
        <f t="shared" si="0"/>
        <v>16.640000000000022</v>
      </c>
      <c r="W18" s="10">
        <f t="shared" si="0"/>
        <v>19.114340627150689</v>
      </c>
      <c r="X18" s="10">
        <f t="shared" si="0"/>
        <v>21.956611635260991</v>
      </c>
      <c r="Y18" s="10">
        <f t="shared" si="0"/>
        <v>25.221523666733063</v>
      </c>
      <c r="Z18" s="10">
        <f t="shared" si="0"/>
        <v>28.971922746495057</v>
      </c>
      <c r="AA18" s="10">
        <f t="shared" si="0"/>
        <v>33.280000000000058</v>
      </c>
      <c r="AB18" s="10">
        <f t="shared" si="0"/>
        <v>38.228681254301392</v>
      </c>
      <c r="AC18" s="10">
        <f t="shared" si="0"/>
        <v>43.913223270522003</v>
      </c>
      <c r="AD18" s="10">
        <f t="shared" si="0"/>
        <v>50.443047333466147</v>
      </c>
      <c r="AE18" s="10">
        <f t="shared" si="0"/>
        <v>57.943845492990143</v>
      </c>
    </row>
    <row r="19" spans="1:31" x14ac:dyDescent="0.2">
      <c r="A19" t="s">
        <v>6</v>
      </c>
      <c r="B19" s="7">
        <f>csinterpolate(CSTableU2,'28-042-31'!B18*1000000)</f>
        <v>1.9121445035223179</v>
      </c>
      <c r="C19" s="7">
        <f>csinterpolate(CSTableU2,'28-042-31'!C18*1000000)</f>
        <v>1.9574362303797543</v>
      </c>
      <c r="D19" s="7">
        <f>csinterpolate(CSTableU2,'28-042-31'!D18*1000000)</f>
        <v>2.0226374329293155</v>
      </c>
      <c r="E19" s="7">
        <f>csinterpolate(CSTableU2,'28-042-31'!E18*1000000)</f>
        <v>2.13811662060994</v>
      </c>
      <c r="F19" s="7">
        <f>csinterpolate(CSTableU2,'28-042-31'!F18*1000000)</f>
        <v>2.2733346634365299</v>
      </c>
      <c r="G19" s="7">
        <f>csinterpolate(CSTableU2,'28-042-31'!G18*1000000)</f>
        <v>2.4696466463547706</v>
      </c>
      <c r="H19" s="7">
        <f>csinterpolate(CSTableU2,'28-042-31'!H18*1000000)</f>
        <v>2.7791213259113334</v>
      </c>
      <c r="I19" s="7">
        <f>csinterpolate(CSTableU2,'28-042-31'!I18*1000000)</f>
        <v>3.1775320463613363</v>
      </c>
      <c r="J19" s="7">
        <f>csinterpolate(CSTableU2,'28-042-31'!J18*1000000)</f>
        <v>3.761712878740791</v>
      </c>
      <c r="K19" s="7">
        <f>csinterpolate(CSTableU2,'28-042-31'!K18*1000000)</f>
        <v>4.5431176223534013</v>
      </c>
      <c r="L19" s="7">
        <f>csinterpolate(CSTableU2,'28-042-31'!L18*1000000)</f>
        <v>6.0421780525816695</v>
      </c>
      <c r="M19" s="7">
        <f>csinterpolate(CSTableU2,'28-042-31'!M18*1000000)</f>
        <v>8.8077479841265731</v>
      </c>
      <c r="N19" s="7">
        <f>csinterpolate(CSTableU2,'28-042-31'!N18*1000000)</f>
        <v>13.980324367016085</v>
      </c>
      <c r="O19" s="7">
        <f>csinterpolate(CSTableU2,'28-042-31'!O18*1000000)</f>
        <v>23.484815673283332</v>
      </c>
      <c r="P19" s="7">
        <f>csinterpolate(CSTableU2,'28-042-31'!P18*1000000)</f>
        <v>38.259354026927227</v>
      </c>
      <c r="Q19" s="7">
        <f>csinterpolate(CSTableU2,'28-042-31'!Q18*1000000)</f>
        <v>56.472371106696684</v>
      </c>
      <c r="R19" s="7">
        <f>csinterpolate(CSTableU2,'28-042-31'!R18*1000000)</f>
        <v>80.674965517493945</v>
      </c>
      <c r="S19" s="7">
        <f>csinterpolate(CSTableU2,'28-042-31'!S18*1000000)</f>
        <v>95.766108505532216</v>
      </c>
      <c r="T19" s="7">
        <f>csinterpolate(CSTableU2,'28-042-31'!T18*1000000)</f>
        <v>106.15987426408267</v>
      </c>
      <c r="U19" s="7">
        <f>csinterpolate(CSTableU2,'28-042-31'!U18*1000000)</f>
        <v>111.79845317976333</v>
      </c>
      <c r="V19" s="7">
        <f>csinterpolate(CSTableU2,'28-042-31'!V18*1000000)</f>
        <v>115.41576165229573</v>
      </c>
      <c r="W19" s="7">
        <f>csinterpolate(CSTableU2,'28-042-31'!W18*1000000)</f>
        <v>118.74905396107683</v>
      </c>
      <c r="X19" s="7">
        <f>csinterpolate(CSTableU2,'28-042-31'!X18*1000000)</f>
        <v>121.58877771325294</v>
      </c>
      <c r="Y19" s="7">
        <f>csinterpolate(CSTableU2,'28-042-31'!Y18*1000000)</f>
        <v>124.23422193122427</v>
      </c>
      <c r="Z19" s="7">
        <f>csinterpolate(CSTableU2,'28-042-31'!Z18*1000000)</f>
        <v>125.68862620524732</v>
      </c>
      <c r="AA19" s="7">
        <f>csinterpolate(CSTableU2,'28-042-31'!AA18*1000000)</f>
        <v>126.48837881104612</v>
      </c>
      <c r="AB19" s="7">
        <f>csinterpolate(CSTableU2,'28-042-31'!AB18*1000000)</f>
        <v>131.67124057216782</v>
      </c>
      <c r="AC19" s="7">
        <f>csinterpolate(CSTableU2,'28-042-31'!AC18*1000000)</f>
        <v>151.46200540619219</v>
      </c>
      <c r="AD19" s="7">
        <f>csinterpolate(CSTableU2,'28-042-31'!AD18*1000000)</f>
        <v>204.89884681421552</v>
      </c>
      <c r="AE19" s="7">
        <f>csinterpolate(CSTableU2,'28-042-31'!AE18*1000000)</f>
        <v>325.6578397936072</v>
      </c>
    </row>
    <row r="20" spans="1:31" x14ac:dyDescent="0.2">
      <c r="A20" t="s">
        <v>5</v>
      </c>
      <c r="B20" s="7">
        <f>csinterpolate(CSTableU1,'28-042-31'!B18*1000000)</f>
        <v>216.56677081846061</v>
      </c>
      <c r="C20" s="7">
        <f>csinterpolate(CSTableU1,'28-042-31'!C18*1000000)</f>
        <v>217.14871349507604</v>
      </c>
      <c r="D20" s="7">
        <f>csinterpolate(CSTableU1,'28-042-31'!D18*1000000)</f>
        <v>217.9262915874186</v>
      </c>
      <c r="E20" s="7">
        <f>csinterpolate(CSTableU1,'28-042-31'!E18*1000000)</f>
        <v>218.26130634875207</v>
      </c>
      <c r="F20" s="7">
        <f>csinterpolate(CSTableU1,'28-042-31'!F18*1000000)</f>
        <v>218.86564770997416</v>
      </c>
      <c r="G20" s="7">
        <f>csinterpolate(CSTableU1,'28-042-31'!G18*1000000)</f>
        <v>220.69798291534474</v>
      </c>
      <c r="H20" s="7">
        <f>csinterpolate(CSTableU1,'28-042-31'!H18*1000000)</f>
        <v>222.86931423204547</v>
      </c>
      <c r="I20" s="7">
        <f>csinterpolate(CSTableU1,'28-042-31'!I18*1000000)</f>
        <v>225.43540443442456</v>
      </c>
      <c r="J20" s="7">
        <f>csinterpolate(CSTableU1,'28-042-31'!J18*1000000)</f>
        <v>229.21687247983448</v>
      </c>
      <c r="K20" s="7">
        <f>csinterpolate(CSTableU1,'28-042-31'!K18*1000000)</f>
        <v>235.77294877348464</v>
      </c>
      <c r="L20" s="7">
        <f>csinterpolate(CSTableU1,'28-042-31'!L18*1000000)</f>
        <v>244.24136720170733</v>
      </c>
      <c r="M20" s="7">
        <f>csinterpolate(CSTableU1,'28-042-31'!M18*1000000)</f>
        <v>253.20428554657747</v>
      </c>
      <c r="N20" s="7">
        <f>csinterpolate(CSTableU1,'28-042-31'!N18*1000000)</f>
        <v>258.23510458974437</v>
      </c>
      <c r="O20" s="7">
        <f>csinterpolate(CSTableU1,'28-042-31'!O18*1000000)</f>
        <v>263.84961579974163</v>
      </c>
      <c r="P20" s="7">
        <f>csinterpolate(CSTableU1,'28-042-31'!P18*1000000)</f>
        <v>265.12039210045725</v>
      </c>
      <c r="Q20" s="7">
        <f>csinterpolate(CSTableU1,'28-042-31'!Q18*1000000)</f>
        <v>266.95307501135346</v>
      </c>
      <c r="R20" s="7">
        <f>csinterpolate(CSTableU1,'28-042-31'!R18*1000000)</f>
        <v>259.57203478269071</v>
      </c>
      <c r="S20" s="7">
        <f>csinterpolate(CSTableU1,'28-042-31'!S18*1000000)</f>
        <v>251.20457283472493</v>
      </c>
      <c r="T20" s="7">
        <f>csinterpolate(CSTableU1,'28-042-31'!T18*1000000)</f>
        <v>237.84015515956833</v>
      </c>
      <c r="U20" s="7">
        <f>csinterpolate(CSTableU1,'28-042-31'!U18*1000000)</f>
        <v>218.25882830152995</v>
      </c>
      <c r="V20" s="7">
        <f>csinterpolate(CSTableU1,'28-042-31'!V18*1000000)</f>
        <v>198.96334379253616</v>
      </c>
      <c r="W20" s="7">
        <f>csinterpolate(CSTableU1,'28-042-31'!W18*1000000)</f>
        <v>182.68089201570345</v>
      </c>
      <c r="X20" s="7">
        <f>csinterpolate(CSTableU1,'28-042-31'!X18*1000000)</f>
        <v>168.49007711967346</v>
      </c>
      <c r="Y20" s="7">
        <f>csinterpolate(CSTableU1,'28-042-31'!Y18*1000000)</f>
        <v>155.67988040016419</v>
      </c>
      <c r="Z20" s="7">
        <f>csinterpolate(CSTableU1,'28-042-31'!Z18*1000000)</f>
        <v>144.24901848827639</v>
      </c>
      <c r="AA20" s="7">
        <f>csinterpolate(CSTableU1,'28-042-31'!AA18*1000000)</f>
        <v>131.93407537755965</v>
      </c>
      <c r="AB20" s="7">
        <f>csinterpolate(CSTableU1,'28-042-31'!AB18*1000000)</f>
        <v>113.8081278926735</v>
      </c>
      <c r="AC20" s="7">
        <f>csinterpolate(CSTableU1,'28-042-31'!AC18*1000000)</f>
        <v>80.072509261330453</v>
      </c>
      <c r="AD20" s="7">
        <f>csinterpolate(CSTableU1,'28-042-31'!AD18*1000000)</f>
        <v>12.66483834112536</v>
      </c>
      <c r="AE20" s="7">
        <f>csinterpolate(CSTableU1,'28-042-31'!AE18*1000000)</f>
        <v>-120.18242149596054</v>
      </c>
    </row>
    <row r="21" spans="1:31" x14ac:dyDescent="0.2">
      <c r="A21" t="s">
        <v>12</v>
      </c>
      <c r="B21" s="5">
        <f t="shared" ref="B21:AE21" si="1">B19/$B$13*$B$16*B18*1000000</f>
        <v>1.2835703468263018</v>
      </c>
      <c r="C21" s="5">
        <f t="shared" si="1"/>
        <v>1.5093591350743725</v>
      </c>
      <c r="D21" s="5">
        <f t="shared" si="1"/>
        <v>1.7915502945533754</v>
      </c>
      <c r="E21" s="5">
        <f t="shared" si="1"/>
        <v>2.175446227419954</v>
      </c>
      <c r="F21" s="5">
        <f t="shared" si="1"/>
        <v>2.6569680774932487</v>
      </c>
      <c r="G21" s="5">
        <f t="shared" si="1"/>
        <v>3.3156125978561612</v>
      </c>
      <c r="H21" s="5">
        <f t="shared" si="1"/>
        <v>4.2859042819805966</v>
      </c>
      <c r="I21" s="5">
        <f t="shared" si="1"/>
        <v>5.6289954699067266</v>
      </c>
      <c r="J21" s="5">
        <f t="shared" si="1"/>
        <v>7.6547780526201921</v>
      </c>
      <c r="K21" s="5">
        <f t="shared" si="1"/>
        <v>10.619570175068535</v>
      </c>
      <c r="L21" s="5">
        <f t="shared" si="1"/>
        <v>16.223795982473465</v>
      </c>
      <c r="M21" s="5">
        <f t="shared" si="1"/>
        <v>27.166258952293358</v>
      </c>
      <c r="N21" s="5">
        <f t="shared" si="1"/>
        <v>49.532266791691889</v>
      </c>
      <c r="O21" s="5">
        <f t="shared" si="1"/>
        <v>95.579358329898497</v>
      </c>
      <c r="P21" s="5">
        <f t="shared" si="1"/>
        <v>178.86303138736551</v>
      </c>
      <c r="Q21" s="5">
        <f t="shared" si="1"/>
        <v>303.26687479529318</v>
      </c>
      <c r="R21" s="5">
        <f t="shared" si="1"/>
        <v>497.66115201419763</v>
      </c>
      <c r="S21" s="5">
        <f t="shared" si="1"/>
        <v>678.59833743050376</v>
      </c>
      <c r="T21" s="5">
        <f t="shared" si="1"/>
        <v>864.10664692478338</v>
      </c>
      <c r="U21" s="5">
        <f t="shared" si="1"/>
        <v>1045.3187592282482</v>
      </c>
      <c r="V21" s="5">
        <f t="shared" si="1"/>
        <v>1239.6071442539289</v>
      </c>
      <c r="W21" s="5">
        <f t="shared" si="1"/>
        <v>1465.0589712877111</v>
      </c>
      <c r="X21" s="5">
        <f t="shared" si="1"/>
        <v>1723.1553770748471</v>
      </c>
      <c r="Y21" s="5">
        <f t="shared" si="1"/>
        <v>2022.4518480353956</v>
      </c>
      <c r="Z21" s="5">
        <f t="shared" si="1"/>
        <v>2350.3845546541825</v>
      </c>
      <c r="AA21" s="5">
        <f t="shared" si="1"/>
        <v>2717.0621376937606</v>
      </c>
      <c r="AB21" s="5">
        <f t="shared" si="1"/>
        <v>3248.9712688417221</v>
      </c>
      <c r="AC21" s="5">
        <f t="shared" si="1"/>
        <v>4293.0371362680808</v>
      </c>
      <c r="AD21" s="5">
        <f t="shared" si="1"/>
        <v>6671.2383264112432</v>
      </c>
      <c r="AE21" s="5">
        <f t="shared" si="1"/>
        <v>12179.640749721008</v>
      </c>
    </row>
    <row r="22" spans="1:31" x14ac:dyDescent="0.2">
      <c r="A22" t="s">
        <v>13</v>
      </c>
      <c r="B22" s="5">
        <f t="shared" ref="B22:AE22" si="2">B20/$B$13*$B$16*B18*1000000</f>
        <v>145.37535453959964</v>
      </c>
      <c r="C22" s="5">
        <f t="shared" si="2"/>
        <v>167.44116068591117</v>
      </c>
      <c r="D22" s="5">
        <f t="shared" si="2"/>
        <v>193.02812532195867</v>
      </c>
      <c r="E22" s="5">
        <f t="shared" si="2"/>
        <v>222.0719538453861</v>
      </c>
      <c r="F22" s="5">
        <f t="shared" si="2"/>
        <v>255.80001421621765</v>
      </c>
      <c r="G22" s="5">
        <f t="shared" si="2"/>
        <v>296.29704863067423</v>
      </c>
      <c r="H22" s="5">
        <f t="shared" si="2"/>
        <v>343.70451526651993</v>
      </c>
      <c r="I22" s="5">
        <f t="shared" si="2"/>
        <v>399.35863802572771</v>
      </c>
      <c r="J22" s="5">
        <f t="shared" si="2"/>
        <v>466.43758875510474</v>
      </c>
      <c r="K22" s="5">
        <f t="shared" si="2"/>
        <v>551.12096648421141</v>
      </c>
      <c r="L22" s="5">
        <f t="shared" si="2"/>
        <v>655.81021900998121</v>
      </c>
      <c r="M22" s="5">
        <f t="shared" si="2"/>
        <v>780.97297985653915</v>
      </c>
      <c r="N22" s="5">
        <f t="shared" si="2"/>
        <v>914.92656105301387</v>
      </c>
      <c r="O22" s="5">
        <f t="shared" si="2"/>
        <v>1073.8247778720515</v>
      </c>
      <c r="P22" s="5">
        <f t="shared" si="2"/>
        <v>1239.4416534142213</v>
      </c>
      <c r="Q22" s="5">
        <f t="shared" si="2"/>
        <v>1433.5864280026019</v>
      </c>
      <c r="R22" s="5">
        <f t="shared" si="2"/>
        <v>1601.2268122086953</v>
      </c>
      <c r="S22" s="5">
        <f t="shared" si="2"/>
        <v>1780.0347966602058</v>
      </c>
      <c r="T22" s="5">
        <f t="shared" si="2"/>
        <v>1935.9410549767258</v>
      </c>
      <c r="U22" s="5">
        <f t="shared" si="2"/>
        <v>2040.726334772439</v>
      </c>
      <c r="V22" s="5">
        <f t="shared" si="2"/>
        <v>2136.9384811833675</v>
      </c>
      <c r="W22" s="5">
        <f t="shared" si="2"/>
        <v>2253.8139951681092</v>
      </c>
      <c r="X22" s="5">
        <f t="shared" si="2"/>
        <v>2387.8402911264325</v>
      </c>
      <c r="Y22" s="5">
        <f t="shared" si="2"/>
        <v>2534.3665933815269</v>
      </c>
      <c r="Z22" s="5">
        <f t="shared" si="2"/>
        <v>2697.4649601565616</v>
      </c>
      <c r="AA22" s="5">
        <f t="shared" si="2"/>
        <v>2834.0396505160747</v>
      </c>
      <c r="AB22" s="5">
        <f t="shared" si="2"/>
        <v>2808.2012144580563</v>
      </c>
      <c r="AC22" s="5">
        <f t="shared" si="2"/>
        <v>2269.5741742701621</v>
      </c>
      <c r="AD22" s="5">
        <f t="shared" si="2"/>
        <v>412.35056347450524</v>
      </c>
      <c r="AE22" s="5">
        <f t="shared" si="2"/>
        <v>-4494.8364184324528</v>
      </c>
    </row>
    <row r="23" spans="1:31" x14ac:dyDescent="0.2">
      <c r="A23" t="s">
        <v>14</v>
      </c>
      <c r="B23" s="5" t="str">
        <f t="shared" ref="B23:AE23" si="3">IMDIV(1,COMPLEX(B21,B22))</f>
        <v>0.0000607301349892928-0.00687820883922379i</v>
      </c>
      <c r="C23" s="5" t="str">
        <f t="shared" si="3"/>
        <v>0.000053831049612002-0.00597176193426646i</v>
      </c>
      <c r="D23" s="5" t="str">
        <f t="shared" si="3"/>
        <v>0.0000480784446249371-0.00518014596774732i</v>
      </c>
      <c r="E23" s="5" t="str">
        <f t="shared" si="3"/>
        <v>0.0000441081914484559-0.00450261290400265i</v>
      </c>
      <c r="F23" s="5" t="str">
        <f t="shared" si="3"/>
        <v>0.0000406011519335636-0.00390888220666881i</v>
      </c>
      <c r="G23" s="5" t="str">
        <f t="shared" si="3"/>
        <v>0.0000377619794116828-0.00337456886771646i</v>
      </c>
      <c r="H23" s="5" t="str">
        <f t="shared" si="3"/>
        <v>0.0000362747532971333-0.00290902355211773i</v>
      </c>
      <c r="I23" s="5" t="str">
        <f t="shared" si="3"/>
        <v>0.0000352873025178295-0.00250351757226689i</v>
      </c>
      <c r="J23" s="5" t="str">
        <f t="shared" si="3"/>
        <v>0.0000351745515175529-0.0021433322929296i</v>
      </c>
      <c r="K23" s="5" t="str">
        <f t="shared" si="3"/>
        <v>0.0000349503758663389-0.0018138102210261i</v>
      </c>
      <c r="L23" s="5" t="str">
        <f t="shared" si="3"/>
        <v>0.0000376990504762583-0.00152389875809656i</v>
      </c>
      <c r="M23" s="5" t="str">
        <f t="shared" si="3"/>
        <v>0.0000444869506286262-0.00127890654573312i</v>
      </c>
      <c r="N23" s="5" t="str">
        <f t="shared" si="3"/>
        <v>0.0000589990082650745-0.0010897898124573i</v>
      </c>
      <c r="O23" s="5" t="str">
        <f t="shared" si="3"/>
        <v>0.0000822375447258349-0.000923930802016468i</v>
      </c>
      <c r="P23" s="5" t="str">
        <f t="shared" si="3"/>
        <v>0.000114055710365795-0.000790355598586256i</v>
      </c>
      <c r="Q23" s="5" t="str">
        <f t="shared" si="3"/>
        <v>0.000141242189890187-0.000667672282456223i</v>
      </c>
      <c r="R23" s="5" t="str">
        <f t="shared" si="3"/>
        <v>0.00017700321065157-0.000569508561388036i</v>
      </c>
      <c r="S23" s="5" t="str">
        <f t="shared" si="3"/>
        <v>0.00018699219508347-0.000490500190750228i</v>
      </c>
      <c r="T23" s="5" t="str">
        <f t="shared" si="3"/>
        <v>0.000192256626097213-0.00043073097155021i</v>
      </c>
      <c r="U23" s="5" t="str">
        <f t="shared" si="3"/>
        <v>0.000198833555380391-0.000388173338629043i</v>
      </c>
      <c r="V23" s="5" t="str">
        <f t="shared" si="3"/>
        <v>0.000203110002460567-0.000350138011210367i</v>
      </c>
      <c r="W23" s="5" t="str">
        <f t="shared" si="3"/>
        <v>0.000202746153007229-0.000311900152874086i</v>
      </c>
      <c r="X23" s="5" t="str">
        <f t="shared" si="3"/>
        <v>0.000198725209716422-0.000275380890740655i</v>
      </c>
      <c r="Y23" s="5" t="str">
        <f t="shared" si="3"/>
        <v>0.000192370325320646-0.000241062315784761i</v>
      </c>
      <c r="Z23" s="5" t="str">
        <f t="shared" si="3"/>
        <v>0.000183614831120719-0.000210729164354162i</v>
      </c>
      <c r="AA23" s="5" t="str">
        <f t="shared" si="3"/>
        <v>0.000176269986970279-0.000183858928119231i</v>
      </c>
      <c r="AB23" s="5" t="str">
        <f t="shared" si="3"/>
        <v>0.000176174223495263-0.000152273636002937i</v>
      </c>
      <c r="AC23" s="5" t="str">
        <f t="shared" si="3"/>
        <v>0.000182053882276976-0.0000962453331816793i</v>
      </c>
      <c r="AD23" s="5" t="str">
        <f t="shared" si="3"/>
        <v>0.000149326705376666-9.22991326214298E-06i</v>
      </c>
      <c r="AE23" s="5" t="str">
        <f t="shared" si="3"/>
        <v>0.0000722624909638544+0.0000266681163053532i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0.0000143759279828269i</v>
      </c>
      <c r="C24" s="6" t="str">
        <f t="shared" si="4"/>
        <v>0.0000165136048254291i</v>
      </c>
      <c r="D24" s="6" t="str">
        <f t="shared" si="4"/>
        <v>0.0000189691506980415i</v>
      </c>
      <c r="E24" s="6" t="str">
        <f t="shared" si="4"/>
        <v>0.0000217898322025311i</v>
      </c>
      <c r="F24" s="6" t="str">
        <f t="shared" si="4"/>
        <v>0.0000250299444067089i</v>
      </c>
      <c r="G24" s="6" t="str">
        <f t="shared" si="4"/>
        <v>0.0000287518559656538i</v>
      </c>
      <c r="H24" s="6" t="str">
        <f t="shared" si="4"/>
        <v>0.0000330272096508582i</v>
      </c>
      <c r="I24" s="6" t="str">
        <f t="shared" si="4"/>
        <v>0.000037938301396083i</v>
      </c>
      <c r="J24" s="6" t="str">
        <f t="shared" si="4"/>
        <v>0.0000435796644050623i</v>
      </c>
      <c r="K24" s="6" t="str">
        <f t="shared" si="4"/>
        <v>0.0000500598888134179i</v>
      </c>
      <c r="L24" s="6" t="str">
        <f t="shared" si="4"/>
        <v>0.0000575037119313076i</v>
      </c>
      <c r="M24" s="6" t="str">
        <f t="shared" si="4"/>
        <v>0.0000660544193017165i</v>
      </c>
      <c r="N24" s="6" t="str">
        <f t="shared" si="4"/>
        <v>0.0000758766027921661i</v>
      </c>
      <c r="O24" s="6" t="str">
        <f t="shared" si="4"/>
        <v>0.0000871593288101246i</v>
      </c>
      <c r="P24" s="6" t="str">
        <f t="shared" si="4"/>
        <v>0.000100119777626836i</v>
      </c>
      <c r="Q24" s="6" t="str">
        <f t="shared" si="4"/>
        <v>0.000115007423862615i</v>
      </c>
      <c r="R24" s="6" t="str">
        <f t="shared" si="4"/>
        <v>0.000132108838603433i</v>
      </c>
      <c r="S24" s="6" t="str">
        <f t="shared" si="4"/>
        <v>0.000151753205584332i</v>
      </c>
      <c r="T24" s="6" t="str">
        <f t="shared" si="4"/>
        <v>0.000174318657620249i</v>
      </c>
      <c r="U24" s="6" t="str">
        <f t="shared" si="4"/>
        <v>0.000200239555253672i</v>
      </c>
      <c r="V24" s="6" t="str">
        <f t="shared" si="4"/>
        <v>0.000230014847725231i</v>
      </c>
      <c r="W24" s="6" t="str">
        <f t="shared" si="4"/>
        <v>0.000264217677206866i</v>
      </c>
      <c r="X24" s="6" t="str">
        <f t="shared" si="4"/>
        <v>0.000303506411168664i</v>
      </c>
      <c r="Y24" s="6" t="str">
        <f t="shared" si="4"/>
        <v>0.000348637315240499i</v>
      </c>
      <c r="Z24" s="6" t="str">
        <f t="shared" si="4"/>
        <v>0.000400479110507344i</v>
      </c>
      <c r="AA24" s="6" t="str">
        <f t="shared" si="4"/>
        <v>0.000460029695450461i</v>
      </c>
      <c r="AB24" s="6" t="str">
        <f t="shared" si="4"/>
        <v>0.000528435354413732i</v>
      </c>
      <c r="AC24" s="6" t="str">
        <f t="shared" si="4"/>
        <v>0.000607012822337329i</v>
      </c>
      <c r="AD24" s="6" t="str">
        <f t="shared" si="4"/>
        <v>0.000697274630480998i</v>
      </c>
      <c r="AE24" s="6" t="str">
        <f t="shared" si="4"/>
        <v>0.000800958221014688i</v>
      </c>
    </row>
    <row r="25" spans="1:31" x14ac:dyDescent="0.2">
      <c r="A25" t="s">
        <v>16</v>
      </c>
      <c r="B25" s="6" t="str">
        <f t="shared" ref="B25:AE25" si="5">IMDIV(1,IMSUM(B23,B24))</f>
        <v>1.28895229392826+145.679787763425i</v>
      </c>
      <c r="C25" s="6" t="str">
        <f t="shared" si="5"/>
        <v>1.5177408103684+167.905390859325i</v>
      </c>
      <c r="D25" s="6" t="str">
        <f t="shared" si="5"/>
        <v>1.80474251271722+193.737449080209i</v>
      </c>
      <c r="E25" s="6" t="str">
        <f t="shared" si="5"/>
        <v>2.19665360862876+223.15166065693i</v>
      </c>
      <c r="F25" s="6" t="str">
        <f t="shared" si="5"/>
        <v>2.69132096432361+257.448188486514i</v>
      </c>
      <c r="G25" s="6" t="str">
        <f t="shared" si="5"/>
        <v>3.37283475009756+298.842594072529i</v>
      </c>
      <c r="H25" s="6" t="str">
        <f t="shared" si="5"/>
        <v>4.38489021116946+347.650281895611i</v>
      </c>
      <c r="I25" s="6" t="str">
        <f t="shared" si="5"/>
        <v>5.80352115586953+405.501141741912i</v>
      </c>
      <c r="J25" s="6" t="str">
        <f t="shared" si="5"/>
        <v>7.97573005236674+476.112968590433i</v>
      </c>
      <c r="K25" s="6" t="str">
        <f t="shared" si="5"/>
        <v>11.2307079017031+566.751123603504i</v>
      </c>
      <c r="L25" s="6" t="str">
        <f t="shared" si="5"/>
        <v>17.5202983132839+681.494051690155i</v>
      </c>
      <c r="M25" s="6" t="str">
        <f t="shared" si="5"/>
        <v>30.2018137766956+823.395030307601i</v>
      </c>
      <c r="N25" s="6" t="str">
        <f t="shared" si="5"/>
        <v>57.1972447388299+982.949437668412i</v>
      </c>
      <c r="O25" s="6" t="str">
        <f t="shared" si="5"/>
        <v>116.327323683328+1183.63682107925i</v>
      </c>
      <c r="P25" s="6" t="str">
        <f t="shared" si="5"/>
        <v>233.035843953335+1410.27298456369i</v>
      </c>
      <c r="Q25" s="6" t="str">
        <f t="shared" si="5"/>
        <v>434.073400926305+1698.48056681009i</v>
      </c>
      <c r="R25" s="6" t="str">
        <f t="shared" si="5"/>
        <v>794.988909268351+1964.52893284129i</v>
      </c>
      <c r="S25" s="6" t="str">
        <f t="shared" si="5"/>
        <v>1248.98269691382+2262.60311514642i</v>
      </c>
      <c r="T25" s="6" t="str">
        <f t="shared" si="5"/>
        <v>1871.84150846342+2496.4716287727i</v>
      </c>
      <c r="U25" s="6" t="str">
        <f t="shared" si="5"/>
        <v>2656.28888803363+2510.67491858243i</v>
      </c>
      <c r="V25" s="6" t="str">
        <f t="shared" si="5"/>
        <v>3647.59620820552+2157.25858075897i</v>
      </c>
      <c r="W25" s="6" t="str">
        <f t="shared" si="5"/>
        <v>4673.7649643591+1099.19069181753i</v>
      </c>
      <c r="X25" s="6" t="str">
        <f t="shared" si="5"/>
        <v>4933.25779879019-698.202523950047i</v>
      </c>
      <c r="Y25" s="6" t="str">
        <f t="shared" si="5"/>
        <v>3959.97085011921-2214.4468557521i</v>
      </c>
      <c r="Z25" s="6" t="str">
        <f t="shared" si="5"/>
        <v>2633.62427084514-2721.62145361791i</v>
      </c>
      <c r="AA25" s="6" t="str">
        <f t="shared" si="5"/>
        <v>1642.14352776237-2572.82618513277i</v>
      </c>
      <c r="AB25" s="6" t="str">
        <f t="shared" si="5"/>
        <v>1021.09269522071-2180.20534031905i</v>
      </c>
      <c r="AC25" s="6" t="str">
        <f t="shared" si="5"/>
        <v>619.173936456334-1737.14459103528i</v>
      </c>
      <c r="AD25" s="6" t="str">
        <f t="shared" si="5"/>
        <v>301.241680579401-1388.01526763728i</v>
      </c>
      <c r="AE25" s="6" t="str">
        <f t="shared" si="5"/>
        <v>104.699838940314-1199.13309193166i</v>
      </c>
    </row>
    <row r="26" spans="1:31" x14ac:dyDescent="0.2">
      <c r="A26" t="s">
        <v>8</v>
      </c>
      <c r="B26" s="5">
        <f t="shared" ref="B26:AE26" si="6">IMREAL(B25)</f>
        <v>1.2889522939282601</v>
      </c>
      <c r="C26" s="5">
        <f t="shared" si="6"/>
        <v>1.5177408103684</v>
      </c>
      <c r="D26" s="5">
        <f t="shared" si="6"/>
        <v>1.8047425127172201</v>
      </c>
      <c r="E26" s="5">
        <f t="shared" si="6"/>
        <v>2.1966536086287598</v>
      </c>
      <c r="F26" s="5">
        <f t="shared" si="6"/>
        <v>2.69132096432361</v>
      </c>
      <c r="G26" s="5">
        <f t="shared" si="6"/>
        <v>3.3728347500975602</v>
      </c>
      <c r="H26" s="5">
        <f t="shared" si="6"/>
        <v>4.3848902111694601</v>
      </c>
      <c r="I26" s="5">
        <f t="shared" si="6"/>
        <v>5.8035211558695297</v>
      </c>
      <c r="J26" s="5">
        <f t="shared" si="6"/>
        <v>7.9757300523667398</v>
      </c>
      <c r="K26" s="5">
        <f t="shared" si="6"/>
        <v>11.2307079017031</v>
      </c>
      <c r="L26" s="5">
        <f t="shared" si="6"/>
        <v>17.520298313283899</v>
      </c>
      <c r="M26" s="5">
        <f t="shared" si="6"/>
        <v>30.201813776695602</v>
      </c>
      <c r="N26" s="5">
        <f t="shared" si="6"/>
        <v>57.197244738829902</v>
      </c>
      <c r="O26" s="5">
        <f t="shared" si="6"/>
        <v>116.327323683328</v>
      </c>
      <c r="P26" s="5">
        <f t="shared" si="6"/>
        <v>233.03584395333499</v>
      </c>
      <c r="Q26" s="5">
        <f t="shared" si="6"/>
        <v>434.073400926305</v>
      </c>
      <c r="R26" s="5">
        <f t="shared" si="6"/>
        <v>794.98890926835099</v>
      </c>
      <c r="S26" s="5">
        <f t="shared" si="6"/>
        <v>1248.9826969138201</v>
      </c>
      <c r="T26" s="5">
        <f t="shared" si="6"/>
        <v>1871.84150846342</v>
      </c>
      <c r="U26" s="5">
        <f t="shared" si="6"/>
        <v>2656.28888803363</v>
      </c>
      <c r="V26" s="5">
        <f t="shared" si="6"/>
        <v>3647.5962082055198</v>
      </c>
      <c r="W26" s="5">
        <f t="shared" si="6"/>
        <v>4673.7649643591003</v>
      </c>
      <c r="X26" s="5">
        <f t="shared" si="6"/>
        <v>4933.2577987901896</v>
      </c>
      <c r="Y26" s="5">
        <f t="shared" si="6"/>
        <v>3959.9708501192099</v>
      </c>
      <c r="Z26" s="5">
        <f t="shared" si="6"/>
        <v>2633.62427084514</v>
      </c>
      <c r="AA26" s="5">
        <f t="shared" si="6"/>
        <v>1642.14352776237</v>
      </c>
      <c r="AB26" s="5">
        <f t="shared" si="6"/>
        <v>1021.09269522071</v>
      </c>
      <c r="AC26" s="5">
        <f t="shared" si="6"/>
        <v>619.17393645633399</v>
      </c>
      <c r="AD26" s="5">
        <f t="shared" si="6"/>
        <v>301.24168057940102</v>
      </c>
      <c r="AE26" s="5">
        <f t="shared" si="6"/>
        <v>104.699838940314</v>
      </c>
    </row>
    <row r="27" spans="1:31" x14ac:dyDescent="0.2">
      <c r="A27" t="s">
        <v>9</v>
      </c>
      <c r="B27" s="5">
        <f t="shared" ref="B27:AE27" si="7">IMAGINARY(B25)</f>
        <v>145.679787763425</v>
      </c>
      <c r="C27" s="5">
        <f t="shared" si="7"/>
        <v>167.905390859325</v>
      </c>
      <c r="D27" s="5">
        <f t="shared" si="7"/>
        <v>193.73744908020899</v>
      </c>
      <c r="E27" s="5">
        <f t="shared" si="7"/>
        <v>223.15166065693001</v>
      </c>
      <c r="F27" s="5">
        <f t="shared" si="7"/>
        <v>257.44818848651403</v>
      </c>
      <c r="G27" s="5">
        <f t="shared" si="7"/>
        <v>298.84259407252898</v>
      </c>
      <c r="H27" s="5">
        <f t="shared" si="7"/>
        <v>347.65028189561099</v>
      </c>
      <c r="I27" s="5">
        <f t="shared" si="7"/>
        <v>405.50114174191202</v>
      </c>
      <c r="J27" s="5">
        <f t="shared" si="7"/>
        <v>476.11296859043301</v>
      </c>
      <c r="K27" s="5">
        <f t="shared" si="7"/>
        <v>566.75112360350397</v>
      </c>
      <c r="L27" s="5">
        <f t="shared" si="7"/>
        <v>681.49405169015495</v>
      </c>
      <c r="M27" s="5">
        <f t="shared" si="7"/>
        <v>823.39503030760102</v>
      </c>
      <c r="N27" s="5">
        <f t="shared" si="7"/>
        <v>982.94943766841197</v>
      </c>
      <c r="O27" s="5">
        <f t="shared" si="7"/>
        <v>1183.63682107925</v>
      </c>
      <c r="P27" s="5">
        <f t="shared" si="7"/>
        <v>1410.27298456369</v>
      </c>
      <c r="Q27" s="5">
        <f t="shared" si="7"/>
        <v>1698.4805668100901</v>
      </c>
      <c r="R27" s="5">
        <f t="shared" si="7"/>
        <v>1964.52893284129</v>
      </c>
      <c r="S27" s="5">
        <f t="shared" si="7"/>
        <v>2262.6031151464199</v>
      </c>
      <c r="T27" s="5">
        <f t="shared" si="7"/>
        <v>2496.4716287727001</v>
      </c>
      <c r="U27" s="5">
        <f t="shared" si="7"/>
        <v>2510.6749185824301</v>
      </c>
      <c r="V27" s="5">
        <f t="shared" si="7"/>
        <v>2157.2585807589699</v>
      </c>
      <c r="W27" s="5">
        <f t="shared" si="7"/>
        <v>1099.19069181753</v>
      </c>
      <c r="X27" s="5">
        <f t="shared" si="7"/>
        <v>-698.20252395004695</v>
      </c>
      <c r="Y27" s="5">
        <f t="shared" si="7"/>
        <v>-2214.4468557521</v>
      </c>
      <c r="Z27" s="5">
        <f t="shared" si="7"/>
        <v>-2721.62145361791</v>
      </c>
      <c r="AA27" s="5">
        <f t="shared" si="7"/>
        <v>-2572.8261851327702</v>
      </c>
      <c r="AB27" s="5">
        <f t="shared" si="7"/>
        <v>-2180.2053403190498</v>
      </c>
      <c r="AC27" s="5">
        <f t="shared" si="7"/>
        <v>-1737.14459103528</v>
      </c>
      <c r="AD27" s="5">
        <f t="shared" si="7"/>
        <v>-1388.01526763728</v>
      </c>
      <c r="AE27" s="5">
        <f t="shared" si="7"/>
        <v>-1199.1330919316599</v>
      </c>
    </row>
    <row r="28" spans="1:31" x14ac:dyDescent="0.2">
      <c r="A28" t="s">
        <v>17</v>
      </c>
      <c r="B28" s="5">
        <f t="shared" ref="B28:AE28" si="8">IMABS(B25)</f>
        <v>145.68548987738134</v>
      </c>
      <c r="C28" s="5">
        <f t="shared" si="8"/>
        <v>167.91225034758526</v>
      </c>
      <c r="D28" s="5">
        <f t="shared" si="8"/>
        <v>193.74585485022328</v>
      </c>
      <c r="E28" s="5">
        <f t="shared" si="8"/>
        <v>223.16247207140796</v>
      </c>
      <c r="F28" s="5">
        <f t="shared" si="8"/>
        <v>257.46225541527565</v>
      </c>
      <c r="G28" s="5">
        <f t="shared" si="8"/>
        <v>298.86162692164044</v>
      </c>
      <c r="H28" s="5">
        <f t="shared" si="8"/>
        <v>347.67793396225449</v>
      </c>
      <c r="I28" s="5">
        <f t="shared" si="8"/>
        <v>405.54266953281353</v>
      </c>
      <c r="J28" s="5">
        <f t="shared" si="8"/>
        <v>476.17976766118795</v>
      </c>
      <c r="K28" s="5">
        <f t="shared" si="8"/>
        <v>566.86238621539144</v>
      </c>
      <c r="L28" s="5">
        <f t="shared" si="8"/>
        <v>681.71922617896746</v>
      </c>
      <c r="M28" s="5">
        <f t="shared" si="8"/>
        <v>823.94873960135237</v>
      </c>
      <c r="N28" s="5">
        <f t="shared" si="8"/>
        <v>984.61216822582537</v>
      </c>
      <c r="O28" s="5">
        <f t="shared" si="8"/>
        <v>1189.3393840489425</v>
      </c>
      <c r="P28" s="5">
        <f t="shared" si="8"/>
        <v>1429.39693421989</v>
      </c>
      <c r="Q28" s="5">
        <f t="shared" si="8"/>
        <v>1753.0704358990411</v>
      </c>
      <c r="R28" s="5">
        <f t="shared" si="8"/>
        <v>2119.2879214090331</v>
      </c>
      <c r="S28" s="5">
        <f t="shared" si="8"/>
        <v>2584.4401006524413</v>
      </c>
      <c r="T28" s="5">
        <f t="shared" si="8"/>
        <v>3120.28223500273</v>
      </c>
      <c r="U28" s="5">
        <f t="shared" si="8"/>
        <v>3655.0457183857261</v>
      </c>
      <c r="V28" s="5">
        <f t="shared" si="8"/>
        <v>4237.7733165394175</v>
      </c>
      <c r="W28" s="5">
        <f t="shared" si="8"/>
        <v>4801.2809873042133</v>
      </c>
      <c r="X28" s="5">
        <f t="shared" si="8"/>
        <v>4982.4210253424426</v>
      </c>
      <c r="Y28" s="5">
        <f t="shared" si="8"/>
        <v>4537.0854092406307</v>
      </c>
      <c r="Z28" s="5">
        <f t="shared" si="8"/>
        <v>3787.2417584276104</v>
      </c>
      <c r="AA28" s="5">
        <f t="shared" si="8"/>
        <v>3052.2237704134154</v>
      </c>
      <c r="AB28" s="5">
        <f t="shared" si="8"/>
        <v>2407.4728696682746</v>
      </c>
      <c r="AC28" s="5">
        <f t="shared" si="8"/>
        <v>1844.1929654322953</v>
      </c>
      <c r="AD28" s="5">
        <f t="shared" si="8"/>
        <v>1420.3284596573048</v>
      </c>
      <c r="AE28" s="5">
        <f t="shared" si="8"/>
        <v>1203.6952390201227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1.02</v>
      </c>
      <c r="C33" s="12">
        <f ca="1">CubicSpline_version("d")</f>
        <v>39544</v>
      </c>
    </row>
    <row r="34" spans="1:3" x14ac:dyDescent="0.2">
      <c r="A34" s="13"/>
    </row>
    <row r="35" spans="1:3" x14ac:dyDescent="0.2">
      <c r="A35" t="s">
        <v>27</v>
      </c>
    </row>
  </sheetData>
  <hyperlinks>
    <hyperlink ref="A4" r:id="rId1" xr:uid="{CA977ECF-FDBF-48B0-952F-2CE7235189D4}"/>
  </hyperlinks>
  <pageMargins left="0.75" right="0.75" top="1" bottom="1" header="0.5" footer="0.5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35"/>
  <sheetViews>
    <sheetView workbookViewId="0">
      <selection activeCell="I38" sqref="I3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3" ht="20.25" x14ac:dyDescent="0.3">
      <c r="A1" s="9" t="s">
        <v>28</v>
      </c>
    </row>
    <row r="3" spans="1:3" x14ac:dyDescent="0.2">
      <c r="A3" s="8" t="s">
        <v>30</v>
      </c>
    </row>
    <row r="4" spans="1:3" x14ac:dyDescent="0.2">
      <c r="A4" s="13" t="s">
        <v>29</v>
      </c>
    </row>
    <row r="6" spans="1:3" x14ac:dyDescent="0.2">
      <c r="A6" s="8" t="s">
        <v>18</v>
      </c>
    </row>
    <row r="7" spans="1:3" x14ac:dyDescent="0.2">
      <c r="A7" t="s">
        <v>3</v>
      </c>
      <c r="B7" s="3">
        <v>600</v>
      </c>
      <c r="C7" s="15" t="s">
        <v>33</v>
      </c>
    </row>
    <row r="8" spans="1:3" x14ac:dyDescent="0.2">
      <c r="A8" t="s">
        <v>7</v>
      </c>
      <c r="B8" s="3">
        <v>6</v>
      </c>
    </row>
    <row r="9" spans="1:3" x14ac:dyDescent="0.2">
      <c r="A9" t="s">
        <v>10</v>
      </c>
      <c r="B9" s="3">
        <v>1.8</v>
      </c>
    </row>
    <row r="11" spans="1:3" x14ac:dyDescent="0.2">
      <c r="A11" s="8" t="s">
        <v>19</v>
      </c>
    </row>
    <row r="12" spans="1:3" x14ac:dyDescent="0.2">
      <c r="A12" t="s">
        <v>21</v>
      </c>
      <c r="B12" t="str">
        <f>Mix!B1</f>
        <v>F14</v>
      </c>
    </row>
    <row r="13" spans="1:3" x14ac:dyDescent="0.2">
      <c r="A13" t="s">
        <v>20</v>
      </c>
      <c r="B13">
        <f>Mix!B2</f>
        <v>220</v>
      </c>
    </row>
    <row r="15" spans="1:3" x14ac:dyDescent="0.2">
      <c r="A15" s="8" t="s">
        <v>22</v>
      </c>
    </row>
    <row r="16" spans="1:3" x14ac:dyDescent="0.2">
      <c r="A16" s="2" t="s">
        <v>11</v>
      </c>
      <c r="B16" s="4">
        <f>2*PI()*$B$8^2*$B$7*0.000000001</f>
        <v>1.3571680263507909E-4</v>
      </c>
    </row>
    <row r="18" spans="1:31" x14ac:dyDescent="0.2">
      <c r="A18" t="s">
        <v>4</v>
      </c>
      <c r="B18" s="10">
        <v>1.04</v>
      </c>
      <c r="C18" s="10">
        <f>B18*2^(1/5)</f>
        <v>1.1946462891969165</v>
      </c>
      <c r="D18" s="10">
        <f t="shared" ref="D18:AE18" si="0">C18*2^(1/5)</f>
        <v>1.3722882272038102</v>
      </c>
      <c r="E18" s="10">
        <f t="shared" si="0"/>
        <v>1.5763452291708142</v>
      </c>
      <c r="F18" s="10">
        <f t="shared" si="0"/>
        <v>1.8107451716559386</v>
      </c>
      <c r="G18" s="10">
        <f t="shared" si="0"/>
        <v>2.0800000000000005</v>
      </c>
      <c r="H18" s="10">
        <f t="shared" si="0"/>
        <v>2.3892925783938335</v>
      </c>
      <c r="I18" s="10">
        <f t="shared" si="0"/>
        <v>2.7445764544076212</v>
      </c>
      <c r="J18" s="10">
        <f t="shared" si="0"/>
        <v>3.1526904583416298</v>
      </c>
      <c r="K18" s="10">
        <f t="shared" si="0"/>
        <v>3.6214903433118786</v>
      </c>
      <c r="L18" s="10">
        <f t="shared" si="0"/>
        <v>4.1600000000000028</v>
      </c>
      <c r="M18" s="10">
        <f t="shared" si="0"/>
        <v>4.7785851567876696</v>
      </c>
      <c r="N18" s="10">
        <f t="shared" si="0"/>
        <v>5.4891529088152451</v>
      </c>
      <c r="O18" s="10">
        <f t="shared" si="0"/>
        <v>6.3053809166832622</v>
      </c>
      <c r="P18" s="10">
        <f t="shared" si="0"/>
        <v>7.2429806866237607</v>
      </c>
      <c r="Q18" s="10">
        <f t="shared" si="0"/>
        <v>8.3200000000000092</v>
      </c>
      <c r="R18" s="10">
        <f t="shared" si="0"/>
        <v>9.5571703135753427</v>
      </c>
      <c r="S18" s="10">
        <f t="shared" si="0"/>
        <v>10.978305817630494</v>
      </c>
      <c r="T18" s="10">
        <f t="shared" si="0"/>
        <v>12.610761833366528</v>
      </c>
      <c r="U18" s="10">
        <f t="shared" si="0"/>
        <v>14.485961373247525</v>
      </c>
      <c r="V18" s="10">
        <f t="shared" si="0"/>
        <v>16.640000000000022</v>
      </c>
      <c r="W18" s="10">
        <f t="shared" si="0"/>
        <v>19.114340627150689</v>
      </c>
      <c r="X18" s="10">
        <f t="shared" si="0"/>
        <v>21.956611635260991</v>
      </c>
      <c r="Y18" s="10">
        <f t="shared" si="0"/>
        <v>25.221523666733063</v>
      </c>
      <c r="Z18" s="10">
        <f t="shared" si="0"/>
        <v>28.971922746495057</v>
      </c>
      <c r="AA18" s="10">
        <f t="shared" si="0"/>
        <v>33.280000000000058</v>
      </c>
      <c r="AB18" s="10">
        <f t="shared" si="0"/>
        <v>38.228681254301392</v>
      </c>
      <c r="AC18" s="10">
        <f t="shared" si="0"/>
        <v>43.913223270522003</v>
      </c>
      <c r="AD18" s="10">
        <f t="shared" si="0"/>
        <v>50.443047333466147</v>
      </c>
      <c r="AE18" s="10">
        <f t="shared" si="0"/>
        <v>57.943845492990143</v>
      </c>
    </row>
    <row r="19" spans="1:31" x14ac:dyDescent="0.2">
      <c r="A19" t="s">
        <v>6</v>
      </c>
      <c r="B19" s="7">
        <f>csinterpolate(CSTableU2,'42-001-31'!B18*1000000)</f>
        <v>1.9121445035223179</v>
      </c>
      <c r="C19" s="7">
        <f>csinterpolate(CSTableU2,'42-001-31'!C18*1000000)</f>
        <v>1.9574362303797543</v>
      </c>
      <c r="D19" s="7">
        <f>csinterpolate(CSTableU2,'42-001-31'!D18*1000000)</f>
        <v>2.0226374329293155</v>
      </c>
      <c r="E19" s="7">
        <f>csinterpolate(CSTableU2,'42-001-31'!E18*1000000)</f>
        <v>2.13811662060994</v>
      </c>
      <c r="F19" s="7">
        <f>csinterpolate(CSTableU2,'42-001-31'!F18*1000000)</f>
        <v>2.2733346634365299</v>
      </c>
      <c r="G19" s="7">
        <f>csinterpolate(CSTableU2,'42-001-31'!G18*1000000)</f>
        <v>2.4696466463547706</v>
      </c>
      <c r="H19" s="7">
        <f>csinterpolate(CSTableU2,'42-001-31'!H18*1000000)</f>
        <v>2.7791213259113334</v>
      </c>
      <c r="I19" s="7">
        <f>csinterpolate(CSTableU2,'42-001-31'!I18*1000000)</f>
        <v>3.1775320463613363</v>
      </c>
      <c r="J19" s="7">
        <f>csinterpolate(CSTableU2,'42-001-31'!J18*1000000)</f>
        <v>3.761712878740791</v>
      </c>
      <c r="K19" s="7">
        <f>csinterpolate(CSTableU2,'42-001-31'!K18*1000000)</f>
        <v>4.5431176223534013</v>
      </c>
      <c r="L19" s="7">
        <f>csinterpolate(CSTableU2,'42-001-31'!L18*1000000)</f>
        <v>6.0421780525816695</v>
      </c>
      <c r="M19" s="7">
        <f>csinterpolate(CSTableU2,'42-001-31'!M18*1000000)</f>
        <v>8.8077479841265731</v>
      </c>
      <c r="N19" s="7">
        <f>csinterpolate(CSTableU2,'42-001-31'!N18*1000000)</f>
        <v>13.980324367016085</v>
      </c>
      <c r="O19" s="7">
        <f>csinterpolate(CSTableU2,'42-001-31'!O18*1000000)</f>
        <v>23.484815673283332</v>
      </c>
      <c r="P19" s="7">
        <f>csinterpolate(CSTableU2,'42-001-31'!P18*1000000)</f>
        <v>38.259354026927227</v>
      </c>
      <c r="Q19" s="7">
        <f>csinterpolate(CSTableU2,'42-001-31'!Q18*1000000)</f>
        <v>56.472371106696684</v>
      </c>
      <c r="R19" s="7">
        <f>csinterpolate(CSTableU2,'42-001-31'!R18*1000000)</f>
        <v>80.674965517493945</v>
      </c>
      <c r="S19" s="7">
        <f>csinterpolate(CSTableU2,'42-001-31'!S18*1000000)</f>
        <v>95.766108505532216</v>
      </c>
      <c r="T19" s="7">
        <f>csinterpolate(CSTableU2,'42-001-31'!T18*1000000)</f>
        <v>106.15987426408267</v>
      </c>
      <c r="U19" s="7">
        <f>csinterpolate(CSTableU2,'42-001-31'!U18*1000000)</f>
        <v>111.79845317976333</v>
      </c>
      <c r="V19" s="7">
        <f>csinterpolate(CSTableU2,'42-001-31'!V18*1000000)</f>
        <v>115.41576165229573</v>
      </c>
      <c r="W19" s="7">
        <f>csinterpolate(CSTableU2,'42-001-31'!W18*1000000)</f>
        <v>118.74905396107683</v>
      </c>
      <c r="X19" s="7">
        <f>csinterpolate(CSTableU2,'42-001-31'!X18*1000000)</f>
        <v>121.58877771325294</v>
      </c>
      <c r="Y19" s="7">
        <f>csinterpolate(CSTableU2,'42-001-31'!Y18*1000000)</f>
        <v>124.23422193122427</v>
      </c>
      <c r="Z19" s="7">
        <f>csinterpolate(CSTableU2,'42-001-31'!Z18*1000000)</f>
        <v>125.68862620524732</v>
      </c>
      <c r="AA19" s="7">
        <f>csinterpolate(CSTableU2,'42-001-31'!AA18*1000000)</f>
        <v>126.48837881104612</v>
      </c>
      <c r="AB19" s="7">
        <f>csinterpolate(CSTableU2,'42-001-31'!AB18*1000000)</f>
        <v>131.67124057216782</v>
      </c>
      <c r="AC19" s="7">
        <f>csinterpolate(CSTableU2,'42-001-31'!AC18*1000000)</f>
        <v>151.46200540619219</v>
      </c>
      <c r="AD19" s="7">
        <f>csinterpolate(CSTableU2,'42-001-31'!AD18*1000000)</f>
        <v>204.89884681421552</v>
      </c>
      <c r="AE19" s="7">
        <f>csinterpolate(CSTableU2,'42-001-31'!AE18*1000000)</f>
        <v>325.6578397936072</v>
      </c>
    </row>
    <row r="20" spans="1:31" x14ac:dyDescent="0.2">
      <c r="A20" t="s">
        <v>5</v>
      </c>
      <c r="B20" s="7">
        <f>csinterpolate(CSTableU1,'42-001-31'!B18*1000000)</f>
        <v>216.56677081846061</v>
      </c>
      <c r="C20" s="7">
        <f>csinterpolate(CSTableU1,'42-001-31'!C18*1000000)</f>
        <v>217.14871349507604</v>
      </c>
      <c r="D20" s="7">
        <f>csinterpolate(CSTableU1,'42-001-31'!D18*1000000)</f>
        <v>217.9262915874186</v>
      </c>
      <c r="E20" s="7">
        <f>csinterpolate(CSTableU1,'42-001-31'!E18*1000000)</f>
        <v>218.26130634875207</v>
      </c>
      <c r="F20" s="7">
        <f>csinterpolate(CSTableU1,'42-001-31'!F18*1000000)</f>
        <v>218.86564770997416</v>
      </c>
      <c r="G20" s="7">
        <f>csinterpolate(CSTableU1,'42-001-31'!G18*1000000)</f>
        <v>220.69798291534474</v>
      </c>
      <c r="H20" s="7">
        <f>csinterpolate(CSTableU1,'42-001-31'!H18*1000000)</f>
        <v>222.86931423204547</v>
      </c>
      <c r="I20" s="7">
        <f>csinterpolate(CSTableU1,'42-001-31'!I18*1000000)</f>
        <v>225.43540443442456</v>
      </c>
      <c r="J20" s="7">
        <f>csinterpolate(CSTableU1,'42-001-31'!J18*1000000)</f>
        <v>229.21687247983448</v>
      </c>
      <c r="K20" s="7">
        <f>csinterpolate(CSTableU1,'42-001-31'!K18*1000000)</f>
        <v>235.77294877348464</v>
      </c>
      <c r="L20" s="7">
        <f>csinterpolate(CSTableU1,'42-001-31'!L18*1000000)</f>
        <v>244.24136720170733</v>
      </c>
      <c r="M20" s="7">
        <f>csinterpolate(CSTableU1,'42-001-31'!M18*1000000)</f>
        <v>253.20428554657747</v>
      </c>
      <c r="N20" s="7">
        <f>csinterpolate(CSTableU1,'42-001-31'!N18*1000000)</f>
        <v>258.23510458974437</v>
      </c>
      <c r="O20" s="7">
        <f>csinterpolate(CSTableU1,'42-001-31'!O18*1000000)</f>
        <v>263.84961579974163</v>
      </c>
      <c r="P20" s="7">
        <f>csinterpolate(CSTableU1,'42-001-31'!P18*1000000)</f>
        <v>265.12039210045725</v>
      </c>
      <c r="Q20" s="7">
        <f>csinterpolate(CSTableU1,'42-001-31'!Q18*1000000)</f>
        <v>266.95307501135346</v>
      </c>
      <c r="R20" s="7">
        <f>csinterpolate(CSTableU1,'42-001-31'!R18*1000000)</f>
        <v>259.57203478269071</v>
      </c>
      <c r="S20" s="7">
        <f>csinterpolate(CSTableU1,'42-001-31'!S18*1000000)</f>
        <v>251.20457283472493</v>
      </c>
      <c r="T20" s="7">
        <f>csinterpolate(CSTableU1,'42-001-31'!T18*1000000)</f>
        <v>237.84015515956833</v>
      </c>
      <c r="U20" s="7">
        <f>csinterpolate(CSTableU1,'42-001-31'!U18*1000000)</f>
        <v>218.25882830152995</v>
      </c>
      <c r="V20" s="7">
        <f>csinterpolate(CSTableU1,'42-001-31'!V18*1000000)</f>
        <v>198.96334379253616</v>
      </c>
      <c r="W20" s="7">
        <f>csinterpolate(CSTableU1,'42-001-31'!W18*1000000)</f>
        <v>182.68089201570345</v>
      </c>
      <c r="X20" s="7">
        <f>csinterpolate(CSTableU1,'42-001-31'!X18*1000000)</f>
        <v>168.49007711967346</v>
      </c>
      <c r="Y20" s="7">
        <f>csinterpolate(CSTableU1,'42-001-31'!Y18*1000000)</f>
        <v>155.67988040016419</v>
      </c>
      <c r="Z20" s="7">
        <f>csinterpolate(CSTableU1,'42-001-31'!Z18*1000000)</f>
        <v>144.24901848827639</v>
      </c>
      <c r="AA20" s="7">
        <f>csinterpolate(CSTableU1,'42-001-31'!AA18*1000000)</f>
        <v>131.93407537755965</v>
      </c>
      <c r="AB20" s="7">
        <f>csinterpolate(CSTableU1,'42-001-31'!AB18*1000000)</f>
        <v>113.8081278926735</v>
      </c>
      <c r="AC20" s="7">
        <f>csinterpolate(CSTableU1,'42-001-31'!AC18*1000000)</f>
        <v>80.072509261330453</v>
      </c>
      <c r="AD20" s="7">
        <f>csinterpolate(CSTableU1,'42-001-31'!AD18*1000000)</f>
        <v>12.66483834112536</v>
      </c>
      <c r="AE20" s="7">
        <f>csinterpolate(CSTableU1,'42-001-31'!AE18*1000000)</f>
        <v>-120.18242149596054</v>
      </c>
    </row>
    <row r="21" spans="1:31" x14ac:dyDescent="0.2">
      <c r="A21" t="s">
        <v>12</v>
      </c>
      <c r="B21" s="5">
        <f t="shared" ref="B21:AE21" si="1">B19/$B$13*$B$16*B18*1000000</f>
        <v>1.2267751987366424</v>
      </c>
      <c r="C21" s="5">
        <f t="shared" si="1"/>
        <v>1.4425733326374532</v>
      </c>
      <c r="D21" s="5">
        <f t="shared" si="1"/>
        <v>1.7122781576262349</v>
      </c>
      <c r="E21" s="5">
        <f t="shared" si="1"/>
        <v>2.0791875447907522</v>
      </c>
      <c r="F21" s="5">
        <f t="shared" si="1"/>
        <v>2.5394031183121317</v>
      </c>
      <c r="G21" s="5">
        <f t="shared" si="1"/>
        <v>3.1689040758271276</v>
      </c>
      <c r="H21" s="5">
        <f t="shared" si="1"/>
        <v>4.0962624995920747</v>
      </c>
      <c r="I21" s="5">
        <f t="shared" si="1"/>
        <v>5.3799248738931542</v>
      </c>
      <c r="J21" s="5">
        <f t="shared" si="1"/>
        <v>7.3160710591414224</v>
      </c>
      <c r="K21" s="5">
        <f t="shared" si="1"/>
        <v>10.149677689446035</v>
      </c>
      <c r="L21" s="5">
        <f t="shared" si="1"/>
        <v>15.50592890360296</v>
      </c>
      <c r="M21" s="5">
        <f t="shared" si="1"/>
        <v>25.96421209599719</v>
      </c>
      <c r="N21" s="5">
        <f t="shared" si="1"/>
        <v>47.34057357082056</v>
      </c>
      <c r="O21" s="5">
        <f t="shared" si="1"/>
        <v>91.350183182557871</v>
      </c>
      <c r="P21" s="5">
        <f t="shared" si="1"/>
        <v>170.94873796314579</v>
      </c>
      <c r="Q21" s="5">
        <f t="shared" si="1"/>
        <v>289.84798653001474</v>
      </c>
      <c r="R21" s="5">
        <f t="shared" si="1"/>
        <v>475.64074705781718</v>
      </c>
      <c r="S21" s="5">
        <f t="shared" si="1"/>
        <v>648.57186232295953</v>
      </c>
      <c r="T21" s="5">
        <f t="shared" si="1"/>
        <v>825.87183953873114</v>
      </c>
      <c r="U21" s="5">
        <f t="shared" si="1"/>
        <v>999.0657167845203</v>
      </c>
      <c r="V21" s="5">
        <f t="shared" si="1"/>
        <v>1184.7572706143744</v>
      </c>
      <c r="W21" s="5">
        <f t="shared" si="1"/>
        <v>1400.2333530891399</v>
      </c>
      <c r="X21" s="5">
        <f t="shared" si="1"/>
        <v>1646.9095639299424</v>
      </c>
      <c r="Y21" s="5">
        <f t="shared" si="1"/>
        <v>1932.9628282108204</v>
      </c>
      <c r="Z21" s="5">
        <f t="shared" si="1"/>
        <v>2246.3852380765638</v>
      </c>
      <c r="AA21" s="5">
        <f t="shared" si="1"/>
        <v>2596.8381493002312</v>
      </c>
      <c r="AB21" s="5">
        <f t="shared" si="1"/>
        <v>3105.2114781850091</v>
      </c>
      <c r="AC21" s="5">
        <f t="shared" si="1"/>
        <v>4103.0797408579883</v>
      </c>
      <c r="AD21" s="5">
        <f t="shared" si="1"/>
        <v>6376.0507898443739</v>
      </c>
      <c r="AE21" s="5">
        <f t="shared" si="1"/>
        <v>11640.718592653706</v>
      </c>
    </row>
    <row r="22" spans="1:31" x14ac:dyDescent="0.2">
      <c r="A22" t="s">
        <v>13</v>
      </c>
      <c r="B22" s="5">
        <f t="shared" ref="B22:AE22" si="2">B20/$B$13*$B$16*B18*1000000</f>
        <v>138.94281672811292</v>
      </c>
      <c r="C22" s="5">
        <f t="shared" si="2"/>
        <v>160.03225977060538</v>
      </c>
      <c r="D22" s="5">
        <f t="shared" si="2"/>
        <v>184.4870578298366</v>
      </c>
      <c r="E22" s="5">
        <f t="shared" si="2"/>
        <v>212.2457611973602</v>
      </c>
      <c r="F22" s="5">
        <f t="shared" si="2"/>
        <v>244.48142951638496</v>
      </c>
      <c r="G22" s="5">
        <f t="shared" si="2"/>
        <v>283.18655975321076</v>
      </c>
      <c r="H22" s="5">
        <f t="shared" si="2"/>
        <v>328.49635087419603</v>
      </c>
      <c r="I22" s="5">
        <f t="shared" si="2"/>
        <v>381.68790182989903</v>
      </c>
      <c r="J22" s="5">
        <f t="shared" si="2"/>
        <v>445.79875739425944</v>
      </c>
      <c r="K22" s="5">
        <f t="shared" si="2"/>
        <v>526.73508301145864</v>
      </c>
      <c r="L22" s="5">
        <f t="shared" si="2"/>
        <v>626.79206772635371</v>
      </c>
      <c r="M22" s="5">
        <f t="shared" si="2"/>
        <v>746.41665331421416</v>
      </c>
      <c r="N22" s="5">
        <f t="shared" si="2"/>
        <v>874.44308490022581</v>
      </c>
      <c r="O22" s="5">
        <f t="shared" si="2"/>
        <v>1026.3104071697483</v>
      </c>
      <c r="P22" s="5">
        <f t="shared" si="2"/>
        <v>1184.5991023781937</v>
      </c>
      <c r="Q22" s="5">
        <f t="shared" si="2"/>
        <v>1370.1534002148762</v>
      </c>
      <c r="R22" s="5">
        <f t="shared" si="2"/>
        <v>1530.3760683056555</v>
      </c>
      <c r="S22" s="5">
        <f t="shared" si="2"/>
        <v>1701.2721950380726</v>
      </c>
      <c r="T22" s="5">
        <f t="shared" si="2"/>
        <v>1850.2799463494375</v>
      </c>
      <c r="U22" s="5">
        <f t="shared" si="2"/>
        <v>1950.4287093400301</v>
      </c>
      <c r="V22" s="5">
        <f t="shared" si="2"/>
        <v>2042.3836811310061</v>
      </c>
      <c r="W22" s="5">
        <f t="shared" si="2"/>
        <v>2154.0877121960689</v>
      </c>
      <c r="X22" s="5">
        <f t="shared" si="2"/>
        <v>2282.1836410765909</v>
      </c>
      <c r="Y22" s="5">
        <f t="shared" si="2"/>
        <v>2422.2264786301321</v>
      </c>
      <c r="Z22" s="5">
        <f t="shared" si="2"/>
        <v>2578.1081035124657</v>
      </c>
      <c r="AA22" s="5">
        <f t="shared" si="2"/>
        <v>2708.6396659799652</v>
      </c>
      <c r="AB22" s="5">
        <f t="shared" si="2"/>
        <v>2683.9445235528319</v>
      </c>
      <c r="AC22" s="5">
        <f t="shared" si="2"/>
        <v>2169.1505382405085</v>
      </c>
      <c r="AD22" s="5">
        <f t="shared" si="2"/>
        <v>394.10496332076605</v>
      </c>
      <c r="AE22" s="5">
        <f t="shared" si="2"/>
        <v>-4295.9498512451764</v>
      </c>
    </row>
    <row r="23" spans="1:31" x14ac:dyDescent="0.2">
      <c r="A23" t="s">
        <v>14</v>
      </c>
      <c r="B23" s="5" t="str">
        <f t="shared" ref="B23:AE23" si="3">IMDIV(1,COMPLEX(B21,B22))</f>
        <v>0.0000635417153128713-0.00719664443363231i</v>
      </c>
      <c r="C23" s="5" t="str">
        <f t="shared" si="3"/>
        <v>0.00005632322783478-0.00624823239418621i</v>
      </c>
      <c r="D23" s="5" t="str">
        <f t="shared" si="3"/>
        <v>0.0000503042985427579-0.00541996754032821i</v>
      </c>
      <c r="E23" s="5" t="str">
        <f t="shared" si="3"/>
        <v>0.0000461502373488474-0.00471106720511388i</v>
      </c>
      <c r="F23" s="5" t="str">
        <f t="shared" si="3"/>
        <v>0.0000424808348934509-0.00408984897549608i</v>
      </c>
      <c r="G23" s="5" t="str">
        <f t="shared" si="3"/>
        <v>0.0000395102191992607-0.00353079890788851i</v>
      </c>
      <c r="H23" s="5" t="str">
        <f t="shared" si="3"/>
        <v>0.0000379541400238524-0.00304370056841948i</v>
      </c>
      <c r="I23" s="5" t="str">
        <f t="shared" si="3"/>
        <v>0.0000369209739306919-0.00261942116357554i</v>
      </c>
      <c r="J23" s="5" t="str">
        <f t="shared" si="3"/>
        <v>0.000036803002976699-0.00224256063982449i</v>
      </c>
      <c r="K23" s="5" t="str">
        <f t="shared" si="3"/>
        <v>0.0000365684488231137-0.00189778291644397i</v>
      </c>
      <c r="L23" s="5" t="str">
        <f t="shared" si="3"/>
        <v>0.0000394443768871961-0.00159444962652695i</v>
      </c>
      <c r="M23" s="5" t="str">
        <f t="shared" si="3"/>
        <v>0.0000465465316762477-0.00133811518210965i</v>
      </c>
      <c r="N23" s="5" t="str">
        <f t="shared" si="3"/>
        <v>0.0000617304438329021-0.00114024304451551i</v>
      </c>
      <c r="O23" s="5" t="str">
        <f t="shared" si="3"/>
        <v>0.0000860448384631416-0.000966705376183894i</v>
      </c>
      <c r="P23" s="5" t="str">
        <f t="shared" si="3"/>
        <v>0.000119336067327174-0.000826946135557844i</v>
      </c>
      <c r="Q23" s="5" t="str">
        <f t="shared" si="3"/>
        <v>0.00014778118016288-0.000698583036273638i</v>
      </c>
      <c r="R23" s="5" t="str">
        <f t="shared" si="3"/>
        <v>0.000185197803737291-0.000595874698489334i</v>
      </c>
      <c r="S23" s="5" t="str">
        <f t="shared" si="3"/>
        <v>0.00019564924115215-0.000513208532914592i</v>
      </c>
      <c r="T23" s="5" t="str">
        <f t="shared" si="3"/>
        <v>0.000201157395823936-0.00045067222023309i</v>
      </c>
      <c r="U23" s="5" t="str">
        <f t="shared" si="3"/>
        <v>0.000208038812573928-0.000406144326528536i</v>
      </c>
      <c r="V23" s="5" t="str">
        <f t="shared" si="3"/>
        <v>0.000212513243315222-0.000366348104321959i</v>
      </c>
      <c r="W23" s="5" t="str">
        <f t="shared" si="3"/>
        <v>0.000212132548979786-0.000326339974766405i</v>
      </c>
      <c r="X23" s="5" t="str">
        <f t="shared" si="3"/>
        <v>0.000207925450906996-0.000288130006052723i</v>
      </c>
      <c r="Y23" s="5" t="str">
        <f t="shared" si="3"/>
        <v>0.000201276358900306-0.000252222608182204i</v>
      </c>
      <c r="Z23" s="5" t="str">
        <f t="shared" si="3"/>
        <v>0.000192115517746678-0.000220485144185373i</v>
      </c>
      <c r="AA23" s="5" t="str">
        <f t="shared" si="3"/>
        <v>0.000184430634515198-0.000192370915532158i</v>
      </c>
      <c r="AB23" s="5" t="str">
        <f t="shared" si="3"/>
        <v>0.00018433043754597-0.000159323341373443i</v>
      </c>
      <c r="AC23" s="5" t="str">
        <f t="shared" si="3"/>
        <v>0.000190482302752761-0.000100701135643794i</v>
      </c>
      <c r="AD23" s="5" t="str">
        <f t="shared" si="3"/>
        <v>0.000156239978773734-9.65722406131628E-06i</v>
      </c>
      <c r="AE23" s="5" t="str">
        <f t="shared" si="3"/>
        <v>0.0000756079766566254+0.0000279027513194899i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0.0000117621228950402i</v>
      </c>
      <c r="C24" s="6" t="str">
        <f t="shared" si="4"/>
        <v>0.0000135111312208056i</v>
      </c>
      <c r="D24" s="6" t="str">
        <f t="shared" si="4"/>
        <v>0.0000155202142074885i</v>
      </c>
      <c r="E24" s="6" t="str">
        <f t="shared" si="4"/>
        <v>0.0000178280445293437i</v>
      </c>
      <c r="F24" s="6" t="str">
        <f t="shared" si="4"/>
        <v>0.0000204790454236709i</v>
      </c>
      <c r="G24" s="6" t="str">
        <f t="shared" si="4"/>
        <v>0.0000235242457900804i</v>
      </c>
      <c r="H24" s="6" t="str">
        <f t="shared" si="4"/>
        <v>0.0000270222624416113i</v>
      </c>
      <c r="I24" s="6" t="str">
        <f t="shared" si="4"/>
        <v>0.000031040428414977i</v>
      </c>
      <c r="J24" s="6" t="str">
        <f t="shared" si="4"/>
        <v>0.0000356560890586873i</v>
      </c>
      <c r="K24" s="6" t="str">
        <f t="shared" si="4"/>
        <v>0.0000409580908473419i</v>
      </c>
      <c r="L24" s="6" t="str">
        <f t="shared" si="4"/>
        <v>0.0000470484915801608i</v>
      </c>
      <c r="M24" s="6" t="str">
        <f t="shared" si="4"/>
        <v>0.0000540445248832225i</v>
      </c>
      <c r="N24" s="6" t="str">
        <f t="shared" si="4"/>
        <v>0.000062080856829954i</v>
      </c>
      <c r="O24" s="6" t="str">
        <f t="shared" si="4"/>
        <v>0.0000713121781173747i</v>
      </c>
      <c r="P24" s="6" t="str">
        <f t="shared" si="4"/>
        <v>0.0000819161816946839i</v>
      </c>
      <c r="Q24" s="6" t="str">
        <f t="shared" si="4"/>
        <v>0.0000940969831603216i</v>
      </c>
      <c r="R24" s="6" t="str">
        <f t="shared" si="4"/>
        <v>0.000108089049766445i</v>
      </c>
      <c r="S24" s="6" t="str">
        <f t="shared" si="4"/>
        <v>0.000124161713659908i</v>
      </c>
      <c r="T24" s="6" t="str">
        <f t="shared" si="4"/>
        <v>0.000142624356234749i</v>
      </c>
      <c r="U24" s="6" t="str">
        <f t="shared" si="4"/>
        <v>0.000163832363389368i</v>
      </c>
      <c r="V24" s="6" t="str">
        <f t="shared" si="4"/>
        <v>0.000188193966320643i</v>
      </c>
      <c r="W24" s="6" t="str">
        <f t="shared" si="4"/>
        <v>0.00021617809953289i</v>
      </c>
      <c r="X24" s="6" t="str">
        <f t="shared" si="4"/>
        <v>0.000248323427319816i</v>
      </c>
      <c r="Y24" s="6" t="str">
        <f t="shared" si="4"/>
        <v>0.000285248712469499i</v>
      </c>
      <c r="Z24" s="6" t="str">
        <f t="shared" si="4"/>
        <v>0.000327664726778736i</v>
      </c>
      <c r="AA24" s="6" t="str">
        <f t="shared" si="4"/>
        <v>0.000376387932641287i</v>
      </c>
      <c r="AB24" s="6" t="str">
        <f t="shared" si="4"/>
        <v>0.000432356199065781i</v>
      </c>
      <c r="AC24" s="6" t="str">
        <f t="shared" si="4"/>
        <v>0.000496646854639633i</v>
      </c>
      <c r="AD24" s="6" t="str">
        <f t="shared" si="4"/>
        <v>0.000570497424938998i</v>
      </c>
      <c r="AE24" s="6" t="str">
        <f t="shared" si="4"/>
        <v>0.000655329453557472i</v>
      </c>
    </row>
    <row r="25" spans="1:31" x14ac:dyDescent="0.2">
      <c r="A25" t="s">
        <v>16</v>
      </c>
      <c r="B25" s="6" t="str">
        <f t="shared" ref="B25:AE25" si="5">IMDIV(1,IMSUM(B23,B24))</f>
        <v>1.23079479477806+139.170239670208i</v>
      </c>
      <c r="C25" s="6" t="str">
        <f t="shared" si="5"/>
        <v>1.44883193621785+160.37900572209i</v>
      </c>
      <c r="D25" s="6" t="str">
        <f t="shared" si="5"/>
        <v>1.72212589040395+185.016766623353i</v>
      </c>
      <c r="E25" s="6" t="str">
        <f t="shared" si="5"/>
        <v>2.09501229196964+213.051856185599i</v>
      </c>
      <c r="F25" s="6" t="str">
        <f t="shared" si="5"/>
        <v>2.56502365804292+245.711511323743i</v>
      </c>
      <c r="G25" s="6" t="str">
        <f t="shared" si="5"/>
        <v>3.211550629168+285.085488666131i</v>
      </c>
      <c r="H25" s="6" t="str">
        <f t="shared" si="5"/>
        <v>4.16996505101143+331.437969564493i</v>
      </c>
      <c r="I25" s="6" t="str">
        <f t="shared" si="5"/>
        <v>5.50970664633946+386.263335483575i</v>
      </c>
      <c r="J25" s="6" t="str">
        <f t="shared" si="5"/>
        <v>7.55432032652879+452.997379510423i</v>
      </c>
      <c r="K25" s="6" t="str">
        <f t="shared" si="5"/>
        <v>10.6022065146624+538.344963926505i</v>
      </c>
      <c r="L25" s="6" t="str">
        <f t="shared" si="5"/>
        <v>16.4625525669049+645.82519832932i</v>
      </c>
      <c r="M25" s="6" t="str">
        <f t="shared" si="5"/>
        <v>28.1928637143813+777.751375561546i</v>
      </c>
      <c r="N25" s="6" t="str">
        <f t="shared" si="5"/>
        <v>52.9309692248103+924.473663760075i</v>
      </c>
      <c r="O25" s="6" t="str">
        <f t="shared" si="5"/>
        <v>106.342061281414+1106.60860128803i</v>
      </c>
      <c r="P25" s="6" t="str">
        <f t="shared" si="5"/>
        <v>209.614997967733+1308.65257891203i</v>
      </c>
      <c r="Q25" s="6" t="str">
        <f t="shared" si="5"/>
        <v>381.624219858916+1561.00065096725i</v>
      </c>
      <c r="R25" s="6" t="str">
        <f t="shared" si="5"/>
        <v>680.291364764629+1791.79427609743i</v>
      </c>
      <c r="S25" s="6" t="str">
        <f t="shared" si="5"/>
        <v>1031.70909706843+2051.54459197955i</v>
      </c>
      <c r="T25" s="6" t="str">
        <f t="shared" si="5"/>
        <v>1486.1161971793+2275.80456745974i</v>
      </c>
      <c r="U25" s="6" t="str">
        <f t="shared" si="5"/>
        <v>2039.69148694228+2375.71846466678i</v>
      </c>
      <c r="V25" s="6" t="str">
        <f t="shared" si="5"/>
        <v>2763.47334617457+2316.67544194917i</v>
      </c>
      <c r="W25" s="6" t="str">
        <f t="shared" si="5"/>
        <v>3712.77442534204+1928.06900676845i</v>
      </c>
      <c r="X25" s="6" t="str">
        <f t="shared" si="5"/>
        <v>4639.37495800412+888.191627007093i</v>
      </c>
      <c r="Y25" s="6" t="str">
        <f t="shared" si="5"/>
        <v>4838.03718502145-793.841469963549i</v>
      </c>
      <c r="Z25" s="6" t="str">
        <f t="shared" si="5"/>
        <v>3969.67047708502-2214.64476038935i</v>
      </c>
      <c r="AA25" s="6" t="str">
        <f t="shared" si="5"/>
        <v>2717.13316321206-2711.03952495144i</v>
      </c>
      <c r="AB25" s="6" t="str">
        <f t="shared" si="5"/>
        <v>1698.51213390619-2515.86025574243i</v>
      </c>
      <c r="AC25" s="6" t="str">
        <f t="shared" si="5"/>
        <v>986.665991391241-2050.93160742191i</v>
      </c>
      <c r="AD25" s="6" t="str">
        <f t="shared" si="5"/>
        <v>460.949260299606-1654.62692564261i</v>
      </c>
      <c r="AE25" s="6" t="str">
        <f t="shared" si="5"/>
        <v>160.009156701207-1445.92427634935i</v>
      </c>
    </row>
    <row r="26" spans="1:31" x14ac:dyDescent="0.2">
      <c r="A26" t="s">
        <v>8</v>
      </c>
      <c r="B26" s="5">
        <f t="shared" ref="B26:AE26" si="6">IMREAL(B25)</f>
        <v>1.23079479477806</v>
      </c>
      <c r="C26" s="5">
        <f t="shared" si="6"/>
        <v>1.4488319362178499</v>
      </c>
      <c r="D26" s="5">
        <f t="shared" si="6"/>
        <v>1.72212589040395</v>
      </c>
      <c r="E26" s="5">
        <f t="shared" si="6"/>
        <v>2.0950122919696401</v>
      </c>
      <c r="F26" s="5">
        <f t="shared" si="6"/>
        <v>2.5650236580429202</v>
      </c>
      <c r="G26" s="5">
        <f t="shared" si="6"/>
        <v>3.2115506291679998</v>
      </c>
      <c r="H26" s="5">
        <f t="shared" si="6"/>
        <v>4.1699650510114301</v>
      </c>
      <c r="I26" s="5">
        <f t="shared" si="6"/>
        <v>5.5097066463394597</v>
      </c>
      <c r="J26" s="5">
        <f t="shared" si="6"/>
        <v>7.5543203265287904</v>
      </c>
      <c r="K26" s="5">
        <f t="shared" si="6"/>
        <v>10.6022065146624</v>
      </c>
      <c r="L26" s="5">
        <f t="shared" si="6"/>
        <v>16.4625525669049</v>
      </c>
      <c r="M26" s="5">
        <f t="shared" si="6"/>
        <v>28.1928637143813</v>
      </c>
      <c r="N26" s="5">
        <f t="shared" si="6"/>
        <v>52.930969224810298</v>
      </c>
      <c r="O26" s="5">
        <f t="shared" si="6"/>
        <v>106.342061281414</v>
      </c>
      <c r="P26" s="5">
        <f t="shared" si="6"/>
        <v>209.61499796773299</v>
      </c>
      <c r="Q26" s="5">
        <f t="shared" si="6"/>
        <v>381.62421985891598</v>
      </c>
      <c r="R26" s="5">
        <f t="shared" si="6"/>
        <v>680.29136476462895</v>
      </c>
      <c r="S26" s="5">
        <f t="shared" si="6"/>
        <v>1031.7090970684301</v>
      </c>
      <c r="T26" s="5">
        <f t="shared" si="6"/>
        <v>1486.1161971792999</v>
      </c>
      <c r="U26" s="5">
        <f t="shared" si="6"/>
        <v>2039.6914869422801</v>
      </c>
      <c r="V26" s="5">
        <f t="shared" si="6"/>
        <v>2763.47334617457</v>
      </c>
      <c r="W26" s="5">
        <f t="shared" si="6"/>
        <v>3712.7744253420401</v>
      </c>
      <c r="X26" s="5">
        <f t="shared" si="6"/>
        <v>4639.3749580041203</v>
      </c>
      <c r="Y26" s="5">
        <f t="shared" si="6"/>
        <v>4838.0371850214497</v>
      </c>
      <c r="Z26" s="5">
        <f t="shared" si="6"/>
        <v>3969.6704770850201</v>
      </c>
      <c r="AA26" s="5">
        <f t="shared" si="6"/>
        <v>2717.13316321206</v>
      </c>
      <c r="AB26" s="5">
        <f t="shared" si="6"/>
        <v>1698.51213390619</v>
      </c>
      <c r="AC26" s="5">
        <f t="shared" si="6"/>
        <v>986.66599139124105</v>
      </c>
      <c r="AD26" s="5">
        <f t="shared" si="6"/>
        <v>460.94926029960601</v>
      </c>
      <c r="AE26" s="5">
        <f t="shared" si="6"/>
        <v>160.00915670120699</v>
      </c>
    </row>
    <row r="27" spans="1:31" x14ac:dyDescent="0.2">
      <c r="A27" t="s">
        <v>9</v>
      </c>
      <c r="B27" s="5">
        <f t="shared" ref="B27:AE27" si="7">IMAGINARY(B25)</f>
        <v>139.17023967020799</v>
      </c>
      <c r="C27" s="5">
        <f t="shared" si="7"/>
        <v>160.37900572209</v>
      </c>
      <c r="D27" s="5">
        <f t="shared" si="7"/>
        <v>185.01676662335299</v>
      </c>
      <c r="E27" s="5">
        <f t="shared" si="7"/>
        <v>213.05185618559901</v>
      </c>
      <c r="F27" s="5">
        <f t="shared" si="7"/>
        <v>245.711511323743</v>
      </c>
      <c r="G27" s="5">
        <f t="shared" si="7"/>
        <v>285.08548866613103</v>
      </c>
      <c r="H27" s="5">
        <f t="shared" si="7"/>
        <v>331.43796956449302</v>
      </c>
      <c r="I27" s="5">
        <f t="shared" si="7"/>
        <v>386.26333548357502</v>
      </c>
      <c r="J27" s="5">
        <f t="shared" si="7"/>
        <v>452.997379510423</v>
      </c>
      <c r="K27" s="5">
        <f t="shared" si="7"/>
        <v>538.34496392650499</v>
      </c>
      <c r="L27" s="5">
        <f t="shared" si="7"/>
        <v>645.82519832931996</v>
      </c>
      <c r="M27" s="5">
        <f t="shared" si="7"/>
        <v>777.75137556154596</v>
      </c>
      <c r="N27" s="5">
        <f t="shared" si="7"/>
        <v>924.47366376007506</v>
      </c>
      <c r="O27" s="5">
        <f t="shared" si="7"/>
        <v>1106.6086012880301</v>
      </c>
      <c r="P27" s="5">
        <f t="shared" si="7"/>
        <v>1308.6525789120301</v>
      </c>
      <c r="Q27" s="5">
        <f t="shared" si="7"/>
        <v>1561.0006509672501</v>
      </c>
      <c r="R27" s="5">
        <f t="shared" si="7"/>
        <v>1791.7942760974299</v>
      </c>
      <c r="S27" s="5">
        <f t="shared" si="7"/>
        <v>2051.5445919795502</v>
      </c>
      <c r="T27" s="5">
        <f t="shared" si="7"/>
        <v>2275.8045674597402</v>
      </c>
      <c r="U27" s="5">
        <f t="shared" si="7"/>
        <v>2375.7184646667802</v>
      </c>
      <c r="V27" s="5">
        <f t="shared" si="7"/>
        <v>2316.6754419491699</v>
      </c>
      <c r="W27" s="5">
        <f t="shared" si="7"/>
        <v>1928.06900676845</v>
      </c>
      <c r="X27" s="5">
        <f t="shared" si="7"/>
        <v>888.19162700709296</v>
      </c>
      <c r="Y27" s="5">
        <f t="shared" si="7"/>
        <v>-793.841469963549</v>
      </c>
      <c r="Z27" s="5">
        <f t="shared" si="7"/>
        <v>-2214.6447603893498</v>
      </c>
      <c r="AA27" s="5">
        <f t="shared" si="7"/>
        <v>-2711.0395249514399</v>
      </c>
      <c r="AB27" s="5">
        <f t="shared" si="7"/>
        <v>-2515.8602557424301</v>
      </c>
      <c r="AC27" s="5">
        <f t="shared" si="7"/>
        <v>-2050.93160742191</v>
      </c>
      <c r="AD27" s="5">
        <f t="shared" si="7"/>
        <v>-1654.6269256426101</v>
      </c>
      <c r="AE27" s="5">
        <f t="shared" si="7"/>
        <v>-1445.9242763493501</v>
      </c>
    </row>
    <row r="28" spans="1:31" x14ac:dyDescent="0.2">
      <c r="A28" t="s">
        <v>17</v>
      </c>
      <c r="B28" s="5">
        <f t="shared" ref="B28:AE28" si="8">IMABS(B25)</f>
        <v>139.17568201984852</v>
      </c>
      <c r="C28" s="5">
        <f t="shared" si="8"/>
        <v>160.38554981788596</v>
      </c>
      <c r="D28" s="5">
        <f t="shared" si="8"/>
        <v>185.02478117631341</v>
      </c>
      <c r="E28" s="5">
        <f t="shared" si="8"/>
        <v>213.06215642537896</v>
      </c>
      <c r="F28" s="5">
        <f t="shared" si="8"/>
        <v>245.72489931499453</v>
      </c>
      <c r="G28" s="5">
        <f t="shared" si="8"/>
        <v>285.10357750377392</v>
      </c>
      <c r="H28" s="5">
        <f t="shared" si="8"/>
        <v>331.46420059722959</v>
      </c>
      <c r="I28" s="5">
        <f t="shared" si="8"/>
        <v>386.30262904389554</v>
      </c>
      <c r="J28" s="5">
        <f t="shared" si="8"/>
        <v>453.06036418881973</v>
      </c>
      <c r="K28" s="5">
        <f t="shared" si="8"/>
        <v>538.44935413463861</v>
      </c>
      <c r="L28" s="5">
        <f t="shared" si="8"/>
        <v>646.03498545676575</v>
      </c>
      <c r="M28" s="5">
        <f t="shared" si="8"/>
        <v>778.26219216424408</v>
      </c>
      <c r="N28" s="5">
        <f t="shared" si="8"/>
        <v>925.98771184560223</v>
      </c>
      <c r="O28" s="5">
        <f t="shared" si="8"/>
        <v>1111.7064497619101</v>
      </c>
      <c r="P28" s="5">
        <f t="shared" si="8"/>
        <v>1325.333927606971</v>
      </c>
      <c r="Q28" s="5">
        <f t="shared" si="8"/>
        <v>1606.972332525705</v>
      </c>
      <c r="R28" s="5">
        <f t="shared" si="8"/>
        <v>1916.591523728735</v>
      </c>
      <c r="S28" s="5">
        <f t="shared" si="8"/>
        <v>2296.3577408266106</v>
      </c>
      <c r="T28" s="5">
        <f t="shared" si="8"/>
        <v>2718.0558825729245</v>
      </c>
      <c r="U28" s="5">
        <f t="shared" si="8"/>
        <v>3131.19459396306</v>
      </c>
      <c r="V28" s="5">
        <f t="shared" si="8"/>
        <v>3606.074047818161</v>
      </c>
      <c r="W28" s="5">
        <f t="shared" si="8"/>
        <v>4183.5563852223859</v>
      </c>
      <c r="X28" s="5">
        <f t="shared" si="8"/>
        <v>4723.630422380782</v>
      </c>
      <c r="Y28" s="5">
        <f t="shared" si="8"/>
        <v>4902.7327158518601</v>
      </c>
      <c r="Z28" s="5">
        <f t="shared" si="8"/>
        <v>4545.6501307690196</v>
      </c>
      <c r="AA28" s="5">
        <f t="shared" si="8"/>
        <v>3838.3001357991411</v>
      </c>
      <c r="AB28" s="5">
        <f t="shared" si="8"/>
        <v>3035.5388805697949</v>
      </c>
      <c r="AC28" s="5">
        <f t="shared" si="8"/>
        <v>2275.9240402285577</v>
      </c>
      <c r="AD28" s="5">
        <f t="shared" si="8"/>
        <v>1717.6333961681898</v>
      </c>
      <c r="AE28" s="5">
        <f t="shared" si="8"/>
        <v>1454.7508182381694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1.02</v>
      </c>
      <c r="C33" s="12">
        <f ca="1">CubicSpline_version("d")</f>
        <v>39544</v>
      </c>
    </row>
    <row r="34" spans="1:3" x14ac:dyDescent="0.2">
      <c r="A34" s="13"/>
    </row>
    <row r="35" spans="1:3" x14ac:dyDescent="0.2">
      <c r="A35" t="s">
        <v>27</v>
      </c>
    </row>
  </sheetData>
  <hyperlinks>
    <hyperlink ref="A4" r:id="rId1" xr:uid="{00000000-0004-0000-0100-000000000000}"/>
  </hyperlinks>
  <pageMargins left="0.75" right="0.75" top="1" bottom="1" header="0.5" footer="0.5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67"/>
  <sheetViews>
    <sheetView workbookViewId="0">
      <selection activeCell="E6" sqref="E6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5" width="9.28515625" bestFit="1" customWidth="1"/>
    <col min="16" max="16" width="13.140625" bestFit="1" customWidth="1"/>
  </cols>
  <sheetData>
    <row r="1" spans="1:16" x14ac:dyDescent="0.2">
      <c r="A1" t="s">
        <v>21</v>
      </c>
      <c r="B1" t="s">
        <v>31</v>
      </c>
    </row>
    <row r="2" spans="1:16" x14ac:dyDescent="0.2">
      <c r="A2" t="s">
        <v>20</v>
      </c>
      <c r="B2">
        <v>220</v>
      </c>
    </row>
    <row r="5" spans="1:16" x14ac:dyDescent="0.2">
      <c r="A5" t="s">
        <v>0</v>
      </c>
      <c r="E5" s="16" t="s">
        <v>2</v>
      </c>
      <c r="F5" s="16"/>
      <c r="G5" s="16"/>
      <c r="J5" t="s">
        <v>1</v>
      </c>
      <c r="N5" s="16" t="s">
        <v>2</v>
      </c>
      <c r="O5" s="16"/>
      <c r="P5" s="16"/>
    </row>
    <row r="6" spans="1:16" x14ac:dyDescent="0.2">
      <c r="A6">
        <v>498531</v>
      </c>
      <c r="B6" s="14">
        <v>218.845</v>
      </c>
      <c r="E6">
        <f t="array" ref="E6:G36">cstable(A6:A36,B6:B36)</f>
        <v>498531</v>
      </c>
      <c r="F6">
        <v>218.845</v>
      </c>
      <c r="G6">
        <v>0</v>
      </c>
      <c r="J6">
        <v>498531</v>
      </c>
      <c r="K6">
        <v>1.6836899999999999</v>
      </c>
      <c r="N6">
        <f t="array" ref="N6:P36">cstable(J6:J36,K6:K36)</f>
        <v>498531</v>
      </c>
      <c r="O6">
        <v>1.6836899999999999</v>
      </c>
      <c r="P6">
        <v>0</v>
      </c>
    </row>
    <row r="7" spans="1:16" x14ac:dyDescent="0.2">
      <c r="A7">
        <v>502013</v>
      </c>
      <c r="B7" s="14">
        <v>218.81800000000001</v>
      </c>
      <c r="E7">
        <v>502013</v>
      </c>
      <c r="F7">
        <v>218.81800000000001</v>
      </c>
      <c r="G7">
        <v>1.8453507127185734E-11</v>
      </c>
      <c r="J7">
        <v>502013</v>
      </c>
      <c r="K7">
        <v>1.6856100000000001</v>
      </c>
      <c r="N7">
        <v>502013</v>
      </c>
      <c r="O7">
        <v>1.6856100000000001</v>
      </c>
      <c r="P7">
        <v>-1.2540400656435572E-12</v>
      </c>
    </row>
    <row r="8" spans="1:16" x14ac:dyDescent="0.2">
      <c r="A8">
        <v>783777</v>
      </c>
      <c r="B8" s="14">
        <v>217.10400000000001</v>
      </c>
      <c r="E8">
        <v>783777</v>
      </c>
      <c r="F8">
        <v>217.10400000000001</v>
      </c>
      <c r="G8">
        <v>-1.7788738333750537E-12</v>
      </c>
      <c r="J8">
        <v>783777</v>
      </c>
      <c r="K8">
        <v>1.8134399999999999</v>
      </c>
      <c r="N8">
        <v>783777</v>
      </c>
      <c r="O8">
        <v>1.8134399999999999</v>
      </c>
      <c r="P8">
        <v>4.5797786904633979E-13</v>
      </c>
    </row>
    <row r="9" spans="1:16" x14ac:dyDescent="0.2">
      <c r="A9">
        <v>900853</v>
      </c>
      <c r="B9" s="14">
        <v>216.571</v>
      </c>
      <c r="E9">
        <v>900853</v>
      </c>
      <c r="F9">
        <v>216.571</v>
      </c>
      <c r="G9">
        <v>4.6145053496661823E-11</v>
      </c>
      <c r="J9">
        <v>900853</v>
      </c>
      <c r="K9">
        <v>1.8643400000000001</v>
      </c>
      <c r="N9">
        <v>900853</v>
      </c>
      <c r="O9">
        <v>1.8643400000000001</v>
      </c>
      <c r="P9">
        <v>-1.0717803500057474E-12</v>
      </c>
    </row>
    <row r="10" spans="1:16" x14ac:dyDescent="0.2">
      <c r="A10">
        <v>1396710</v>
      </c>
      <c r="B10" s="14">
        <v>218.001</v>
      </c>
      <c r="E10">
        <v>1396710</v>
      </c>
      <c r="F10">
        <v>218.001</v>
      </c>
      <c r="G10">
        <v>-2.3677034047987985E-11</v>
      </c>
      <c r="J10">
        <v>1396710</v>
      </c>
      <c r="K10">
        <v>2.0341800000000001</v>
      </c>
      <c r="N10">
        <v>1396710</v>
      </c>
      <c r="O10">
        <v>2.0341800000000001</v>
      </c>
      <c r="P10">
        <v>1.4253858348276057E-12</v>
      </c>
    </row>
    <row r="11" spans="1:16" x14ac:dyDescent="0.2">
      <c r="A11">
        <v>1807010</v>
      </c>
      <c r="B11" s="14">
        <v>218.845</v>
      </c>
      <c r="E11">
        <v>1807010</v>
      </c>
      <c r="F11">
        <v>218.845</v>
      </c>
      <c r="G11">
        <v>3.6723581191235158E-11</v>
      </c>
      <c r="J11">
        <v>1807010</v>
      </c>
      <c r="K11">
        <v>2.2716099999999999</v>
      </c>
      <c r="N11">
        <v>1807010</v>
      </c>
      <c r="O11">
        <v>2.2716099999999999</v>
      </c>
      <c r="P11">
        <v>-1.5473085540357071E-12</v>
      </c>
    </row>
    <row r="12" spans="1:16" x14ac:dyDescent="0.2">
      <c r="A12">
        <v>1964440</v>
      </c>
      <c r="B12" s="14">
        <v>219.94399999999999</v>
      </c>
      <c r="E12">
        <v>1964440</v>
      </c>
      <c r="F12">
        <v>219.94399999999999</v>
      </c>
      <c r="G12">
        <v>-1.5501344878722959E-11</v>
      </c>
      <c r="J12">
        <v>1964440</v>
      </c>
      <c r="K12">
        <v>2.3544100000000001</v>
      </c>
      <c r="N12">
        <v>1964440</v>
      </c>
      <c r="O12">
        <v>2.3544100000000001</v>
      </c>
      <c r="P12">
        <v>5.4355241052777708E-12</v>
      </c>
    </row>
    <row r="13" spans="1:16" x14ac:dyDescent="0.2">
      <c r="A13">
        <v>2150500</v>
      </c>
      <c r="B13" s="14">
        <v>221.142</v>
      </c>
      <c r="E13">
        <v>2150500</v>
      </c>
      <c r="F13">
        <v>221.142</v>
      </c>
      <c r="G13">
        <v>8.6807336313695593E-12</v>
      </c>
      <c r="J13">
        <v>2150500</v>
      </c>
      <c r="K13">
        <v>2.54969</v>
      </c>
      <c r="N13">
        <v>2150500</v>
      </c>
      <c r="O13">
        <v>2.54969</v>
      </c>
      <c r="P13">
        <v>-1.8750315087876607E-12</v>
      </c>
    </row>
    <row r="14" spans="1:16" x14ac:dyDescent="0.2">
      <c r="A14">
        <v>2705830</v>
      </c>
      <c r="B14" s="14">
        <v>225.18899999999999</v>
      </c>
      <c r="E14">
        <v>2705830</v>
      </c>
      <c r="F14">
        <v>225.18899999999999</v>
      </c>
      <c r="G14">
        <v>-8.814190881076391E-12</v>
      </c>
      <c r="J14">
        <v>2705830</v>
      </c>
      <c r="K14">
        <v>3.12127</v>
      </c>
      <c r="N14">
        <v>2705830</v>
      </c>
      <c r="O14">
        <v>3.12127</v>
      </c>
      <c r="P14">
        <v>2.9661164415074815E-12</v>
      </c>
    </row>
    <row r="15" spans="1:16" x14ac:dyDescent="0.2">
      <c r="A15">
        <v>2801660</v>
      </c>
      <c r="B15" s="14">
        <v>225.809</v>
      </c>
      <c r="E15">
        <v>2801660</v>
      </c>
      <c r="F15">
        <v>225.809</v>
      </c>
      <c r="G15">
        <v>1.8278350089400829E-11</v>
      </c>
      <c r="J15">
        <v>2801660</v>
      </c>
      <c r="K15">
        <v>3.2635399999999999</v>
      </c>
      <c r="N15">
        <v>2801660</v>
      </c>
      <c r="O15">
        <v>3.2635399999999999</v>
      </c>
      <c r="P15">
        <v>-9.3388121221359755E-13</v>
      </c>
    </row>
    <row r="16" spans="1:16" x14ac:dyDescent="0.2">
      <c r="A16">
        <v>3599540</v>
      </c>
      <c r="B16" s="14">
        <v>235.441</v>
      </c>
      <c r="E16">
        <v>3599540</v>
      </c>
      <c r="F16">
        <v>235.441</v>
      </c>
      <c r="G16">
        <v>2.2394075891406977E-12</v>
      </c>
      <c r="J16">
        <v>3599540</v>
      </c>
      <c r="K16">
        <v>4.4984299999999999</v>
      </c>
      <c r="N16">
        <v>3599540</v>
      </c>
      <c r="O16">
        <v>4.4984299999999999</v>
      </c>
      <c r="P16">
        <v>2.2103946805523397E-12</v>
      </c>
    </row>
    <row r="17" spans="1:16" x14ac:dyDescent="0.2">
      <c r="A17">
        <v>4224520</v>
      </c>
      <c r="B17" s="14">
        <v>245.29599999999999</v>
      </c>
      <c r="E17">
        <v>4224520</v>
      </c>
      <c r="F17">
        <v>245.29599999999999</v>
      </c>
      <c r="G17">
        <v>1.9559441352517181E-12</v>
      </c>
      <c r="J17">
        <v>4224520</v>
      </c>
      <c r="K17">
        <v>6.2832699999999999</v>
      </c>
      <c r="N17">
        <v>4224520</v>
      </c>
      <c r="O17">
        <v>6.2832699999999999</v>
      </c>
      <c r="P17">
        <v>3.6860210886378595E-12</v>
      </c>
    </row>
    <row r="18" spans="1:16" x14ac:dyDescent="0.2">
      <c r="A18">
        <v>4788420</v>
      </c>
      <c r="B18" s="14">
        <v>253.29599999999999</v>
      </c>
      <c r="E18">
        <v>4788420</v>
      </c>
      <c r="F18">
        <v>253.29599999999999</v>
      </c>
      <c r="G18">
        <v>-2.7557905295391472E-11</v>
      </c>
      <c r="J18">
        <v>4788420</v>
      </c>
      <c r="K18">
        <v>8.8563399999999994</v>
      </c>
      <c r="N18">
        <v>4788420</v>
      </c>
      <c r="O18">
        <v>8.8563399999999994</v>
      </c>
      <c r="P18">
        <v>1.7201819362180526E-13</v>
      </c>
    </row>
    <row r="19" spans="1:16" x14ac:dyDescent="0.2">
      <c r="A19">
        <v>4958020</v>
      </c>
      <c r="B19" s="14">
        <v>254.589</v>
      </c>
      <c r="E19">
        <v>4958020</v>
      </c>
      <c r="F19">
        <v>254.589</v>
      </c>
      <c r="G19">
        <v>-3.1875436400151853E-13</v>
      </c>
      <c r="J19">
        <v>4958020</v>
      </c>
      <c r="K19">
        <v>9.7423099999999998</v>
      </c>
      <c r="N19">
        <v>4958020</v>
      </c>
      <c r="O19">
        <v>9.7423099999999998</v>
      </c>
      <c r="P19">
        <v>9.6370340154008433E-12</v>
      </c>
    </row>
    <row r="20" spans="1:16" x14ac:dyDescent="0.2">
      <c r="A20">
        <v>5818870</v>
      </c>
      <c r="B20" s="14">
        <v>260.625</v>
      </c>
      <c r="E20">
        <v>5818870</v>
      </c>
      <c r="F20">
        <v>260.625</v>
      </c>
      <c r="G20">
        <v>1.9258455306857198E-12</v>
      </c>
      <c r="J20">
        <v>5818870</v>
      </c>
      <c r="K20">
        <v>17.483599999999999</v>
      </c>
      <c r="N20">
        <v>5818870</v>
      </c>
      <c r="O20">
        <v>17.483599999999999</v>
      </c>
      <c r="P20">
        <v>3.1622881221433996E-12</v>
      </c>
    </row>
    <row r="21" spans="1:16" x14ac:dyDescent="0.2">
      <c r="A21">
        <v>6369990</v>
      </c>
      <c r="B21" s="14">
        <v>264.10000000000002</v>
      </c>
      <c r="E21">
        <v>6369990</v>
      </c>
      <c r="F21">
        <v>264.10000000000002</v>
      </c>
      <c r="G21">
        <v>-1.7059929750775514E-11</v>
      </c>
      <c r="J21">
        <v>6369990</v>
      </c>
      <c r="K21">
        <v>24.382300000000001</v>
      </c>
      <c r="N21">
        <v>6369990</v>
      </c>
      <c r="O21">
        <v>24.382300000000001</v>
      </c>
      <c r="P21">
        <v>7.1196450207179346E-12</v>
      </c>
    </row>
    <row r="22" spans="1:16" x14ac:dyDescent="0.2">
      <c r="A22">
        <v>6688060</v>
      </c>
      <c r="B22" s="14">
        <v>264.596</v>
      </c>
      <c r="E22">
        <v>6688060</v>
      </c>
      <c r="F22">
        <v>264.596</v>
      </c>
      <c r="G22">
        <v>3.7617055882285292E-13</v>
      </c>
      <c r="J22">
        <v>6688060</v>
      </c>
      <c r="K22">
        <v>29.164400000000001</v>
      </c>
      <c r="N22">
        <v>6688060</v>
      </c>
      <c r="O22">
        <v>29.164400000000001</v>
      </c>
      <c r="P22">
        <v>3.0917496323563961E-12</v>
      </c>
    </row>
    <row r="23" spans="1:16" x14ac:dyDescent="0.2">
      <c r="A23">
        <v>7740790</v>
      </c>
      <c r="B23" s="14">
        <v>266.08800000000002</v>
      </c>
      <c r="E23">
        <v>7740790</v>
      </c>
      <c r="F23">
        <v>266.08800000000002</v>
      </c>
      <c r="G23">
        <v>3.364696161777199E-12</v>
      </c>
      <c r="J23">
        <v>7740790</v>
      </c>
      <c r="K23">
        <v>46.658900000000003</v>
      </c>
      <c r="N23">
        <v>7740790</v>
      </c>
      <c r="O23">
        <v>46.658900000000003</v>
      </c>
      <c r="P23">
        <v>-1.1778934654540057E-12</v>
      </c>
    </row>
    <row r="24" spans="1:16" x14ac:dyDescent="0.2">
      <c r="A24">
        <v>8356780</v>
      </c>
      <c r="B24" s="14">
        <v>266.87299999999999</v>
      </c>
      <c r="E24">
        <v>8356780</v>
      </c>
      <c r="F24">
        <v>266.87299999999999</v>
      </c>
      <c r="G24">
        <v>-2.0264703128801021E-11</v>
      </c>
      <c r="J24">
        <v>8356780</v>
      </c>
      <c r="K24">
        <v>57.125500000000002</v>
      </c>
      <c r="N24">
        <v>8356780</v>
      </c>
      <c r="O24">
        <v>57.125500000000002</v>
      </c>
      <c r="P24">
        <v>4.7340080415867997E-12</v>
      </c>
    </row>
    <row r="25" spans="1:16" x14ac:dyDescent="0.2">
      <c r="A25">
        <v>8959210</v>
      </c>
      <c r="B25" s="14">
        <v>263.18200000000002</v>
      </c>
      <c r="E25">
        <v>8959210</v>
      </c>
      <c r="F25">
        <v>263.18200000000002</v>
      </c>
      <c r="G25">
        <v>4.8169488343597446E-12</v>
      </c>
      <c r="J25">
        <v>8959210</v>
      </c>
      <c r="K25">
        <v>68.664900000000003</v>
      </c>
      <c r="N25">
        <v>8959210</v>
      </c>
      <c r="O25">
        <v>68.664900000000003</v>
      </c>
      <c r="P25">
        <v>3.6004718233167878E-12</v>
      </c>
    </row>
    <row r="26" spans="1:16" x14ac:dyDescent="0.2">
      <c r="A26">
        <v>10155100</v>
      </c>
      <c r="B26" s="14">
        <v>256.66899999999998</v>
      </c>
      <c r="E26">
        <v>10155100</v>
      </c>
      <c r="F26">
        <v>256.66899999999998</v>
      </c>
      <c r="G26">
        <v>-8.6342951373080124E-13</v>
      </c>
      <c r="J26">
        <v>10155100</v>
      </c>
      <c r="K26">
        <v>89.148399999999995</v>
      </c>
      <c r="N26">
        <v>10155100</v>
      </c>
      <c r="O26">
        <v>89.148399999999995</v>
      </c>
      <c r="P26">
        <v>-2.3380547851959083E-11</v>
      </c>
    </row>
    <row r="27" spans="1:16" x14ac:dyDescent="0.2">
      <c r="A27">
        <v>10297500</v>
      </c>
      <c r="B27" s="14">
        <v>255.95500000000001</v>
      </c>
      <c r="E27">
        <v>10297500</v>
      </c>
      <c r="F27">
        <v>255.95500000000001</v>
      </c>
      <c r="G27">
        <v>-6.0172330821936315E-12</v>
      </c>
      <c r="J27">
        <v>10297500</v>
      </c>
      <c r="K27">
        <v>90.218699999999998</v>
      </c>
      <c r="N27">
        <v>10297500</v>
      </c>
      <c r="O27">
        <v>90.218699999999998</v>
      </c>
      <c r="P27">
        <v>4.2244602905503054E-12</v>
      </c>
    </row>
    <row r="28" spans="1:16" x14ac:dyDescent="0.2">
      <c r="A28">
        <v>12340500</v>
      </c>
      <c r="B28" s="14">
        <v>239.71799999999999</v>
      </c>
      <c r="E28">
        <v>12340500</v>
      </c>
      <c r="F28">
        <v>239.71799999999999</v>
      </c>
      <c r="G28">
        <v>4.3179579738154192E-12</v>
      </c>
      <c r="J28">
        <v>12340500</v>
      </c>
      <c r="K28">
        <v>105.36</v>
      </c>
      <c r="N28">
        <v>12340500</v>
      </c>
      <c r="O28">
        <v>105.36</v>
      </c>
      <c r="P28">
        <v>-7.7160791612757451E-12</v>
      </c>
    </row>
    <row r="29" spans="1:16" x14ac:dyDescent="0.2">
      <c r="A29">
        <v>12600900</v>
      </c>
      <c r="B29" s="14">
        <v>237.91200000000001</v>
      </c>
      <c r="E29">
        <v>12600900</v>
      </c>
      <c r="F29">
        <v>237.91200000000001</v>
      </c>
      <c r="G29">
        <v>-5.8598640239437981E-12</v>
      </c>
      <c r="J29">
        <v>12600900</v>
      </c>
      <c r="K29">
        <v>106.133</v>
      </c>
      <c r="N29">
        <v>12600900</v>
      </c>
      <c r="O29">
        <v>106.133</v>
      </c>
      <c r="P29">
        <v>9.9492935757758501E-13</v>
      </c>
    </row>
    <row r="30" spans="1:16" x14ac:dyDescent="0.2">
      <c r="A30">
        <v>15206300</v>
      </c>
      <c r="B30" s="14">
        <v>210.833</v>
      </c>
      <c r="E30">
        <v>15206300</v>
      </c>
      <c r="F30">
        <v>210.833</v>
      </c>
      <c r="G30">
        <v>4.4962084644860015E-12</v>
      </c>
      <c r="J30">
        <v>15206300</v>
      </c>
      <c r="K30">
        <v>113.35</v>
      </c>
      <c r="N30">
        <v>15206300</v>
      </c>
      <c r="O30">
        <v>113.35</v>
      </c>
      <c r="P30">
        <v>-1.8746577408218034E-12</v>
      </c>
    </row>
    <row r="31" spans="1:16" x14ac:dyDescent="0.2">
      <c r="A31">
        <v>15312500</v>
      </c>
      <c r="B31" s="14">
        <v>209.892</v>
      </c>
      <c r="E31">
        <v>15312500</v>
      </c>
      <c r="F31">
        <v>209.892</v>
      </c>
      <c r="G31">
        <v>7.5416432355855383E-13</v>
      </c>
      <c r="J31">
        <v>15312500</v>
      </c>
      <c r="K31">
        <v>113.51</v>
      </c>
      <c r="N31">
        <v>15312500</v>
      </c>
      <c r="O31">
        <v>113.51</v>
      </c>
      <c r="P31">
        <v>-5.7380299441830385E-14</v>
      </c>
    </row>
    <row r="32" spans="1:16" x14ac:dyDescent="0.2">
      <c r="A32">
        <v>18350500</v>
      </c>
      <c r="B32" s="14">
        <v>187.11500000000001</v>
      </c>
      <c r="E32">
        <v>18350500</v>
      </c>
      <c r="F32">
        <v>187.11500000000001</v>
      </c>
      <c r="G32">
        <v>9.7421244405864837E-13</v>
      </c>
      <c r="J32">
        <v>18350500</v>
      </c>
      <c r="K32">
        <v>117.752</v>
      </c>
      <c r="N32">
        <v>18350500</v>
      </c>
      <c r="O32">
        <v>117.752</v>
      </c>
      <c r="P32">
        <v>-3.3492070830289959E-14</v>
      </c>
    </row>
    <row r="33" spans="1:16" x14ac:dyDescent="0.2">
      <c r="A33">
        <v>19673300</v>
      </c>
      <c r="B33" s="14">
        <v>179.66900000000001</v>
      </c>
      <c r="E33">
        <v>19673300</v>
      </c>
      <c r="F33">
        <v>179.66900000000001</v>
      </c>
      <c r="G33">
        <v>3.1943191783769989E-13</v>
      </c>
      <c r="J33">
        <v>19673300</v>
      </c>
      <c r="K33">
        <v>119.426</v>
      </c>
      <c r="N33">
        <v>19673300</v>
      </c>
      <c r="O33">
        <v>119.426</v>
      </c>
      <c r="P33">
        <v>-2.4075431774001083E-13</v>
      </c>
    </row>
    <row r="34" spans="1:16" x14ac:dyDescent="0.2">
      <c r="A34">
        <v>23576400</v>
      </c>
      <c r="B34" s="14">
        <v>161.66499999999999</v>
      </c>
      <c r="E34">
        <v>23576400</v>
      </c>
      <c r="F34">
        <v>161.66499999999999</v>
      </c>
      <c r="G34">
        <v>3.7662987999848443E-13</v>
      </c>
      <c r="J34">
        <v>23576400</v>
      </c>
      <c r="K34">
        <v>122.88800000000001</v>
      </c>
      <c r="N34">
        <v>23576400</v>
      </c>
      <c r="O34">
        <v>122.88800000000001</v>
      </c>
      <c r="P34">
        <v>7.4186751677433629E-14</v>
      </c>
    </row>
    <row r="35" spans="1:16" x14ac:dyDescent="0.2">
      <c r="A35">
        <v>25630300</v>
      </c>
      <c r="B35" s="14">
        <v>154.31299999999999</v>
      </c>
      <c r="E35">
        <v>25630300</v>
      </c>
      <c r="F35">
        <v>154.31299999999999</v>
      </c>
      <c r="G35">
        <v>2.2655896284393412E-13</v>
      </c>
      <c r="J35">
        <v>25630300</v>
      </c>
      <c r="K35">
        <v>124.52</v>
      </c>
      <c r="N35">
        <v>25630300</v>
      </c>
      <c r="O35">
        <v>124.52</v>
      </c>
      <c r="P35">
        <v>-2.4274839218467548E-13</v>
      </c>
    </row>
    <row r="36" spans="1:16" x14ac:dyDescent="0.2">
      <c r="A36">
        <v>30080500</v>
      </c>
      <c r="B36" s="14">
        <v>141.143</v>
      </c>
      <c r="E36">
        <v>30080500</v>
      </c>
      <c r="F36">
        <v>141.143</v>
      </c>
      <c r="G36">
        <v>0</v>
      </c>
      <c r="J36">
        <v>30080500</v>
      </c>
      <c r="K36">
        <v>125.827</v>
      </c>
      <c r="N36">
        <v>30080500</v>
      </c>
      <c r="O36">
        <v>125.827</v>
      </c>
      <c r="P36">
        <v>0</v>
      </c>
    </row>
    <row r="37" spans="1:16" x14ac:dyDescent="0.2">
      <c r="J37" s="1"/>
    </row>
    <row r="38" spans="1:16" x14ac:dyDescent="0.2">
      <c r="J38" s="1"/>
    </row>
    <row r="39" spans="1:16" x14ac:dyDescent="0.2">
      <c r="J39" s="1"/>
    </row>
    <row r="40" spans="1:16" x14ac:dyDescent="0.2">
      <c r="J40" s="1"/>
    </row>
    <row r="41" spans="1:16" x14ac:dyDescent="0.2">
      <c r="A41">
        <v>2</v>
      </c>
      <c r="J41" s="1"/>
    </row>
    <row r="42" spans="1:16" x14ac:dyDescent="0.2">
      <c r="A42">
        <v>2</v>
      </c>
      <c r="J42" s="1"/>
    </row>
    <row r="43" spans="1:16" x14ac:dyDescent="0.2">
      <c r="A43">
        <v>3</v>
      </c>
      <c r="J43" s="1"/>
    </row>
    <row r="44" spans="1:16" x14ac:dyDescent="0.2">
      <c r="A44">
        <v>4</v>
      </c>
      <c r="J44" s="1"/>
    </row>
    <row r="45" spans="1:16" x14ac:dyDescent="0.2">
      <c r="A45">
        <v>5</v>
      </c>
      <c r="J45" s="1"/>
    </row>
    <row r="46" spans="1:16" x14ac:dyDescent="0.2">
      <c r="J46" s="1"/>
    </row>
    <row r="47" spans="1:16" x14ac:dyDescent="0.2">
      <c r="A47" t="e">
        <f ca="1">sumthem(A41:C45)</f>
        <v>#NAME?</v>
      </c>
      <c r="J47" s="1"/>
    </row>
    <row r="48" spans="1:16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0" x14ac:dyDescent="0.2">
      <c r="J65" s="1"/>
    </row>
    <row r="66" spans="10:10" x14ac:dyDescent="0.2">
      <c r="J66" s="1"/>
    </row>
    <row r="67" spans="10:10" x14ac:dyDescent="0.2">
      <c r="J67" s="1"/>
    </row>
  </sheetData>
  <dataConsolidate/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Choke</vt:lpstr>
      <vt:lpstr>28-053-31</vt:lpstr>
      <vt:lpstr>28-042-31</vt:lpstr>
      <vt:lpstr>42-001-31</vt:lpstr>
      <vt:lpstr>Mix</vt:lpstr>
      <vt:lpstr>CSTableU1</vt:lpstr>
      <vt:lpstr>CSTableU2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2020-03-24T19:27:23Z</dcterms:modified>
</cp:coreProperties>
</file>