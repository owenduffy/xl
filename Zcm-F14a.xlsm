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19320" windowHeight="11190"/>
  </bookViews>
  <sheets>
    <sheet name="Choke" sheetId="1" r:id="rId1"/>
    <sheet name="Mix" sheetId="2" r:id="rId2"/>
  </sheets>
  <functionGroups builtInGroupCount="18"/>
  <definedNames>
    <definedName name="CSTableU1">Mix!$E$6:$G$36</definedName>
    <definedName name="CSTableU2">Mix!$N$6:$P$36</definedName>
  </definedNames>
  <calcPr calcId="152511"/>
</workbook>
</file>

<file path=xl/calcChain.xml><?xml version="1.0" encoding="utf-8"?>
<calcChain xmlns="http://schemas.openxmlformats.org/spreadsheetml/2006/main">
  <c r="C18" i="1" l="1"/>
  <c r="D18" i="1" s="1"/>
  <c r="E18" i="1" s="1"/>
  <c r="F18" i="1" s="1"/>
  <c r="G18" i="1" s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B12" i="1"/>
  <c r="B13" i="1"/>
  <c r="B16" i="1"/>
  <c r="B24" i="1"/>
  <c r="E6" i="2" a="1"/>
  <c r="N6" i="2" a="1"/>
  <c r="C33" i="1"/>
  <c r="B33" i="1"/>
  <c r="A47" i="2"/>
  <c r="C24" i="1" l="1"/>
  <c r="E6" i="2"/>
  <c r="G6" i="2"/>
  <c r="F7" i="2"/>
  <c r="E8" i="2"/>
  <c r="G8" i="2"/>
  <c r="F9" i="2"/>
  <c r="E10" i="2"/>
  <c r="G10" i="2"/>
  <c r="F11" i="2"/>
  <c r="E12" i="2"/>
  <c r="G12" i="2"/>
  <c r="F13" i="2"/>
  <c r="E14" i="2"/>
  <c r="G14" i="2"/>
  <c r="F15" i="2"/>
  <c r="E16" i="2"/>
  <c r="G16" i="2"/>
  <c r="F17" i="2"/>
  <c r="E18" i="2"/>
  <c r="G18" i="2"/>
  <c r="F19" i="2"/>
  <c r="E20" i="2"/>
  <c r="G20" i="2"/>
  <c r="F21" i="2"/>
  <c r="E22" i="2"/>
  <c r="G22" i="2"/>
  <c r="F23" i="2"/>
  <c r="E24" i="2"/>
  <c r="G24" i="2"/>
  <c r="F25" i="2"/>
  <c r="E26" i="2"/>
  <c r="G26" i="2"/>
  <c r="F27" i="2"/>
  <c r="E28" i="2"/>
  <c r="G28" i="2"/>
  <c r="F29" i="2"/>
  <c r="E30" i="2"/>
  <c r="G30" i="2"/>
  <c r="F31" i="2"/>
  <c r="E32" i="2"/>
  <c r="G32" i="2"/>
  <c r="F33" i="2"/>
  <c r="E34" i="2"/>
  <c r="G34" i="2"/>
  <c r="F35" i="2"/>
  <c r="E36" i="2"/>
  <c r="G36" i="2"/>
  <c r="F6" i="2"/>
  <c r="E7" i="2"/>
  <c r="G7" i="2"/>
  <c r="F8" i="2"/>
  <c r="E9" i="2"/>
  <c r="G9" i="2"/>
  <c r="F10" i="2"/>
  <c r="E11" i="2"/>
  <c r="G11" i="2"/>
  <c r="F12" i="2"/>
  <c r="E13" i="2"/>
  <c r="G13" i="2"/>
  <c r="F14" i="2"/>
  <c r="E15" i="2"/>
  <c r="G15" i="2"/>
  <c r="F16" i="2"/>
  <c r="E17" i="2"/>
  <c r="G17" i="2"/>
  <c r="F18" i="2"/>
  <c r="E19" i="2"/>
  <c r="G19" i="2"/>
  <c r="F20" i="2"/>
  <c r="E21" i="2"/>
  <c r="G21" i="2"/>
  <c r="F22" i="2"/>
  <c r="E23" i="2"/>
  <c r="G23" i="2"/>
  <c r="F24" i="2"/>
  <c r="E25" i="2"/>
  <c r="G25" i="2"/>
  <c r="F26" i="2"/>
  <c r="E27" i="2"/>
  <c r="G27" i="2"/>
  <c r="F28" i="2"/>
  <c r="E29" i="2"/>
  <c r="G29" i="2"/>
  <c r="F30" i="2"/>
  <c r="G31" i="2"/>
  <c r="E33" i="2"/>
  <c r="F34" i="2"/>
  <c r="G35" i="2"/>
  <c r="E31" i="2"/>
  <c r="F32" i="2"/>
  <c r="G33" i="2"/>
  <c r="E35" i="2"/>
  <c r="F36" i="2"/>
  <c r="E24" i="1"/>
  <c r="D24" i="1"/>
  <c r="N6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P6" i="2"/>
  <c r="N7" i="2"/>
  <c r="P7" i="2"/>
  <c r="N8" i="2"/>
  <c r="P8" i="2"/>
  <c r="N9" i="2"/>
  <c r="N11" i="2"/>
  <c r="P11" i="2"/>
  <c r="N12" i="2"/>
  <c r="P12" i="2"/>
  <c r="N13" i="2"/>
  <c r="N14" i="2"/>
  <c r="P15" i="2"/>
  <c r="N16" i="2"/>
  <c r="N18" i="2"/>
  <c r="P19" i="2"/>
  <c r="N20" i="2"/>
  <c r="P21" i="2"/>
  <c r="N22" i="2"/>
  <c r="P23" i="2"/>
  <c r="N24" i="2"/>
  <c r="P25" i="2"/>
  <c r="N26" i="2"/>
  <c r="P26" i="2"/>
  <c r="N27" i="2"/>
  <c r="P28" i="2"/>
  <c r="N29" i="2"/>
  <c r="P30" i="2"/>
  <c r="N31" i="2"/>
  <c r="P31" i="2"/>
  <c r="P9" i="2"/>
  <c r="N10" i="2"/>
  <c r="P10" i="2"/>
  <c r="P13" i="2"/>
  <c r="P14" i="2"/>
  <c r="N15" i="2"/>
  <c r="P16" i="2"/>
  <c r="N17" i="2"/>
  <c r="P17" i="2"/>
  <c r="P18" i="2"/>
  <c r="N19" i="2"/>
  <c r="P20" i="2"/>
  <c r="N21" i="2"/>
  <c r="P22" i="2"/>
  <c r="N23" i="2"/>
  <c r="P24" i="2"/>
  <c r="N25" i="2"/>
  <c r="P27" i="2"/>
  <c r="N28" i="2"/>
  <c r="P29" i="2"/>
  <c r="N30" i="2"/>
  <c r="P32" i="2"/>
  <c r="N33" i="2"/>
  <c r="P34" i="2"/>
  <c r="N35" i="2"/>
  <c r="P36" i="2"/>
  <c r="N34" i="2"/>
  <c r="P35" i="2"/>
  <c r="N32" i="2"/>
  <c r="P33" i="2"/>
  <c r="N36" i="2"/>
  <c r="B19" i="1"/>
  <c r="D20" i="1"/>
  <c r="E20" i="1"/>
  <c r="C19" i="1"/>
  <c r="B20" i="1"/>
  <c r="E19" i="1"/>
  <c r="D19" i="1"/>
  <c r="C20" i="1"/>
  <c r="B22" i="1" l="1"/>
  <c r="D22" i="1"/>
  <c r="C22" i="1"/>
  <c r="B21" i="1"/>
  <c r="D21" i="1"/>
  <c r="C21" i="1"/>
  <c r="E21" i="1"/>
  <c r="E22" i="1"/>
  <c r="F24" i="1"/>
  <c r="F20" i="1"/>
  <c r="F19" i="1"/>
  <c r="E23" i="1" l="1"/>
  <c r="E25" i="1" s="1"/>
  <c r="E26" i="1" s="1"/>
  <c r="D23" i="1"/>
  <c r="D25" i="1" s="1"/>
  <c r="C23" i="1"/>
  <c r="C25" i="1" s="1"/>
  <c r="B23" i="1"/>
  <c r="B25" i="1" s="1"/>
  <c r="F21" i="1"/>
  <c r="F22" i="1"/>
  <c r="G24" i="1"/>
  <c r="G19" i="1"/>
  <c r="G20" i="1"/>
  <c r="E28" i="1" l="1"/>
  <c r="E27" i="1"/>
  <c r="D26" i="1"/>
  <c r="D28" i="1"/>
  <c r="D27" i="1"/>
  <c r="F23" i="1"/>
  <c r="F25" i="1" s="1"/>
  <c r="F26" i="1" s="1"/>
  <c r="C26" i="1"/>
  <c r="C27" i="1"/>
  <c r="C28" i="1"/>
  <c r="B26" i="1"/>
  <c r="B28" i="1"/>
  <c r="B27" i="1"/>
  <c r="G22" i="1"/>
  <c r="G21" i="1"/>
  <c r="H24" i="1"/>
  <c r="H19" i="1"/>
  <c r="H20" i="1"/>
  <c r="G23" i="1" l="1"/>
  <c r="G25" i="1" s="1"/>
  <c r="G27" i="1" s="1"/>
  <c r="F27" i="1"/>
  <c r="F28" i="1"/>
  <c r="H22" i="1"/>
  <c r="H21" i="1"/>
  <c r="I24" i="1"/>
  <c r="I20" i="1"/>
  <c r="I19" i="1"/>
  <c r="H23" i="1" l="1"/>
  <c r="H25" i="1" s="1"/>
  <c r="H26" i="1" s="1"/>
  <c r="G26" i="1"/>
  <c r="G28" i="1"/>
  <c r="I22" i="1"/>
  <c r="I21" i="1"/>
  <c r="J24" i="1"/>
  <c r="J19" i="1"/>
  <c r="J20" i="1"/>
  <c r="H27" i="1" l="1"/>
  <c r="H28" i="1"/>
  <c r="I23" i="1"/>
  <c r="I25" i="1" s="1"/>
  <c r="I28" i="1" s="1"/>
  <c r="J22" i="1"/>
  <c r="J21" i="1"/>
  <c r="K24" i="1"/>
  <c r="K19" i="1"/>
  <c r="K20" i="1"/>
  <c r="I27" i="1" l="1"/>
  <c r="I26" i="1"/>
  <c r="J23" i="1"/>
  <c r="J25" i="1" s="1"/>
  <c r="J27" i="1" s="1"/>
  <c r="K22" i="1"/>
  <c r="K21" i="1"/>
  <c r="L24" i="1"/>
  <c r="L19" i="1"/>
  <c r="L20" i="1"/>
  <c r="J26" i="1" l="1"/>
  <c r="J28" i="1"/>
  <c r="K23" i="1"/>
  <c r="K25" i="1" s="1"/>
  <c r="K27" i="1" s="1"/>
  <c r="L22" i="1"/>
  <c r="L21" i="1"/>
  <c r="M24" i="1"/>
  <c r="M19" i="1"/>
  <c r="M20" i="1"/>
  <c r="L23" i="1" l="1"/>
  <c r="L25" i="1" s="1"/>
  <c r="L27" i="1" s="1"/>
  <c r="K26" i="1"/>
  <c r="K28" i="1"/>
  <c r="M22" i="1"/>
  <c r="M21" i="1"/>
  <c r="N24" i="1"/>
  <c r="N20" i="1"/>
  <c r="N19" i="1"/>
  <c r="L26" i="1" l="1"/>
  <c r="L28" i="1"/>
  <c r="M23" i="1"/>
  <c r="M25" i="1" s="1"/>
  <c r="M26" i="1" s="1"/>
  <c r="N22" i="1"/>
  <c r="N21" i="1"/>
  <c r="O24" i="1"/>
  <c r="O19" i="1"/>
  <c r="O20" i="1"/>
  <c r="M28" i="1" l="1"/>
  <c r="M27" i="1"/>
  <c r="N23" i="1"/>
  <c r="N25" i="1" s="1"/>
  <c r="N26" i="1" s="1"/>
  <c r="O22" i="1"/>
  <c r="O21" i="1"/>
  <c r="P24" i="1"/>
  <c r="P20" i="1"/>
  <c r="P19" i="1"/>
  <c r="O23" i="1" l="1"/>
  <c r="O25" i="1" s="1"/>
  <c r="O26" i="1" s="1"/>
  <c r="N27" i="1"/>
  <c r="N28" i="1"/>
  <c r="P22" i="1"/>
  <c r="P21" i="1"/>
  <c r="Q24" i="1"/>
  <c r="Q19" i="1"/>
  <c r="Q20" i="1"/>
  <c r="O28" i="1" l="1"/>
  <c r="O27" i="1"/>
  <c r="P23" i="1"/>
  <c r="P25" i="1" s="1"/>
  <c r="P27" i="1" s="1"/>
  <c r="Q22" i="1"/>
  <c r="Q21" i="1"/>
  <c r="R24" i="1"/>
  <c r="R19" i="1"/>
  <c r="R20" i="1"/>
  <c r="P26" i="1" l="1"/>
  <c r="Q23" i="1"/>
  <c r="Q25" i="1" s="1"/>
  <c r="Q26" i="1" s="1"/>
  <c r="P28" i="1"/>
  <c r="R22" i="1"/>
  <c r="R21" i="1"/>
  <c r="S24" i="1"/>
  <c r="S20" i="1"/>
  <c r="S19" i="1"/>
  <c r="Q28" i="1" l="1"/>
  <c r="Q27" i="1"/>
  <c r="R23" i="1"/>
  <c r="R25" i="1" s="1"/>
  <c r="R26" i="1" s="1"/>
  <c r="S22" i="1"/>
  <c r="S21" i="1"/>
  <c r="T24" i="1"/>
  <c r="T20" i="1"/>
  <c r="T19" i="1"/>
  <c r="R27" i="1" l="1"/>
  <c r="R28" i="1"/>
  <c r="S23" i="1"/>
  <c r="S25" i="1" s="1"/>
  <c r="S27" i="1" s="1"/>
  <c r="T22" i="1"/>
  <c r="T21" i="1"/>
  <c r="U24" i="1"/>
  <c r="U19" i="1"/>
  <c r="U20" i="1"/>
  <c r="T23" i="1" l="1"/>
  <c r="T25" i="1" s="1"/>
  <c r="T27" i="1" s="1"/>
  <c r="S26" i="1"/>
  <c r="S28" i="1"/>
  <c r="U22" i="1"/>
  <c r="U21" i="1"/>
  <c r="V24" i="1"/>
  <c r="V20" i="1"/>
  <c r="V19" i="1"/>
  <c r="T26" i="1" l="1"/>
  <c r="T28" i="1"/>
  <c r="U23" i="1"/>
  <c r="U25" i="1" s="1"/>
  <c r="U26" i="1" s="1"/>
  <c r="V22" i="1"/>
  <c r="V21" i="1"/>
  <c r="W24" i="1"/>
  <c r="W19" i="1"/>
  <c r="W20" i="1"/>
  <c r="V23" i="1" l="1"/>
  <c r="V25" i="1" s="1"/>
  <c r="V26" i="1" s="1"/>
  <c r="U28" i="1"/>
  <c r="U27" i="1"/>
  <c r="W22" i="1"/>
  <c r="W21" i="1"/>
  <c r="X24" i="1"/>
  <c r="X19" i="1"/>
  <c r="X20" i="1"/>
  <c r="V27" i="1" l="1"/>
  <c r="V28" i="1"/>
  <c r="W23" i="1"/>
  <c r="W25" i="1" s="1"/>
  <c r="W27" i="1" s="1"/>
  <c r="X22" i="1"/>
  <c r="X21" i="1"/>
  <c r="Y24" i="1"/>
  <c r="Y19" i="1"/>
  <c r="Y20" i="1"/>
  <c r="W26" i="1" l="1"/>
  <c r="W28" i="1"/>
  <c r="X23" i="1"/>
  <c r="X25" i="1" s="1"/>
  <c r="X26" i="1" s="1"/>
  <c r="Y22" i="1"/>
  <c r="Y21" i="1"/>
  <c r="Z24" i="1"/>
  <c r="Z20" i="1"/>
  <c r="Z19" i="1"/>
  <c r="X27" i="1" l="1"/>
  <c r="Y23" i="1"/>
  <c r="Y25" i="1" s="1"/>
  <c r="Y28" i="1" s="1"/>
  <c r="X28" i="1"/>
  <c r="Z22" i="1"/>
  <c r="Z21" i="1"/>
  <c r="AA24" i="1"/>
  <c r="AA20" i="1"/>
  <c r="AA19" i="1"/>
  <c r="Y27" i="1" l="1"/>
  <c r="Y26" i="1"/>
  <c r="Z23" i="1"/>
  <c r="Z25" i="1" s="1"/>
  <c r="Z26" i="1" s="1"/>
  <c r="AA22" i="1"/>
  <c r="AA21" i="1"/>
  <c r="AB24" i="1"/>
  <c r="AB20" i="1"/>
  <c r="AB19" i="1"/>
  <c r="Z27" i="1" l="1"/>
  <c r="Z28" i="1"/>
  <c r="AA23" i="1"/>
  <c r="AA25" i="1" s="1"/>
  <c r="AA27" i="1" s="1"/>
  <c r="AB22" i="1"/>
  <c r="AB21" i="1"/>
  <c r="AC24" i="1"/>
  <c r="AC20" i="1"/>
  <c r="AC19" i="1"/>
  <c r="AA26" i="1" l="1"/>
  <c r="AA28" i="1"/>
  <c r="AB23" i="1"/>
  <c r="AB25" i="1" s="1"/>
  <c r="AB26" i="1" s="1"/>
  <c r="AC22" i="1"/>
  <c r="AC21" i="1"/>
  <c r="AD24" i="1"/>
  <c r="AD20" i="1"/>
  <c r="AD19" i="1"/>
  <c r="AC23" i="1" l="1"/>
  <c r="AC25" i="1" s="1"/>
  <c r="AB27" i="1"/>
  <c r="AB28" i="1"/>
  <c r="AD22" i="1"/>
  <c r="AD21" i="1"/>
  <c r="AC26" i="1"/>
  <c r="AC28" i="1"/>
  <c r="AC27" i="1"/>
  <c r="AE24" i="1"/>
  <c r="AE20" i="1"/>
  <c r="AE19" i="1"/>
  <c r="AD23" i="1" l="1"/>
  <c r="AD25" i="1" s="1"/>
  <c r="AD26" i="1" s="1"/>
  <c r="AE21" i="1"/>
  <c r="AE22" i="1"/>
  <c r="AD27" i="1" l="1"/>
  <c r="AD28" i="1"/>
  <c r="AE23" i="1"/>
  <c r="AE25" i="1" s="1"/>
  <c r="AE27" i="1" s="1"/>
  <c r="AE26" i="1" l="1"/>
  <c r="AE28" i="1"/>
</calcChain>
</file>

<file path=xl/sharedStrings.xml><?xml version="1.0" encoding="utf-8"?>
<sst xmlns="http://schemas.openxmlformats.org/spreadsheetml/2006/main" count="36" uniqueCount="33">
  <si>
    <t># #61 mix u'</t>
  </si>
  <si>
    <t># #61 mix u''</t>
  </si>
  <si>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</si>
  <si>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</si>
  <si>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</si>
  <si>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</si>
  <si>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</si>
  <si>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</si>
  <si>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</si>
  <si>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</si>
  <si>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</si>
  <si>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</si>
  <si>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</si>
  <si>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</si>
  <si>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</si>
  <si>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</si>
  <si>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</si>
  <si>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</si>
  <si>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</si>
  <si>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</si>
  <si>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µ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</si>
  <si>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</si>
  <si>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</si>
  <si>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</si>
  <si>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</si>
  <si>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</si>
  <si>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</si>
  <si>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</si>
  <si>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</si>
  <si>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</si>
  <si>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</si>
  <si>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F14</t>
  </si>
  <si>
    <t>Neosid 28-053-31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</si>
</sst>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6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17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2" fillId="0" borderId="0" xfId="0" applyFont="1"/>
    <xf numFmtId="0" fontId="3" fillId="0" borderId="0" xfId="0" applyFont="1"/>
    <xf numFmtId="164" fontId="0" fillId="2" borderId="0" xfId="0" applyNumberFormat="1" applyFill="1"/>
    <xf numFmtId="0" fontId="2" fillId="0" borderId="0" xfId="0" applyFont="1" applyAlignment="1">
      <alignment horizontal="right"/>
    </xf>
    <xf numFmtId="14" fontId="0" fillId="0" borderId="0" xfId="0" applyNumberFormat="1"/>
    <xf numFmtId="0" fontId="4" fillId="0" borderId="0" xfId="1" applyFont="1" applyAlignment="1" applyProtection="1"/>
    <xf numFmtId="2" fontId="0" fillId="0" borderId="0" xfId="0" applyNumberFormat="1"/>
    <xf numFmtId="0" fontId="5" fillId="0" borderId="0" xfId="0" applyFont="1"/>
    <xf numFmtId="0" fontId="0" fillId="0" borderId="1" xfId="0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Choke!$A$26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Choke!$B$26:$AE$26</c:f>
              <c:numCache>
                <c:formatCode>0</c:formatCode>
                <c:ptCount val="30"/>
                <c:pt idx="0">
                  <c:v>4.0113908481022698</c:v>
                </c:pt>
                <c:pt idx="1">
                  <c:v>4.7619275251899698</c:v>
                </c:pt>
                <c:pt idx="2">
                  <c:v>5.72418409948048</c:v>
                </c:pt>
                <c:pt idx="3">
                  <c:v>7.0680803302587796</c:v>
                </c:pt>
                <c:pt idx="4">
                  <c:v>8.8285349901302599</c:v>
                </c:pt>
                <c:pt idx="5">
                  <c:v>11.3615513561417</c:v>
                </c:pt>
                <c:pt idx="6">
                  <c:v>15.315819579761</c:v>
                </c:pt>
                <c:pt idx="7">
                  <c:v>21.3102891696923</c:v>
                </c:pt>
                <c:pt idx="8">
                  <c:v>31.436862521684599</c:v>
                </c:pt>
                <c:pt idx="9">
                  <c:v>49.176686241948197</c:v>
                </c:pt>
                <c:pt idx="10">
                  <c:v>89.977248496486894</c:v>
                </c:pt>
                <c:pt idx="11">
                  <c:v>198.72010925098701</c:v>
                </c:pt>
                <c:pt idx="12">
                  <c:v>552.50447444114002</c:v>
                </c:pt>
                <c:pt idx="13">
                  <c:v>2252.6052991247202</c:v>
                </c:pt>
                <c:pt idx="14">
                  <c:v>15101.188421450899</c:v>
                </c:pt>
                <c:pt idx="15">
                  <c:v>11984.9676155539</c:v>
                </c:pt>
                <c:pt idx="16">
                  <c:v>3624.1637891749701</c:v>
                </c:pt>
                <c:pt idx="17">
                  <c:v>1647.02430955766</c:v>
                </c:pt>
                <c:pt idx="18">
                  <c:v>922.19977011680601</c:v>
                </c:pt>
                <c:pt idx="19">
                  <c:v>588.14851707223295</c:v>
                </c:pt>
                <c:pt idx="20">
                  <c:v>392.48855193928603</c:v>
                </c:pt>
                <c:pt idx="21">
                  <c:v>264.800702030644</c:v>
                </c:pt>
                <c:pt idx="22">
                  <c:v>180.251080932587</c:v>
                </c:pt>
                <c:pt idx="23">
                  <c:v>123.692707590212</c:v>
                </c:pt>
                <c:pt idx="24">
                  <c:v>85.125313659121701</c:v>
                </c:pt>
                <c:pt idx="25">
                  <c:v>59.645468909617698</c:v>
                </c:pt>
                <c:pt idx="26">
                  <c:v>43.707712125190398</c:v>
                </c:pt>
                <c:pt idx="27">
                  <c:v>32.944652341325103</c:v>
                </c:pt>
                <c:pt idx="28">
                  <c:v>19.643702585748699</c:v>
                </c:pt>
                <c:pt idx="29">
                  <c:v>7.11350117234372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Choke!$A$27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Choke!$B$27:$AE$27</c:f>
              <c:numCache>
                <c:formatCode>0</c:formatCode>
                <c:ptCount val="30"/>
                <c:pt idx="0">
                  <c:v>447.77303316797901</c:v>
                </c:pt>
                <c:pt idx="1">
                  <c:v>518.18713280857298</c:v>
                </c:pt>
                <c:pt idx="2">
                  <c:v>601.16252492734702</c:v>
                </c:pt>
                <c:pt idx="3">
                  <c:v>697.427079859939</c:v>
                </c:pt>
                <c:pt idx="4">
                  <c:v>812.41792470615303</c:v>
                </c:pt>
                <c:pt idx="5">
                  <c:v>955.63213642315895</c:v>
                </c:pt>
                <c:pt idx="6">
                  <c:v>1132.03052447052</c:v>
                </c:pt>
                <c:pt idx="7">
                  <c:v>1353.8222250153301</c:v>
                </c:pt>
                <c:pt idx="8">
                  <c:v>1646.85816280732</c:v>
                </c:pt>
                <c:pt idx="9">
                  <c:v>2066.1446437248901</c:v>
                </c:pt>
                <c:pt idx="10">
                  <c:v>2690.2235515166099</c:v>
                </c:pt>
                <c:pt idx="11">
                  <c:v>3677.06490449173</c:v>
                </c:pt>
                <c:pt idx="12">
                  <c:v>5303.1171141018403</c:v>
                </c:pt>
                <c:pt idx="13">
                  <c:v>8836.1870391371594</c:v>
                </c:pt>
                <c:pt idx="14">
                  <c:v>13186.640784867601</c:v>
                </c:pt>
                <c:pt idx="15">
                  <c:v>-10674.8571796792</c:v>
                </c:pt>
                <c:pt idx="16">
                  <c:v>-7001.5678775504803</c:v>
                </c:pt>
                <c:pt idx="17">
                  <c:v>-4901.60982431913</c:v>
                </c:pt>
                <c:pt idx="18">
                  <c:v>-3702.8321672064899</c:v>
                </c:pt>
                <c:pt idx="19">
                  <c:v>-2938.3138157856101</c:v>
                </c:pt>
                <c:pt idx="20">
                  <c:v>-2390.0076612248399</c:v>
                </c:pt>
                <c:pt idx="21">
                  <c:v>-1973.5065741466201</c:v>
                </c:pt>
                <c:pt idx="22">
                  <c:v>-1649.5479459466701</c:v>
                </c:pt>
                <c:pt idx="23">
                  <c:v>-1391.6314381536799</c:v>
                </c:pt>
                <c:pt idx="24">
                  <c:v>-1183.27187424057</c:v>
                </c:pt>
                <c:pt idx="25">
                  <c:v>-1011.75690291517</c:v>
                </c:pt>
                <c:pt idx="26">
                  <c:v>-866.735027708129</c:v>
                </c:pt>
                <c:pt idx="27">
                  <c:v>-740.44540292025704</c:v>
                </c:pt>
                <c:pt idx="28">
                  <c:v>-631.63036920407706</c:v>
                </c:pt>
                <c:pt idx="29">
                  <c:v>-546.61111913343905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Choke!$A$28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Choke!$B$28:$AE$28</c:f>
              <c:numCache>
                <c:formatCode>0</c:formatCode>
                <c:ptCount val="30"/>
                <c:pt idx="0">
                  <c:v>447.7910009021935</c:v>
                </c:pt>
                <c:pt idx="1">
                  <c:v>518.20901242850346</c:v>
                </c:pt>
                <c:pt idx="2">
                  <c:v>601.18977674327414</c:v>
                </c:pt>
                <c:pt idx="3">
                  <c:v>697.46289469871931</c:v>
                </c:pt>
                <c:pt idx="4">
                  <c:v>812.46589307731824</c:v>
                </c:pt>
                <c:pt idx="5">
                  <c:v>955.69967302176542</c:v>
                </c:pt>
                <c:pt idx="6">
                  <c:v>1132.1341275053942</c:v>
                </c:pt>
                <c:pt idx="7">
                  <c:v>1353.9899354758716</c:v>
                </c:pt>
                <c:pt idx="8">
                  <c:v>1647.1581844893674</c:v>
                </c:pt>
                <c:pt idx="9">
                  <c:v>2066.7297925134753</c:v>
                </c:pt>
                <c:pt idx="10">
                  <c:v>2691.7278210067302</c:v>
                </c:pt>
                <c:pt idx="11">
                  <c:v>3682.4307181080135</c:v>
                </c:pt>
                <c:pt idx="12">
                  <c:v>5331.820732184955</c:v>
                </c:pt>
                <c:pt idx="13">
                  <c:v>9118.7955358292947</c:v>
                </c:pt>
                <c:pt idx="14">
                  <c:v>20048.276407943307</c:v>
                </c:pt>
                <c:pt idx="15">
                  <c:v>16049.673658751581</c:v>
                </c:pt>
                <c:pt idx="16">
                  <c:v>7883.9403799568272</c:v>
                </c:pt>
                <c:pt idx="17">
                  <c:v>5170.9252504881269</c:v>
                </c:pt>
                <c:pt idx="18">
                  <c:v>3815.9426718050418</c:v>
                </c:pt>
                <c:pt idx="19">
                  <c:v>2996.5991987869947</c:v>
                </c:pt>
                <c:pt idx="20">
                  <c:v>2422.0206200849793</c:v>
                </c:pt>
                <c:pt idx="21">
                  <c:v>1991.1925095268543</c:v>
                </c:pt>
                <c:pt idx="22">
                  <c:v>1659.367011289017</c:v>
                </c:pt>
                <c:pt idx="23">
                  <c:v>1397.1177278843315</c:v>
                </c:pt>
                <c:pt idx="24">
                  <c:v>1186.32990664248</c:v>
                </c:pt>
                <c:pt idx="25">
                  <c:v>1013.5134989520095</c:v>
                </c:pt>
                <c:pt idx="26">
                  <c:v>867.83637418319222</c:v>
                </c:pt>
                <c:pt idx="27">
                  <c:v>741.17794410224633</c:v>
                </c:pt>
                <c:pt idx="28">
                  <c:v>631.93575492462526</c:v>
                </c:pt>
                <c:pt idx="29">
                  <c:v>546.65740410172771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938464"/>
        <c:axId val="742935720"/>
      </c:scatterChart>
      <c:valAx>
        <c:axId val="74293846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2935720"/>
        <c:crosses val="autoZero"/>
        <c:crossBetween val="midCat"/>
      </c:valAx>
      <c:valAx>
        <c:axId val="742935720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2938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Complex permeability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662207357859535E-2"/>
          <c:y val="0.18080376848904037"/>
          <c:w val="0.78093715710285383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Choke!$A$19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Choke!$B$19:$AE$19</c:f>
              <c:numCache>
                <c:formatCode>0</c:formatCode>
                <c:ptCount val="30"/>
                <c:pt idx="0">
                  <c:v>1.9121445035223179</c:v>
                </c:pt>
                <c:pt idx="1">
                  <c:v>1.9574362303797543</c:v>
                </c:pt>
                <c:pt idx="2">
                  <c:v>2.0226374329293155</c:v>
                </c:pt>
                <c:pt idx="3">
                  <c:v>2.13811662060994</c:v>
                </c:pt>
                <c:pt idx="4">
                  <c:v>2.2733346634365299</c:v>
                </c:pt>
                <c:pt idx="5">
                  <c:v>2.4696466463547706</c:v>
                </c:pt>
                <c:pt idx="6">
                  <c:v>2.7791213259113334</c:v>
                </c:pt>
                <c:pt idx="7">
                  <c:v>3.1775320463613363</c:v>
                </c:pt>
                <c:pt idx="8">
                  <c:v>3.761712878740791</c:v>
                </c:pt>
                <c:pt idx="9">
                  <c:v>4.5431176223534013</c:v>
                </c:pt>
                <c:pt idx="10">
                  <c:v>6.0421780525816695</c:v>
                </c:pt>
                <c:pt idx="11">
                  <c:v>8.8077479841265731</c:v>
                </c:pt>
                <c:pt idx="12">
                  <c:v>13.980324367016085</c:v>
                </c:pt>
                <c:pt idx="13">
                  <c:v>23.484815673283332</c:v>
                </c:pt>
                <c:pt idx="14">
                  <c:v>38.259354026927227</c:v>
                </c:pt>
                <c:pt idx="15">
                  <c:v>56.472371106696684</c:v>
                </c:pt>
                <c:pt idx="16">
                  <c:v>80.674965517493945</c:v>
                </c:pt>
                <c:pt idx="17">
                  <c:v>95.766108505532216</c:v>
                </c:pt>
                <c:pt idx="18">
                  <c:v>106.15987426408267</c:v>
                </c:pt>
                <c:pt idx="19">
                  <c:v>111.79845317976333</c:v>
                </c:pt>
                <c:pt idx="20">
                  <c:v>115.41576165229573</c:v>
                </c:pt>
                <c:pt idx="21">
                  <c:v>118.74905396107683</c:v>
                </c:pt>
                <c:pt idx="22">
                  <c:v>121.58877771325294</c:v>
                </c:pt>
                <c:pt idx="23">
                  <c:v>124.23422193122427</c:v>
                </c:pt>
                <c:pt idx="24">
                  <c:v>125.68862620524732</c:v>
                </c:pt>
                <c:pt idx="25">
                  <c:v>126.48837881104612</c:v>
                </c:pt>
                <c:pt idx="26">
                  <c:v>131.67124057216782</c:v>
                </c:pt>
                <c:pt idx="27">
                  <c:v>151.46200540619219</c:v>
                </c:pt>
                <c:pt idx="28">
                  <c:v>204.89884681421552</c:v>
                </c:pt>
                <c:pt idx="29">
                  <c:v>325.6578397936072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Choke!$A$20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Choke!$B$20:$AE$20</c:f>
              <c:numCache>
                <c:formatCode>0</c:formatCode>
                <c:ptCount val="30"/>
                <c:pt idx="0">
                  <c:v>216.56677081846061</c:v>
                </c:pt>
                <c:pt idx="1">
                  <c:v>217.14871349507604</c:v>
                </c:pt>
                <c:pt idx="2">
                  <c:v>217.9262915874186</c:v>
                </c:pt>
                <c:pt idx="3">
                  <c:v>218.26130634875207</c:v>
                </c:pt>
                <c:pt idx="4">
                  <c:v>218.86564770997416</c:v>
                </c:pt>
                <c:pt idx="5">
                  <c:v>220.69798291534474</c:v>
                </c:pt>
                <c:pt idx="6">
                  <c:v>222.86931423204547</c:v>
                </c:pt>
                <c:pt idx="7">
                  <c:v>225.43540443442456</c:v>
                </c:pt>
                <c:pt idx="8">
                  <c:v>229.21687247983448</c:v>
                </c:pt>
                <c:pt idx="9">
                  <c:v>235.77294877348464</c:v>
                </c:pt>
                <c:pt idx="10">
                  <c:v>244.24136720170733</c:v>
                </c:pt>
                <c:pt idx="11">
                  <c:v>253.20428554657747</c:v>
                </c:pt>
                <c:pt idx="12">
                  <c:v>258.23510458974437</c:v>
                </c:pt>
                <c:pt idx="13">
                  <c:v>263.84961579974163</c:v>
                </c:pt>
                <c:pt idx="14">
                  <c:v>265.12039210045725</c:v>
                </c:pt>
                <c:pt idx="15">
                  <c:v>266.95307501135346</c:v>
                </c:pt>
                <c:pt idx="16">
                  <c:v>259.57203478269071</c:v>
                </c:pt>
                <c:pt idx="17">
                  <c:v>251.20457283472493</c:v>
                </c:pt>
                <c:pt idx="18">
                  <c:v>237.84015515956833</c:v>
                </c:pt>
                <c:pt idx="19">
                  <c:v>218.25882830152995</c:v>
                </c:pt>
                <c:pt idx="20">
                  <c:v>198.96334379253616</c:v>
                </c:pt>
                <c:pt idx="21">
                  <c:v>182.68089201570345</c:v>
                </c:pt>
                <c:pt idx="22">
                  <c:v>168.49007711967346</c:v>
                </c:pt>
                <c:pt idx="23">
                  <c:v>155.67988040016419</c:v>
                </c:pt>
                <c:pt idx="24">
                  <c:v>144.24901848827639</c:v>
                </c:pt>
                <c:pt idx="25">
                  <c:v>131.93407537755965</c:v>
                </c:pt>
                <c:pt idx="26">
                  <c:v>113.8081278926735</c:v>
                </c:pt>
                <c:pt idx="27">
                  <c:v>80.072509261330453</c:v>
                </c:pt>
                <c:pt idx="28">
                  <c:v>12.66483834112536</c:v>
                </c:pt>
                <c:pt idx="29">
                  <c:v>-120.18242149596054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934936"/>
        <c:axId val="742936504"/>
      </c:scatterChart>
      <c:valAx>
        <c:axId val="742934936"/>
        <c:scaling>
          <c:logBase val="10"/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5167187475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2936504"/>
        <c:crosses val="autoZero"/>
        <c:crossBetween val="midCat"/>
      </c:valAx>
      <c:valAx>
        <c:axId val="742936504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permeability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29349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7767909205746467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180975</xdr:colOff>
      <xdr:row>28</xdr:row>
      <xdr:rowOff>133350</xdr:rowOff>
    </xdr:from>
    <xdr:to>
      <xdr:col>19</xdr:col>
      <xdr:colOff>390525</xdr:colOff>
      <xdr:row>55</xdr:row>
      <xdr:rowOff>28575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714375</xdr:colOff>
      <xdr:row>33</xdr:row>
      <xdr:rowOff>9525</xdr:rowOff>
    </xdr:from>
    <xdr:to>
      <xdr:col>8</xdr:col>
      <xdr:colOff>190500</xdr:colOff>
      <xdr:row>59</xdr:row>
      <xdr:rowOff>66675</xdr:rowOff>
    </xdr:to>
    <xdr:graphicFrame macro="">
      <xdr:nvGraphicFramePr>
        <xdr:cNvPr id="10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tabSelected="1" topLeftCell="A10" workbookViewId="0">
      <selection activeCell="B18" sqref="B1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3" ht="20.25" x14ac:dyDescent="0.3">
      <c r="A1" s="9" t="s">
        <v>28</v>
      </c>
    </row>
    <row r="3" spans="1:3" x14ac:dyDescent="0.2">
      <c r="A3" s="8" t="s">
        <v>30</v>
      </c>
    </row>
    <row r="4" spans="1:3" x14ac:dyDescent="0.2">
      <c r="A4" s="13" t="s">
        <v>29</v>
      </c>
    </row>
    <row r="6" spans="1:3" x14ac:dyDescent="0.2">
      <c r="A6" s="8" t="s">
        <v>18</v>
      </c>
    </row>
    <row r="7" spans="1:3" x14ac:dyDescent="0.2">
      <c r="A7" t="s">
        <v>3</v>
      </c>
      <c r="B7" s="3">
        <v>567</v>
      </c>
      <c r="C7" s="15" t="s">
        <v>32</v>
      </c>
    </row>
    <row r="8" spans="1:3" x14ac:dyDescent="0.2">
      <c r="A8" t="s">
        <v>7</v>
      </c>
      <c r="B8" s="3">
        <v>11</v>
      </c>
    </row>
    <row r="9" spans="1:3" x14ac:dyDescent="0.2">
      <c r="A9" t="s">
        <v>10</v>
      </c>
      <c r="B9" s="3">
        <v>5</v>
      </c>
    </row>
    <row r="11" spans="1:3" x14ac:dyDescent="0.2">
      <c r="A11" s="8" t="s">
        <v>19</v>
      </c>
    </row>
    <row r="12" spans="1:3" x14ac:dyDescent="0.2">
      <c r="A12" t="s">
        <v>21</v>
      </c>
      <c r="B12" t="str">
        <f>Mix!B1</f>
        <v>F14</v>
      </c>
    </row>
    <row r="13" spans="1:3" x14ac:dyDescent="0.2">
      <c r="A13" t="s">
        <v>20</v>
      </c>
      <c r="B13">
        <f>Mix!B2</f>
        <v>220</v>
      </c>
    </row>
    <row r="15" spans="1:3" x14ac:dyDescent="0.2">
      <c r="A15" s="8" t="s">
        <v>22</v>
      </c>
    </row>
    <row r="16" spans="1:3" x14ac:dyDescent="0.2">
      <c r="A16" s="2" t="s">
        <v>11</v>
      </c>
      <c r="B16" s="4">
        <f>2*PI()*$B$8^2*$B$7*0.000000001</f>
        <v>4.3107049436966991E-4</v>
      </c>
    </row>
    <row r="18" spans="1:31" x14ac:dyDescent="0.2">
      <c r="A18" t="s">
        <v>4</v>
      </c>
      <c r="B18" s="10">
        <v>1.04</v>
      </c>
      <c r="C18" s="10">
        <f>B18*2^(1/5)</f>
        <v>1.1946462891969165</v>
      </c>
      <c r="D18" s="10">
        <f t="shared" ref="D18:AE18" si="0">C18*2^(1/5)</f>
        <v>1.3722882272038102</v>
      </c>
      <c r="E18" s="10">
        <f t="shared" si="0"/>
        <v>1.5763452291708142</v>
      </c>
      <c r="F18" s="10">
        <f t="shared" si="0"/>
        <v>1.8107451716559386</v>
      </c>
      <c r="G18" s="10">
        <f t="shared" si="0"/>
        <v>2.0800000000000005</v>
      </c>
      <c r="H18" s="10">
        <f t="shared" si="0"/>
        <v>2.3892925783938335</v>
      </c>
      <c r="I18" s="10">
        <f t="shared" si="0"/>
        <v>2.7445764544076212</v>
      </c>
      <c r="J18" s="10">
        <f t="shared" si="0"/>
        <v>3.1526904583416298</v>
      </c>
      <c r="K18" s="10">
        <f t="shared" si="0"/>
        <v>3.6214903433118786</v>
      </c>
      <c r="L18" s="10">
        <f t="shared" si="0"/>
        <v>4.1600000000000028</v>
      </c>
      <c r="M18" s="10">
        <f t="shared" si="0"/>
        <v>4.7785851567876696</v>
      </c>
      <c r="N18" s="10">
        <f t="shared" si="0"/>
        <v>5.4891529088152451</v>
      </c>
      <c r="O18" s="10">
        <f t="shared" si="0"/>
        <v>6.3053809166832622</v>
      </c>
      <c r="P18" s="10">
        <f t="shared" si="0"/>
        <v>7.2429806866237607</v>
      </c>
      <c r="Q18" s="10">
        <f t="shared" si="0"/>
        <v>8.3200000000000092</v>
      </c>
      <c r="R18" s="10">
        <f t="shared" si="0"/>
        <v>9.5571703135753427</v>
      </c>
      <c r="S18" s="10">
        <f t="shared" si="0"/>
        <v>10.978305817630494</v>
      </c>
      <c r="T18" s="10">
        <f t="shared" si="0"/>
        <v>12.610761833366528</v>
      </c>
      <c r="U18" s="10">
        <f t="shared" si="0"/>
        <v>14.485961373247525</v>
      </c>
      <c r="V18" s="10">
        <f t="shared" si="0"/>
        <v>16.640000000000022</v>
      </c>
      <c r="W18" s="10">
        <f t="shared" si="0"/>
        <v>19.114340627150689</v>
      </c>
      <c r="X18" s="10">
        <f t="shared" si="0"/>
        <v>21.956611635260991</v>
      </c>
      <c r="Y18" s="10">
        <f t="shared" si="0"/>
        <v>25.221523666733063</v>
      </c>
      <c r="Z18" s="10">
        <f t="shared" si="0"/>
        <v>28.971922746495057</v>
      </c>
      <c r="AA18" s="10">
        <f t="shared" si="0"/>
        <v>33.280000000000058</v>
      </c>
      <c r="AB18" s="10">
        <f t="shared" si="0"/>
        <v>38.228681254301392</v>
      </c>
      <c r="AC18" s="10">
        <f t="shared" si="0"/>
        <v>43.913223270522003</v>
      </c>
      <c r="AD18" s="10">
        <f t="shared" si="0"/>
        <v>50.443047333466147</v>
      </c>
      <c r="AE18" s="10">
        <f t="shared" si="0"/>
        <v>57.943845492990143</v>
      </c>
    </row>
    <row r="19" spans="1:31" x14ac:dyDescent="0.2">
      <c r="A19" t="s">
        <v>6</v>
      </c>
      <c r="B19" s="7">
        <f>csinterpolate(CSTableU2,Choke!B18*1000000)</f>
        <v>1.9121445035223179</v>
      </c>
      <c r="C19" s="7">
        <f>csinterpolate(CSTableU2,Choke!C18*1000000)</f>
        <v>1.9574362303797543</v>
      </c>
      <c r="D19" s="7">
        <f>csinterpolate(CSTableU2,Choke!D18*1000000)</f>
        <v>2.0226374329293155</v>
      </c>
      <c r="E19" s="7">
        <f>csinterpolate(CSTableU2,Choke!E18*1000000)</f>
        <v>2.13811662060994</v>
      </c>
      <c r="F19" s="7">
        <f>csinterpolate(CSTableU2,Choke!F18*1000000)</f>
        <v>2.2733346634365299</v>
      </c>
      <c r="G19" s="7">
        <f>csinterpolate(CSTableU2,Choke!G18*1000000)</f>
        <v>2.4696466463547706</v>
      </c>
      <c r="H19" s="7">
        <f>csinterpolate(CSTableU2,Choke!H18*1000000)</f>
        <v>2.7791213259113334</v>
      </c>
      <c r="I19" s="7">
        <f>csinterpolate(CSTableU2,Choke!I18*1000000)</f>
        <v>3.1775320463613363</v>
      </c>
      <c r="J19" s="7">
        <f>csinterpolate(CSTableU2,Choke!J18*1000000)</f>
        <v>3.761712878740791</v>
      </c>
      <c r="K19" s="7">
        <f>csinterpolate(CSTableU2,Choke!K18*1000000)</f>
        <v>4.5431176223534013</v>
      </c>
      <c r="L19" s="7">
        <f>csinterpolate(CSTableU2,Choke!L18*1000000)</f>
        <v>6.0421780525816695</v>
      </c>
      <c r="M19" s="7">
        <f>csinterpolate(CSTableU2,Choke!M18*1000000)</f>
        <v>8.8077479841265731</v>
      </c>
      <c r="N19" s="7">
        <f>csinterpolate(CSTableU2,Choke!N18*1000000)</f>
        <v>13.980324367016085</v>
      </c>
      <c r="O19" s="7">
        <f>csinterpolate(CSTableU2,Choke!O18*1000000)</f>
        <v>23.484815673283332</v>
      </c>
      <c r="P19" s="7">
        <f>csinterpolate(CSTableU2,Choke!P18*1000000)</f>
        <v>38.259354026927227</v>
      </c>
      <c r="Q19" s="7">
        <f>csinterpolate(CSTableU2,Choke!Q18*1000000)</f>
        <v>56.472371106696684</v>
      </c>
      <c r="R19" s="7">
        <f>csinterpolate(CSTableU2,Choke!R18*1000000)</f>
        <v>80.674965517493945</v>
      </c>
      <c r="S19" s="7">
        <f>csinterpolate(CSTableU2,Choke!S18*1000000)</f>
        <v>95.766108505532216</v>
      </c>
      <c r="T19" s="7">
        <f>csinterpolate(CSTableU2,Choke!T18*1000000)</f>
        <v>106.15987426408267</v>
      </c>
      <c r="U19" s="7">
        <f>csinterpolate(CSTableU2,Choke!U18*1000000)</f>
        <v>111.79845317976333</v>
      </c>
      <c r="V19" s="7">
        <f>csinterpolate(CSTableU2,Choke!V18*1000000)</f>
        <v>115.41576165229573</v>
      </c>
      <c r="W19" s="7">
        <f>csinterpolate(CSTableU2,Choke!W18*1000000)</f>
        <v>118.74905396107683</v>
      </c>
      <c r="X19" s="7">
        <f>csinterpolate(CSTableU2,Choke!X18*1000000)</f>
        <v>121.58877771325294</v>
      </c>
      <c r="Y19" s="7">
        <f>csinterpolate(CSTableU2,Choke!Y18*1000000)</f>
        <v>124.23422193122427</v>
      </c>
      <c r="Z19" s="7">
        <f>csinterpolate(CSTableU2,Choke!Z18*1000000)</f>
        <v>125.68862620524732</v>
      </c>
      <c r="AA19" s="7">
        <f>csinterpolate(CSTableU2,Choke!AA18*1000000)</f>
        <v>126.48837881104612</v>
      </c>
      <c r="AB19" s="7">
        <f>csinterpolate(CSTableU2,Choke!AB18*1000000)</f>
        <v>131.67124057216782</v>
      </c>
      <c r="AC19" s="7">
        <f>csinterpolate(CSTableU2,Choke!AC18*1000000)</f>
        <v>151.46200540619219</v>
      </c>
      <c r="AD19" s="7">
        <f>csinterpolate(CSTableU2,Choke!AD18*1000000)</f>
        <v>204.89884681421552</v>
      </c>
      <c r="AE19" s="7">
        <f>csinterpolate(CSTableU2,Choke!AE18*1000000)</f>
        <v>325.6578397936072</v>
      </c>
    </row>
    <row r="20" spans="1:31" x14ac:dyDescent="0.2">
      <c r="A20" t="s">
        <v>5</v>
      </c>
      <c r="B20" s="7">
        <f>csinterpolate(CSTableU1,Choke!B18*1000000)</f>
        <v>216.56677081846061</v>
      </c>
      <c r="C20" s="7">
        <f>csinterpolate(CSTableU1,Choke!C18*1000000)</f>
        <v>217.14871349507604</v>
      </c>
      <c r="D20" s="7">
        <f>csinterpolate(CSTableU1,Choke!D18*1000000)</f>
        <v>217.9262915874186</v>
      </c>
      <c r="E20" s="7">
        <f>csinterpolate(CSTableU1,Choke!E18*1000000)</f>
        <v>218.26130634875207</v>
      </c>
      <c r="F20" s="7">
        <f>csinterpolate(CSTableU1,Choke!F18*1000000)</f>
        <v>218.86564770997416</v>
      </c>
      <c r="G20" s="7">
        <f>csinterpolate(CSTableU1,Choke!G18*1000000)</f>
        <v>220.69798291534474</v>
      </c>
      <c r="H20" s="7">
        <f>csinterpolate(CSTableU1,Choke!H18*1000000)</f>
        <v>222.86931423204547</v>
      </c>
      <c r="I20" s="7">
        <f>csinterpolate(CSTableU1,Choke!I18*1000000)</f>
        <v>225.43540443442456</v>
      </c>
      <c r="J20" s="7">
        <f>csinterpolate(CSTableU1,Choke!J18*1000000)</f>
        <v>229.21687247983448</v>
      </c>
      <c r="K20" s="7">
        <f>csinterpolate(CSTableU1,Choke!K18*1000000)</f>
        <v>235.77294877348464</v>
      </c>
      <c r="L20" s="7">
        <f>csinterpolate(CSTableU1,Choke!L18*1000000)</f>
        <v>244.24136720170733</v>
      </c>
      <c r="M20" s="7">
        <f>csinterpolate(CSTableU1,Choke!M18*1000000)</f>
        <v>253.20428554657747</v>
      </c>
      <c r="N20" s="7">
        <f>csinterpolate(CSTableU1,Choke!N18*1000000)</f>
        <v>258.23510458974437</v>
      </c>
      <c r="O20" s="7">
        <f>csinterpolate(CSTableU1,Choke!O18*1000000)</f>
        <v>263.84961579974163</v>
      </c>
      <c r="P20" s="7">
        <f>csinterpolate(CSTableU1,Choke!P18*1000000)</f>
        <v>265.12039210045725</v>
      </c>
      <c r="Q20" s="7">
        <f>csinterpolate(CSTableU1,Choke!Q18*1000000)</f>
        <v>266.95307501135346</v>
      </c>
      <c r="R20" s="7">
        <f>csinterpolate(CSTableU1,Choke!R18*1000000)</f>
        <v>259.57203478269071</v>
      </c>
      <c r="S20" s="7">
        <f>csinterpolate(CSTableU1,Choke!S18*1000000)</f>
        <v>251.20457283472493</v>
      </c>
      <c r="T20" s="7">
        <f>csinterpolate(CSTableU1,Choke!T18*1000000)</f>
        <v>237.84015515956833</v>
      </c>
      <c r="U20" s="7">
        <f>csinterpolate(CSTableU1,Choke!U18*1000000)</f>
        <v>218.25882830152995</v>
      </c>
      <c r="V20" s="7">
        <f>csinterpolate(CSTableU1,Choke!V18*1000000)</f>
        <v>198.96334379253616</v>
      </c>
      <c r="W20" s="7">
        <f>csinterpolate(CSTableU1,Choke!W18*1000000)</f>
        <v>182.68089201570345</v>
      </c>
      <c r="X20" s="7">
        <f>csinterpolate(CSTableU1,Choke!X18*1000000)</f>
        <v>168.49007711967346</v>
      </c>
      <c r="Y20" s="7">
        <f>csinterpolate(CSTableU1,Choke!Y18*1000000)</f>
        <v>155.67988040016419</v>
      </c>
      <c r="Z20" s="7">
        <f>csinterpolate(CSTableU1,Choke!Z18*1000000)</f>
        <v>144.24901848827639</v>
      </c>
      <c r="AA20" s="7">
        <f>csinterpolate(CSTableU1,Choke!AA18*1000000)</f>
        <v>131.93407537755965</v>
      </c>
      <c r="AB20" s="7">
        <f>csinterpolate(CSTableU1,Choke!AB18*1000000)</f>
        <v>113.8081278926735</v>
      </c>
      <c r="AC20" s="7">
        <f>csinterpolate(CSTableU1,Choke!AC18*1000000)</f>
        <v>80.072509261330453</v>
      </c>
      <c r="AD20" s="7">
        <f>csinterpolate(CSTableU1,Choke!AD18*1000000)</f>
        <v>12.66483834112536</v>
      </c>
      <c r="AE20" s="7">
        <f>csinterpolate(CSTableU1,Choke!AE18*1000000)</f>
        <v>-120.18242149596054</v>
      </c>
    </row>
    <row r="21" spans="1:31" x14ac:dyDescent="0.2">
      <c r="A21" t="s">
        <v>12</v>
      </c>
      <c r="B21" s="5">
        <f t="shared" ref="B21:AE21" si="1">B19/$B$13*$B$16*B18*1000000</f>
        <v>3.89654472498726</v>
      </c>
      <c r="C21" s="5">
        <f t="shared" si="1"/>
        <v>4.581973547789711</v>
      </c>
      <c r="D21" s="5">
        <f t="shared" si="1"/>
        <v>5.4386234981603279</v>
      </c>
      <c r="E21" s="5">
        <f t="shared" si="1"/>
        <v>6.6040194391416271</v>
      </c>
      <c r="F21" s="5">
        <f t="shared" si="1"/>
        <v>8.065779154538907</v>
      </c>
      <c r="G21" s="5">
        <f t="shared" si="1"/>
        <v>10.065231570845913</v>
      </c>
      <c r="H21" s="5">
        <f t="shared" si="1"/>
        <v>13.010753764329326</v>
      </c>
      <c r="I21" s="5">
        <f t="shared" si="1"/>
        <v>17.087986380703132</v>
      </c>
      <c r="J21" s="5">
        <f t="shared" si="1"/>
        <v>23.237670701597942</v>
      </c>
      <c r="K21" s="5">
        <f t="shared" si="1"/>
        <v>32.237913761102959</v>
      </c>
      <c r="L21" s="5">
        <f t="shared" si="1"/>
        <v>49.250706680068902</v>
      </c>
      <c r="M21" s="5">
        <f t="shared" si="1"/>
        <v>82.468828669911076</v>
      </c>
      <c r="N21" s="5">
        <f t="shared" si="1"/>
        <v>150.36549680431881</v>
      </c>
      <c r="O21" s="5">
        <f t="shared" si="1"/>
        <v>290.15101933359938</v>
      </c>
      <c r="P21" s="5">
        <f t="shared" si="1"/>
        <v>542.97592895544176</v>
      </c>
      <c r="Q21" s="5">
        <f t="shared" si="1"/>
        <v>920.62966721595922</v>
      </c>
      <c r="R21" s="5">
        <f t="shared" si="1"/>
        <v>1510.7539228423918</v>
      </c>
      <c r="S21" s="5">
        <f t="shared" si="1"/>
        <v>2060.0263777032997</v>
      </c>
      <c r="T21" s="5">
        <f t="shared" si="1"/>
        <v>2623.1754303348944</v>
      </c>
      <c r="U21" s="5">
        <f t="shared" si="1"/>
        <v>3173.2824829368324</v>
      </c>
      <c r="V21" s="5">
        <f t="shared" si="1"/>
        <v>3763.0852807889069</v>
      </c>
      <c r="W21" s="5">
        <f t="shared" si="1"/>
        <v>4447.4911877493796</v>
      </c>
      <c r="X21" s="5">
        <f t="shared" si="1"/>
        <v>5230.9965024324792</v>
      </c>
      <c r="Y21" s="5">
        <f t="shared" si="1"/>
        <v>6139.5731831046178</v>
      </c>
      <c r="Z21" s="5">
        <f t="shared" si="1"/>
        <v>7135.0811124406837</v>
      </c>
      <c r="AA21" s="5">
        <f t="shared" si="1"/>
        <v>8248.2071717148592</v>
      </c>
      <c r="AB21" s="5">
        <f t="shared" si="1"/>
        <v>9862.9279575851342</v>
      </c>
      <c r="AC21" s="5">
        <f t="shared" si="1"/>
        <v>13032.407026900184</v>
      </c>
      <c r="AD21" s="5">
        <f t="shared" si="1"/>
        <v>20251.931321243188</v>
      </c>
      <c r="AE21" s="5">
        <f t="shared" si="1"/>
        <v>36973.832429916329</v>
      </c>
    </row>
    <row r="22" spans="1:31" x14ac:dyDescent="0.2">
      <c r="A22" t="s">
        <v>13</v>
      </c>
      <c r="B22" s="5">
        <f t="shared" ref="B22:AE22" si="2">B20/$B$13*$B$16*B18*1000000</f>
        <v>441.3171216326686</v>
      </c>
      <c r="C22" s="5">
        <f t="shared" si="2"/>
        <v>508.30246509638522</v>
      </c>
      <c r="D22" s="5">
        <f t="shared" si="2"/>
        <v>585.97701743201833</v>
      </c>
      <c r="E22" s="5">
        <f t="shared" si="2"/>
        <v>674.14559900311519</v>
      </c>
      <c r="F22" s="5">
        <f t="shared" si="2"/>
        <v>776.53414050141782</v>
      </c>
      <c r="G22" s="5">
        <f t="shared" si="2"/>
        <v>899.47131041613557</v>
      </c>
      <c r="H22" s="5">
        <f t="shared" si="2"/>
        <v>1043.3865344641652</v>
      </c>
      <c r="I22" s="5">
        <f t="shared" si="2"/>
        <v>1212.3361981872167</v>
      </c>
      <c r="J22" s="5">
        <f t="shared" si="2"/>
        <v>1415.9683031735162</v>
      </c>
      <c r="K22" s="5">
        <f t="shared" si="2"/>
        <v>1673.0423074151454</v>
      </c>
      <c r="L22" s="5">
        <f t="shared" si="2"/>
        <v>1990.848305115831</v>
      </c>
      <c r="M22" s="5">
        <f t="shared" si="2"/>
        <v>2370.8058950892728</v>
      </c>
      <c r="N22" s="5">
        <f t="shared" si="2"/>
        <v>2777.4498484143414</v>
      </c>
      <c r="O22" s="5">
        <f t="shared" si="2"/>
        <v>3259.8184307729134</v>
      </c>
      <c r="P22" s="5">
        <f t="shared" si="2"/>
        <v>3762.5828989287379</v>
      </c>
      <c r="Q22" s="5">
        <f t="shared" si="2"/>
        <v>4351.9497374325001</v>
      </c>
      <c r="R22" s="5">
        <f t="shared" si="2"/>
        <v>4860.8569869558378</v>
      </c>
      <c r="S22" s="5">
        <f t="shared" si="2"/>
        <v>5403.6658094896775</v>
      </c>
      <c r="T22" s="5">
        <f t="shared" si="2"/>
        <v>5876.9516795924001</v>
      </c>
      <c r="U22" s="5">
        <f t="shared" si="2"/>
        <v>6195.0491880412701</v>
      </c>
      <c r="V22" s="5">
        <f t="shared" si="2"/>
        <v>6487.1211671923584</v>
      </c>
      <c r="W22" s="5">
        <f t="shared" si="2"/>
        <v>6841.9210958627627</v>
      </c>
      <c r="X22" s="5">
        <f t="shared" si="2"/>
        <v>7248.7857899695191</v>
      </c>
      <c r="Y22" s="5">
        <f t="shared" si="2"/>
        <v>7693.5968527489558</v>
      </c>
      <c r="Z22" s="5">
        <f t="shared" si="2"/>
        <v>8188.7158637814691</v>
      </c>
      <c r="AA22" s="5">
        <f t="shared" si="2"/>
        <v>8603.3167390688632</v>
      </c>
      <c r="AB22" s="5">
        <f t="shared" si="2"/>
        <v>8524.8787929346836</v>
      </c>
      <c r="AC22" s="5">
        <f t="shared" si="2"/>
        <v>6889.7643970864156</v>
      </c>
      <c r="AD22" s="5">
        <f t="shared" si="2"/>
        <v>1251.7758897475831</v>
      </c>
      <c r="AE22" s="5">
        <f t="shared" si="2"/>
        <v>-13645.010715017488</v>
      </c>
    </row>
    <row r="23" spans="1:31" x14ac:dyDescent="0.2">
      <c r="A23" t="s">
        <v>14</v>
      </c>
      <c r="B23" s="5" t="str">
        <f t="shared" ref="B23:AE23" si="3">IMDIV(1,COMPLEX(B21,B22))</f>
        <v>0.0000200052625935841-0.0022657676296363i</v>
      </c>
      <c r="C23" s="5" t="str">
        <f t="shared" si="3"/>
        <v>0.0000177326179723825-0.00196717273331325i</v>
      </c>
      <c r="D23" s="5" t="str">
        <f t="shared" si="3"/>
        <v>0.0000158376382661183-0.00170640457782864i</v>
      </c>
      <c r="E23" s="5" t="str">
        <f t="shared" si="3"/>
        <v>0.0000145297874376537-0.00148321675092133i</v>
      </c>
      <c r="F23" s="5" t="str">
        <f t="shared" si="3"/>
        <v>0.0000133745249566158-0.00128763446690156i</v>
      </c>
      <c r="G23" s="5" t="str">
        <f t="shared" si="3"/>
        <v>0.000012439266178437-0.00111162500051586i</v>
      </c>
      <c r="H23" s="5" t="str">
        <f t="shared" si="3"/>
        <v>0.0000119493553794103-0.000958268577227696i</v>
      </c>
      <c r="I23" s="5" t="str">
        <f t="shared" si="3"/>
        <v>0.0000116240767983288-0.000824689858662113i</v>
      </c>
      <c r="J23" s="5" t="str">
        <f t="shared" si="3"/>
        <v>0.0000115869352150173-0.00070604034311672i</v>
      </c>
      <c r="K23" s="5" t="str">
        <f t="shared" si="3"/>
        <v>0.0000115130889643806-0.000597491669876101i</v>
      </c>
      <c r="L23" s="5" t="str">
        <f t="shared" si="3"/>
        <v>0.0000124185366036036-0.000501991224408328i</v>
      </c>
      <c r="M23" s="5" t="str">
        <f t="shared" si="3"/>
        <v>0.0000146545554273901-0.000421287739349752i</v>
      </c>
      <c r="N23" s="5" t="str">
        <f t="shared" si="3"/>
        <v>0.0000194350078970176-0.000358990332787253i</v>
      </c>
      <c r="O23" s="5" t="str">
        <f t="shared" si="3"/>
        <v>0.0000270900711414851-0.000304354309699771i</v>
      </c>
      <c r="P23" s="5" t="str">
        <f t="shared" si="3"/>
        <v>0.0000375713710593226-0.000260352974595149i</v>
      </c>
      <c r="Q23" s="5" t="str">
        <f t="shared" si="3"/>
        <v>0.0000465269359033077-0.000219939562778005i</v>
      </c>
      <c r="R23" s="5" t="str">
        <f t="shared" si="3"/>
        <v>0.0000583070613891512-0.000187603210858508i</v>
      </c>
      <c r="S23" s="5" t="str">
        <f t="shared" si="3"/>
        <v>0.0000615975572301139-0.000161576869866853i</v>
      </c>
      <c r="T23" s="5" t="str">
        <f t="shared" si="3"/>
        <v>0.0000633317263514952-0.000141888144898258i</v>
      </c>
      <c r="U23" s="5" t="str">
        <f t="shared" si="3"/>
        <v>0.0000654982487442511-0.000127869130744915i</v>
      </c>
      <c r="V23" s="5" t="str">
        <f t="shared" si="3"/>
        <v>0.0000669069636568982-0.000115339820329621i</v>
      </c>
      <c r="W23" s="5" t="str">
        <f t="shared" si="3"/>
        <v>0.0000667871071168159-0.000102743793708431i</v>
      </c>
      <c r="X23" s="5" t="str">
        <f t="shared" si="3"/>
        <v>0.0000654625583335683-0.0000907138940740566i</v>
      </c>
      <c r="Y23" s="5" t="str">
        <f t="shared" si="3"/>
        <v>0.0000633691802913203-0.0000794089281958927i</v>
      </c>
      <c r="Z23" s="5" t="str">
        <f t="shared" si="3"/>
        <v>0.0000604850114904931-0.0000694168104479727i</v>
      </c>
      <c r="AA23" s="5" t="str">
        <f t="shared" si="3"/>
        <v>0.0000580655283794407-0.0000605654200809628i</v>
      </c>
      <c r="AB23" s="5" t="str">
        <f t="shared" si="3"/>
        <v>0.0000580339826984557-0.0000501608316012413i</v>
      </c>
      <c r="AC23" s="5" t="str">
        <f t="shared" si="3"/>
        <v>0.0000599708155065758-0.0000317044110645554i</v>
      </c>
      <c r="AD23" s="5" t="str">
        <f t="shared" si="3"/>
        <v>0.000049190075961821-3.04044834673475E-06i</v>
      </c>
      <c r="AE23" s="5" t="str">
        <f t="shared" si="3"/>
        <v>0.0000238041642366392+0.0000087848095456875i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0.0000326725635973338i</v>
      </c>
      <c r="C24" s="6" t="str">
        <f t="shared" si="4"/>
        <v>0.0000375309200577934i</v>
      </c>
      <c r="D24" s="6" t="str">
        <f t="shared" si="4"/>
        <v>0.0000431117061319125i</v>
      </c>
      <c r="E24" s="6" t="str">
        <f t="shared" si="4"/>
        <v>0.0000495223459148435i</v>
      </c>
      <c r="F24" s="6" t="str">
        <f t="shared" si="4"/>
        <v>0.0000568862372879748i</v>
      </c>
      <c r="G24" s="6" t="str">
        <f t="shared" si="4"/>
        <v>0.0000653451271946677i</v>
      </c>
      <c r="H24" s="6" t="str">
        <f t="shared" si="4"/>
        <v>0.0000750618401155868i</v>
      </c>
      <c r="I24" s="6" t="str">
        <f t="shared" si="4"/>
        <v>0.0000862234122638251i</v>
      </c>
      <c r="J24" s="6" t="str">
        <f t="shared" si="4"/>
        <v>0.000099044691829687i</v>
      </c>
      <c r="K24" s="6" t="str">
        <f t="shared" si="4"/>
        <v>0.00011377247457595i</v>
      </c>
      <c r="L24" s="6" t="str">
        <f t="shared" si="4"/>
        <v>0.000130690254389336i</v>
      </c>
      <c r="M24" s="6" t="str">
        <f t="shared" si="4"/>
        <v>0.000150123680231174i</v>
      </c>
      <c r="N24" s="6" t="str">
        <f t="shared" si="4"/>
        <v>0.00017244682452765i</v>
      </c>
      <c r="O24" s="6" t="str">
        <f t="shared" si="4"/>
        <v>0.000198089383659374i</v>
      </c>
      <c r="P24" s="6" t="str">
        <f t="shared" si="4"/>
        <v>0.0002275449491519i</v>
      </c>
      <c r="Q24" s="6" t="str">
        <f t="shared" si="4"/>
        <v>0.000261380508778671i</v>
      </c>
      <c r="R24" s="6" t="str">
        <f t="shared" si="4"/>
        <v>0.000300247360462348i</v>
      </c>
      <c r="S24" s="6" t="str">
        <f t="shared" si="4"/>
        <v>0.0003448936490553i</v>
      </c>
      <c r="T24" s="6" t="str">
        <f t="shared" si="4"/>
        <v>0.000396178767318748i</v>
      </c>
      <c r="U24" s="6" t="str">
        <f t="shared" si="4"/>
        <v>0.000455089898303799i</v>
      </c>
      <c r="V24" s="6" t="str">
        <f t="shared" si="4"/>
        <v>0.000522761017557342i</v>
      </c>
      <c r="W24" s="6" t="str">
        <f t="shared" si="4"/>
        <v>0.000600494720924695i</v>
      </c>
      <c r="X24" s="6" t="str">
        <f t="shared" si="4"/>
        <v>0.000689787298110601i</v>
      </c>
      <c r="Y24" s="6" t="str">
        <f t="shared" si="4"/>
        <v>0.000792357534637497i</v>
      </c>
      <c r="Z24" s="6" t="str">
        <f t="shared" si="4"/>
        <v>0.000910179796607599i</v>
      </c>
      <c r="AA24" s="6" t="str">
        <f t="shared" si="4"/>
        <v>0.00104552203511468i</v>
      </c>
      <c r="AB24" s="6" t="str">
        <f t="shared" si="4"/>
        <v>0.00120098944184939i</v>
      </c>
      <c r="AC24" s="6" t="str">
        <f t="shared" si="4"/>
        <v>0.0013795745962212i</v>
      </c>
      <c r="AD24" s="6" t="str">
        <f t="shared" si="4"/>
        <v>0.00158471506927499i</v>
      </c>
      <c r="AE24" s="6" t="str">
        <f t="shared" si="4"/>
        <v>0.0018203595932152i</v>
      </c>
    </row>
    <row r="25" spans="1:31" x14ac:dyDescent="0.2">
      <c r="A25" t="s">
        <v>16</v>
      </c>
      <c r="B25" s="6" t="str">
        <f t="shared" ref="B25:AE25" si="5">IMDIV(1,IMSUM(B23,B24))</f>
        <v>4.01139084810227+447.773033167979i</v>
      </c>
      <c r="C25" s="6" t="str">
        <f t="shared" si="5"/>
        <v>4.76192752518997+518.187132808573i</v>
      </c>
      <c r="D25" s="6" t="str">
        <f t="shared" si="5"/>
        <v>5.72418409948048+601.162524927347i</v>
      </c>
      <c r="E25" s="6" t="str">
        <f t="shared" si="5"/>
        <v>7.06808033025878+697.427079859939i</v>
      </c>
      <c r="F25" s="6" t="str">
        <f t="shared" si="5"/>
        <v>8.82853499013026+812.417924706153i</v>
      </c>
      <c r="G25" s="6" t="str">
        <f t="shared" si="5"/>
        <v>11.3615513561417+955.632136423159i</v>
      </c>
      <c r="H25" s="6" t="str">
        <f t="shared" si="5"/>
        <v>15.315819579761+1132.03052447052i</v>
      </c>
      <c r="I25" s="6" t="str">
        <f t="shared" si="5"/>
        <v>21.3102891696923+1353.82222501533i</v>
      </c>
      <c r="J25" s="6" t="str">
        <f t="shared" si="5"/>
        <v>31.4368625216846+1646.85816280732i</v>
      </c>
      <c r="K25" s="6" t="str">
        <f t="shared" si="5"/>
        <v>49.1766862419482+2066.14464372489i</v>
      </c>
      <c r="L25" s="6" t="str">
        <f t="shared" si="5"/>
        <v>89.9772484964869+2690.22355151661i</v>
      </c>
      <c r="M25" s="6" t="str">
        <f t="shared" si="5"/>
        <v>198.720109250987+3677.06490449173i</v>
      </c>
      <c r="N25" s="6" t="str">
        <f t="shared" si="5"/>
        <v>552.50447444114+5303.11711410184i</v>
      </c>
      <c r="O25" s="6" t="str">
        <f t="shared" si="5"/>
        <v>2252.60529912472+8836.18703913716i</v>
      </c>
      <c r="P25" s="6" t="str">
        <f t="shared" si="5"/>
        <v>15101.1884214509+13186.6407848676i</v>
      </c>
      <c r="Q25" s="6" t="str">
        <f t="shared" si="5"/>
        <v>11984.9676155539-10674.8571796792i</v>
      </c>
      <c r="R25" s="6" t="str">
        <f t="shared" si="5"/>
        <v>3624.16378917497-7001.56787755048i</v>
      </c>
      <c r="S25" s="6" t="str">
        <f t="shared" si="5"/>
        <v>1647.02430955766-4901.60982431913i</v>
      </c>
      <c r="T25" s="6" t="str">
        <f t="shared" si="5"/>
        <v>922.199770116806-3702.83216720649i</v>
      </c>
      <c r="U25" s="6" t="str">
        <f t="shared" si="5"/>
        <v>588.148517072233-2938.31381578561i</v>
      </c>
      <c r="V25" s="6" t="str">
        <f t="shared" si="5"/>
        <v>392.488551939286-2390.00766122484i</v>
      </c>
      <c r="W25" s="6" t="str">
        <f t="shared" si="5"/>
        <v>264.800702030644-1973.50657414662i</v>
      </c>
      <c r="X25" s="6" t="str">
        <f t="shared" si="5"/>
        <v>180.251080932587-1649.54794594667i</v>
      </c>
      <c r="Y25" s="6" t="str">
        <f t="shared" si="5"/>
        <v>123.692707590212-1391.63143815368i</v>
      </c>
      <c r="Z25" s="6" t="str">
        <f t="shared" si="5"/>
        <v>85.1253136591217-1183.27187424057i</v>
      </c>
      <c r="AA25" s="6" t="str">
        <f t="shared" si="5"/>
        <v>59.6454689096177-1011.75690291517i</v>
      </c>
      <c r="AB25" s="6" t="str">
        <f t="shared" si="5"/>
        <v>43.7077121251904-866.735027708129i</v>
      </c>
      <c r="AC25" s="6" t="str">
        <f t="shared" si="5"/>
        <v>32.9446523413251-740.445402920257i</v>
      </c>
      <c r="AD25" s="6" t="str">
        <f t="shared" si="5"/>
        <v>19.6437025857487-631.630369204077i</v>
      </c>
      <c r="AE25" s="6" t="str">
        <f t="shared" si="5"/>
        <v>7.11350117234372-546.611119133439i</v>
      </c>
    </row>
    <row r="26" spans="1:31" x14ac:dyDescent="0.2">
      <c r="A26" t="s">
        <v>8</v>
      </c>
      <c r="B26" s="5">
        <f t="shared" ref="B26:AE26" si="6">IMREAL(B25)</f>
        <v>4.0113908481022698</v>
      </c>
      <c r="C26" s="5">
        <f t="shared" si="6"/>
        <v>4.7619275251899698</v>
      </c>
      <c r="D26" s="5">
        <f t="shared" si="6"/>
        <v>5.72418409948048</v>
      </c>
      <c r="E26" s="5">
        <f t="shared" si="6"/>
        <v>7.0680803302587796</v>
      </c>
      <c r="F26" s="5">
        <f t="shared" si="6"/>
        <v>8.8285349901302599</v>
      </c>
      <c r="G26" s="5">
        <f t="shared" si="6"/>
        <v>11.3615513561417</v>
      </c>
      <c r="H26" s="5">
        <f t="shared" si="6"/>
        <v>15.315819579761</v>
      </c>
      <c r="I26" s="5">
        <f t="shared" si="6"/>
        <v>21.3102891696923</v>
      </c>
      <c r="J26" s="5">
        <f t="shared" si="6"/>
        <v>31.436862521684599</v>
      </c>
      <c r="K26" s="5">
        <f t="shared" si="6"/>
        <v>49.176686241948197</v>
      </c>
      <c r="L26" s="5">
        <f t="shared" si="6"/>
        <v>89.977248496486894</v>
      </c>
      <c r="M26" s="5">
        <f t="shared" si="6"/>
        <v>198.72010925098701</v>
      </c>
      <c r="N26" s="5">
        <f t="shared" si="6"/>
        <v>552.50447444114002</v>
      </c>
      <c r="O26" s="5">
        <f t="shared" si="6"/>
        <v>2252.6052991247202</v>
      </c>
      <c r="P26" s="5">
        <f t="shared" si="6"/>
        <v>15101.188421450899</v>
      </c>
      <c r="Q26" s="5">
        <f t="shared" si="6"/>
        <v>11984.9676155539</v>
      </c>
      <c r="R26" s="5">
        <f t="shared" si="6"/>
        <v>3624.1637891749701</v>
      </c>
      <c r="S26" s="5">
        <f t="shared" si="6"/>
        <v>1647.02430955766</v>
      </c>
      <c r="T26" s="5">
        <f t="shared" si="6"/>
        <v>922.19977011680601</v>
      </c>
      <c r="U26" s="5">
        <f t="shared" si="6"/>
        <v>588.14851707223295</v>
      </c>
      <c r="V26" s="5">
        <f t="shared" si="6"/>
        <v>392.48855193928603</v>
      </c>
      <c r="W26" s="5">
        <f t="shared" si="6"/>
        <v>264.800702030644</v>
      </c>
      <c r="X26" s="5">
        <f t="shared" si="6"/>
        <v>180.251080932587</v>
      </c>
      <c r="Y26" s="5">
        <f t="shared" si="6"/>
        <v>123.692707590212</v>
      </c>
      <c r="Z26" s="5">
        <f t="shared" si="6"/>
        <v>85.125313659121701</v>
      </c>
      <c r="AA26" s="5">
        <f t="shared" si="6"/>
        <v>59.645468909617698</v>
      </c>
      <c r="AB26" s="5">
        <f t="shared" si="6"/>
        <v>43.707712125190398</v>
      </c>
      <c r="AC26" s="5">
        <f t="shared" si="6"/>
        <v>32.944652341325103</v>
      </c>
      <c r="AD26" s="5">
        <f t="shared" si="6"/>
        <v>19.643702585748699</v>
      </c>
      <c r="AE26" s="5">
        <f t="shared" si="6"/>
        <v>7.11350117234372</v>
      </c>
    </row>
    <row r="27" spans="1:31" x14ac:dyDescent="0.2">
      <c r="A27" t="s">
        <v>9</v>
      </c>
      <c r="B27" s="5">
        <f t="shared" ref="B27:AE27" si="7">IMAGINARY(B25)</f>
        <v>447.77303316797901</v>
      </c>
      <c r="C27" s="5">
        <f t="shared" si="7"/>
        <v>518.18713280857298</v>
      </c>
      <c r="D27" s="5">
        <f t="shared" si="7"/>
        <v>601.16252492734702</v>
      </c>
      <c r="E27" s="5">
        <f t="shared" si="7"/>
        <v>697.427079859939</v>
      </c>
      <c r="F27" s="5">
        <f t="shared" si="7"/>
        <v>812.41792470615303</v>
      </c>
      <c r="G27" s="5">
        <f t="shared" si="7"/>
        <v>955.63213642315895</v>
      </c>
      <c r="H27" s="5">
        <f t="shared" si="7"/>
        <v>1132.03052447052</v>
      </c>
      <c r="I27" s="5">
        <f t="shared" si="7"/>
        <v>1353.8222250153301</v>
      </c>
      <c r="J27" s="5">
        <f t="shared" si="7"/>
        <v>1646.85816280732</v>
      </c>
      <c r="K27" s="5">
        <f t="shared" si="7"/>
        <v>2066.1446437248901</v>
      </c>
      <c r="L27" s="5">
        <f t="shared" si="7"/>
        <v>2690.2235515166099</v>
      </c>
      <c r="M27" s="5">
        <f t="shared" si="7"/>
        <v>3677.06490449173</v>
      </c>
      <c r="N27" s="5">
        <f t="shared" si="7"/>
        <v>5303.1171141018403</v>
      </c>
      <c r="O27" s="5">
        <f t="shared" si="7"/>
        <v>8836.1870391371594</v>
      </c>
      <c r="P27" s="5">
        <f t="shared" si="7"/>
        <v>13186.640784867601</v>
      </c>
      <c r="Q27" s="5">
        <f t="shared" si="7"/>
        <v>-10674.8571796792</v>
      </c>
      <c r="R27" s="5">
        <f t="shared" si="7"/>
        <v>-7001.5678775504803</v>
      </c>
      <c r="S27" s="5">
        <f t="shared" si="7"/>
        <v>-4901.60982431913</v>
      </c>
      <c r="T27" s="5">
        <f t="shared" si="7"/>
        <v>-3702.8321672064899</v>
      </c>
      <c r="U27" s="5">
        <f t="shared" si="7"/>
        <v>-2938.3138157856101</v>
      </c>
      <c r="V27" s="5">
        <f t="shared" si="7"/>
        <v>-2390.0076612248399</v>
      </c>
      <c r="W27" s="5">
        <f t="shared" si="7"/>
        <v>-1973.5065741466201</v>
      </c>
      <c r="X27" s="5">
        <f t="shared" si="7"/>
        <v>-1649.5479459466701</v>
      </c>
      <c r="Y27" s="5">
        <f t="shared" si="7"/>
        <v>-1391.6314381536799</v>
      </c>
      <c r="Z27" s="5">
        <f t="shared" si="7"/>
        <v>-1183.27187424057</v>
      </c>
      <c r="AA27" s="5">
        <f t="shared" si="7"/>
        <v>-1011.75690291517</v>
      </c>
      <c r="AB27" s="5">
        <f t="shared" si="7"/>
        <v>-866.735027708129</v>
      </c>
      <c r="AC27" s="5">
        <f t="shared" si="7"/>
        <v>-740.44540292025704</v>
      </c>
      <c r="AD27" s="5">
        <f t="shared" si="7"/>
        <v>-631.63036920407706</v>
      </c>
      <c r="AE27" s="5">
        <f t="shared" si="7"/>
        <v>-546.61111913343905</v>
      </c>
    </row>
    <row r="28" spans="1:31" x14ac:dyDescent="0.2">
      <c r="A28" t="s">
        <v>17</v>
      </c>
      <c r="B28" s="5">
        <f t="shared" ref="B28:AE28" si="8">IMABS(B25)</f>
        <v>447.7910009021935</v>
      </c>
      <c r="C28" s="5">
        <f t="shared" si="8"/>
        <v>518.20901242850346</v>
      </c>
      <c r="D28" s="5">
        <f t="shared" si="8"/>
        <v>601.18977674327414</v>
      </c>
      <c r="E28" s="5">
        <f t="shared" si="8"/>
        <v>697.46289469871931</v>
      </c>
      <c r="F28" s="5">
        <f t="shared" si="8"/>
        <v>812.46589307731824</v>
      </c>
      <c r="G28" s="5">
        <f t="shared" si="8"/>
        <v>955.69967302176542</v>
      </c>
      <c r="H28" s="5">
        <f t="shared" si="8"/>
        <v>1132.1341275053942</v>
      </c>
      <c r="I28" s="5">
        <f t="shared" si="8"/>
        <v>1353.9899354758716</v>
      </c>
      <c r="J28" s="5">
        <f t="shared" si="8"/>
        <v>1647.1581844893674</v>
      </c>
      <c r="K28" s="5">
        <f t="shared" si="8"/>
        <v>2066.7297925134753</v>
      </c>
      <c r="L28" s="5">
        <f t="shared" si="8"/>
        <v>2691.7278210067302</v>
      </c>
      <c r="M28" s="5">
        <f t="shared" si="8"/>
        <v>3682.4307181080135</v>
      </c>
      <c r="N28" s="5">
        <f t="shared" si="8"/>
        <v>5331.820732184955</v>
      </c>
      <c r="O28" s="5">
        <f t="shared" si="8"/>
        <v>9118.7955358292947</v>
      </c>
      <c r="P28" s="5">
        <f t="shared" si="8"/>
        <v>20048.276407943307</v>
      </c>
      <c r="Q28" s="5">
        <f t="shared" si="8"/>
        <v>16049.673658751581</v>
      </c>
      <c r="R28" s="5">
        <f t="shared" si="8"/>
        <v>7883.9403799568272</v>
      </c>
      <c r="S28" s="5">
        <f t="shared" si="8"/>
        <v>5170.9252504881269</v>
      </c>
      <c r="T28" s="5">
        <f t="shared" si="8"/>
        <v>3815.9426718050418</v>
      </c>
      <c r="U28" s="5">
        <f t="shared" si="8"/>
        <v>2996.5991987869947</v>
      </c>
      <c r="V28" s="5">
        <f t="shared" si="8"/>
        <v>2422.0206200849793</v>
      </c>
      <c r="W28" s="5">
        <f t="shared" si="8"/>
        <v>1991.1925095268543</v>
      </c>
      <c r="X28" s="5">
        <f t="shared" si="8"/>
        <v>1659.367011289017</v>
      </c>
      <c r="Y28" s="5">
        <f t="shared" si="8"/>
        <v>1397.1177278843315</v>
      </c>
      <c r="Z28" s="5">
        <f t="shared" si="8"/>
        <v>1186.32990664248</v>
      </c>
      <c r="AA28" s="5">
        <f t="shared" si="8"/>
        <v>1013.5134989520095</v>
      </c>
      <c r="AB28" s="5">
        <f t="shared" si="8"/>
        <v>867.83637418319222</v>
      </c>
      <c r="AC28" s="5">
        <f t="shared" si="8"/>
        <v>741.17794410224633</v>
      </c>
      <c r="AD28" s="5">
        <f t="shared" si="8"/>
        <v>631.93575492462526</v>
      </c>
      <c r="AE28" s="5">
        <f t="shared" si="8"/>
        <v>546.65740410172771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1.02</v>
      </c>
      <c r="C33" s="12">
        <f ca="1">CubicSpline_version("d")</f>
        <v>39544</v>
      </c>
    </row>
    <row r="34" spans="1:3" x14ac:dyDescent="0.2">
      <c r="A34" s="13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67"/>
  <sheetViews>
    <sheetView workbookViewId="0">
      <selection activeCell="E6" sqref="E6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5" width="9.28515625" bestFit="1" customWidth="1"/>
    <col min="16" max="16" width="13.140625" bestFit="1" customWidth="1"/>
  </cols>
  <sheetData>
    <row r="1" spans="1:16" x14ac:dyDescent="0.2">
      <c r="A1" t="s">
        <v>21</v>
      </c>
      <c r="B1" t="s">
        <v>31</v>
      </c>
    </row>
    <row r="2" spans="1:16" x14ac:dyDescent="0.2">
      <c r="A2" t="s">
        <v>20</v>
      </c>
      <c r="B2">
        <v>220</v>
      </c>
    </row>
    <row r="5" spans="1:16" x14ac:dyDescent="0.2">
      <c r="A5" t="s">
        <v>0</v>
      </c>
      <c r="E5" s="16" t="s">
        <v>2</v>
      </c>
      <c r="F5" s="16"/>
      <c r="G5" s="16"/>
      <c r="J5" t="s">
        <v>1</v>
      </c>
      <c r="N5" s="16" t="s">
        <v>2</v>
      </c>
      <c r="O5" s="16"/>
      <c r="P5" s="16"/>
    </row>
    <row r="6" spans="1:16" x14ac:dyDescent="0.2">
      <c r="A6">
        <v>498531</v>
      </c>
      <c r="B6" s="14">
        <v>218.845</v>
      </c>
      <c r="E6">
        <f t="array" ref="E6:G36">cstable(A6:A36,B6:B36)</f>
        <v>498531</v>
      </c>
      <c r="F6">
        <v>218.845</v>
      </c>
      <c r="G6">
        <v>0</v>
      </c>
      <c r="J6">
        <v>498531</v>
      </c>
      <c r="K6">
        <v>1.6836899999999999</v>
      </c>
      <c r="N6">
        <f t="array" ref="N6:P36">cstable(J6:J36,K6:K36)</f>
        <v>498531</v>
      </c>
      <c r="O6">
        <v>1.6836899999999999</v>
      </c>
      <c r="P6">
        <v>0</v>
      </c>
    </row>
    <row r="7" spans="1:16" x14ac:dyDescent="0.2">
      <c r="A7">
        <v>502013</v>
      </c>
      <c r="B7" s="14">
        <v>218.81800000000001</v>
      </c>
      <c r="E7">
        <v>502013</v>
      </c>
      <c r="F7">
        <v>218.81800000000001</v>
      </c>
      <c r="G7">
        <v>1.8453507127185734E-11</v>
      </c>
      <c r="J7">
        <v>502013</v>
      </c>
      <c r="K7">
        <v>1.6856100000000001</v>
      </c>
      <c r="N7">
        <v>502013</v>
      </c>
      <c r="O7">
        <v>1.6856100000000001</v>
      </c>
      <c r="P7">
        <v>-1.2540400656435572E-12</v>
      </c>
    </row>
    <row r="8" spans="1:16" x14ac:dyDescent="0.2">
      <c r="A8">
        <v>783777</v>
      </c>
      <c r="B8" s="14">
        <v>217.10400000000001</v>
      </c>
      <c r="E8">
        <v>783777</v>
      </c>
      <c r="F8">
        <v>217.10400000000001</v>
      </c>
      <c r="G8">
        <v>-1.7788738333750537E-12</v>
      </c>
      <c r="J8">
        <v>783777</v>
      </c>
      <c r="K8">
        <v>1.8134399999999999</v>
      </c>
      <c r="N8">
        <v>783777</v>
      </c>
      <c r="O8">
        <v>1.8134399999999999</v>
      </c>
      <c r="P8">
        <v>4.5797786904633979E-13</v>
      </c>
    </row>
    <row r="9" spans="1:16" x14ac:dyDescent="0.2">
      <c r="A9">
        <v>900853</v>
      </c>
      <c r="B9" s="14">
        <v>216.571</v>
      </c>
      <c r="E9">
        <v>900853</v>
      </c>
      <c r="F9">
        <v>216.571</v>
      </c>
      <c r="G9">
        <v>4.6145053496661823E-11</v>
      </c>
      <c r="J9">
        <v>900853</v>
      </c>
      <c r="K9">
        <v>1.8643400000000001</v>
      </c>
      <c r="N9">
        <v>900853</v>
      </c>
      <c r="O9">
        <v>1.8643400000000001</v>
      </c>
      <c r="P9">
        <v>-1.0717803500057474E-12</v>
      </c>
    </row>
    <row r="10" spans="1:16" x14ac:dyDescent="0.2">
      <c r="A10">
        <v>1396710</v>
      </c>
      <c r="B10" s="14">
        <v>218.001</v>
      </c>
      <c r="E10">
        <v>1396710</v>
      </c>
      <c r="F10">
        <v>218.001</v>
      </c>
      <c r="G10">
        <v>-2.3677034047987985E-11</v>
      </c>
      <c r="J10">
        <v>1396710</v>
      </c>
      <c r="K10">
        <v>2.0341800000000001</v>
      </c>
      <c r="N10">
        <v>1396710</v>
      </c>
      <c r="O10">
        <v>2.0341800000000001</v>
      </c>
      <c r="P10">
        <v>1.4253858348276057E-12</v>
      </c>
    </row>
    <row r="11" spans="1:16" x14ac:dyDescent="0.2">
      <c r="A11">
        <v>1807010</v>
      </c>
      <c r="B11" s="14">
        <v>218.845</v>
      </c>
      <c r="E11">
        <v>1807010</v>
      </c>
      <c r="F11">
        <v>218.845</v>
      </c>
      <c r="G11">
        <v>3.6723581191235158E-11</v>
      </c>
      <c r="J11">
        <v>1807010</v>
      </c>
      <c r="K11">
        <v>2.2716099999999999</v>
      </c>
      <c r="N11">
        <v>1807010</v>
      </c>
      <c r="O11">
        <v>2.2716099999999999</v>
      </c>
      <c r="P11">
        <v>-1.5473085540357071E-12</v>
      </c>
    </row>
    <row r="12" spans="1:16" x14ac:dyDescent="0.2">
      <c r="A12">
        <v>1964440</v>
      </c>
      <c r="B12" s="14">
        <v>219.94399999999999</v>
      </c>
      <c r="E12">
        <v>1964440</v>
      </c>
      <c r="F12">
        <v>219.94399999999999</v>
      </c>
      <c r="G12">
        <v>-1.5501344878722959E-11</v>
      </c>
      <c r="J12">
        <v>1964440</v>
      </c>
      <c r="K12">
        <v>2.3544100000000001</v>
      </c>
      <c r="N12">
        <v>1964440</v>
      </c>
      <c r="O12">
        <v>2.3544100000000001</v>
      </c>
      <c r="P12">
        <v>5.4355241052777708E-12</v>
      </c>
    </row>
    <row r="13" spans="1:16" x14ac:dyDescent="0.2">
      <c r="A13">
        <v>2150500</v>
      </c>
      <c r="B13" s="14">
        <v>221.142</v>
      </c>
      <c r="E13">
        <v>2150500</v>
      </c>
      <c r="F13">
        <v>221.142</v>
      </c>
      <c r="G13">
        <v>8.6807336313695593E-12</v>
      </c>
      <c r="J13">
        <v>2150500</v>
      </c>
      <c r="K13">
        <v>2.54969</v>
      </c>
      <c r="N13">
        <v>2150500</v>
      </c>
      <c r="O13">
        <v>2.54969</v>
      </c>
      <c r="P13">
        <v>-1.8750315087876607E-12</v>
      </c>
    </row>
    <row r="14" spans="1:16" x14ac:dyDescent="0.2">
      <c r="A14">
        <v>2705830</v>
      </c>
      <c r="B14" s="14">
        <v>225.18899999999999</v>
      </c>
      <c r="E14">
        <v>2705830</v>
      </c>
      <c r="F14">
        <v>225.18899999999999</v>
      </c>
      <c r="G14">
        <v>-8.814190881076391E-12</v>
      </c>
      <c r="J14">
        <v>2705830</v>
      </c>
      <c r="K14">
        <v>3.12127</v>
      </c>
      <c r="N14">
        <v>2705830</v>
      </c>
      <c r="O14">
        <v>3.12127</v>
      </c>
      <c r="P14">
        <v>2.9661164415074815E-12</v>
      </c>
    </row>
    <row r="15" spans="1:16" x14ac:dyDescent="0.2">
      <c r="A15">
        <v>2801660</v>
      </c>
      <c r="B15" s="14">
        <v>225.809</v>
      </c>
      <c r="E15">
        <v>2801660</v>
      </c>
      <c r="F15">
        <v>225.809</v>
      </c>
      <c r="G15">
        <v>1.8278350089400829E-11</v>
      </c>
      <c r="J15">
        <v>2801660</v>
      </c>
      <c r="K15">
        <v>3.2635399999999999</v>
      </c>
      <c r="N15">
        <v>2801660</v>
      </c>
      <c r="O15">
        <v>3.2635399999999999</v>
      </c>
      <c r="P15">
        <v>-9.3388121221359755E-13</v>
      </c>
    </row>
    <row r="16" spans="1:16" x14ac:dyDescent="0.2">
      <c r="A16">
        <v>3599540</v>
      </c>
      <c r="B16" s="14">
        <v>235.441</v>
      </c>
      <c r="E16">
        <v>3599540</v>
      </c>
      <c r="F16">
        <v>235.441</v>
      </c>
      <c r="G16">
        <v>2.2394075891406977E-12</v>
      </c>
      <c r="J16">
        <v>3599540</v>
      </c>
      <c r="K16">
        <v>4.4984299999999999</v>
      </c>
      <c r="N16">
        <v>3599540</v>
      </c>
      <c r="O16">
        <v>4.4984299999999999</v>
      </c>
      <c r="P16">
        <v>2.2103946805523397E-12</v>
      </c>
    </row>
    <row r="17" spans="1:16" x14ac:dyDescent="0.2">
      <c r="A17">
        <v>4224520</v>
      </c>
      <c r="B17" s="14">
        <v>245.29599999999999</v>
      </c>
      <c r="E17">
        <v>4224520</v>
      </c>
      <c r="F17">
        <v>245.29599999999999</v>
      </c>
      <c r="G17">
        <v>1.9559441352517181E-12</v>
      </c>
      <c r="J17">
        <v>4224520</v>
      </c>
      <c r="K17">
        <v>6.2832699999999999</v>
      </c>
      <c r="N17">
        <v>4224520</v>
      </c>
      <c r="O17">
        <v>6.2832699999999999</v>
      </c>
      <c r="P17">
        <v>3.6860210886378595E-12</v>
      </c>
    </row>
    <row r="18" spans="1:16" x14ac:dyDescent="0.2">
      <c r="A18">
        <v>4788420</v>
      </c>
      <c r="B18" s="14">
        <v>253.29599999999999</v>
      </c>
      <c r="E18">
        <v>4788420</v>
      </c>
      <c r="F18">
        <v>253.29599999999999</v>
      </c>
      <c r="G18">
        <v>-2.7557905295391472E-11</v>
      </c>
      <c r="J18">
        <v>4788420</v>
      </c>
      <c r="K18">
        <v>8.8563399999999994</v>
      </c>
      <c r="N18">
        <v>4788420</v>
      </c>
      <c r="O18">
        <v>8.8563399999999994</v>
      </c>
      <c r="P18">
        <v>1.7201819362180526E-13</v>
      </c>
    </row>
    <row r="19" spans="1:16" x14ac:dyDescent="0.2">
      <c r="A19">
        <v>4958020</v>
      </c>
      <c r="B19" s="14">
        <v>254.589</v>
      </c>
      <c r="E19">
        <v>4958020</v>
      </c>
      <c r="F19">
        <v>254.589</v>
      </c>
      <c r="G19">
        <v>-3.1875436400151853E-13</v>
      </c>
      <c r="J19">
        <v>4958020</v>
      </c>
      <c r="K19">
        <v>9.7423099999999998</v>
      </c>
      <c r="N19">
        <v>4958020</v>
      </c>
      <c r="O19">
        <v>9.7423099999999998</v>
      </c>
      <c r="P19">
        <v>9.6370340154008433E-12</v>
      </c>
    </row>
    <row r="20" spans="1:16" x14ac:dyDescent="0.2">
      <c r="A20">
        <v>5818870</v>
      </c>
      <c r="B20" s="14">
        <v>260.625</v>
      </c>
      <c r="E20">
        <v>5818870</v>
      </c>
      <c r="F20">
        <v>260.625</v>
      </c>
      <c r="G20">
        <v>1.9258455306857198E-12</v>
      </c>
      <c r="J20">
        <v>5818870</v>
      </c>
      <c r="K20">
        <v>17.483599999999999</v>
      </c>
      <c r="N20">
        <v>5818870</v>
      </c>
      <c r="O20">
        <v>17.483599999999999</v>
      </c>
      <c r="P20">
        <v>3.1622881221433996E-12</v>
      </c>
    </row>
    <row r="21" spans="1:16" x14ac:dyDescent="0.2">
      <c r="A21">
        <v>6369990</v>
      </c>
      <c r="B21" s="14">
        <v>264.10000000000002</v>
      </c>
      <c r="E21">
        <v>6369990</v>
      </c>
      <c r="F21">
        <v>264.10000000000002</v>
      </c>
      <c r="G21">
        <v>-1.7059929750775514E-11</v>
      </c>
      <c r="J21">
        <v>6369990</v>
      </c>
      <c r="K21">
        <v>24.382300000000001</v>
      </c>
      <c r="N21">
        <v>6369990</v>
      </c>
      <c r="O21">
        <v>24.382300000000001</v>
      </c>
      <c r="P21">
        <v>7.1196450207179346E-12</v>
      </c>
    </row>
    <row r="22" spans="1:16" x14ac:dyDescent="0.2">
      <c r="A22">
        <v>6688060</v>
      </c>
      <c r="B22" s="14">
        <v>264.596</v>
      </c>
      <c r="E22">
        <v>6688060</v>
      </c>
      <c r="F22">
        <v>264.596</v>
      </c>
      <c r="G22">
        <v>3.7617055882285292E-13</v>
      </c>
      <c r="J22">
        <v>6688060</v>
      </c>
      <c r="K22">
        <v>29.164400000000001</v>
      </c>
      <c r="N22">
        <v>6688060</v>
      </c>
      <c r="O22">
        <v>29.164400000000001</v>
      </c>
      <c r="P22">
        <v>3.0917496323563961E-12</v>
      </c>
    </row>
    <row r="23" spans="1:16" x14ac:dyDescent="0.2">
      <c r="A23">
        <v>7740790</v>
      </c>
      <c r="B23" s="14">
        <v>266.08800000000002</v>
      </c>
      <c r="E23">
        <v>7740790</v>
      </c>
      <c r="F23">
        <v>266.08800000000002</v>
      </c>
      <c r="G23">
        <v>3.364696161777199E-12</v>
      </c>
      <c r="J23">
        <v>7740790</v>
      </c>
      <c r="K23">
        <v>46.658900000000003</v>
      </c>
      <c r="N23">
        <v>7740790</v>
      </c>
      <c r="O23">
        <v>46.658900000000003</v>
      </c>
      <c r="P23">
        <v>-1.1778934654540057E-12</v>
      </c>
    </row>
    <row r="24" spans="1:16" x14ac:dyDescent="0.2">
      <c r="A24">
        <v>8356780</v>
      </c>
      <c r="B24" s="14">
        <v>266.87299999999999</v>
      </c>
      <c r="E24">
        <v>8356780</v>
      </c>
      <c r="F24">
        <v>266.87299999999999</v>
      </c>
      <c r="G24">
        <v>-2.0264703128801021E-11</v>
      </c>
      <c r="J24">
        <v>8356780</v>
      </c>
      <c r="K24">
        <v>57.125500000000002</v>
      </c>
      <c r="N24">
        <v>8356780</v>
      </c>
      <c r="O24">
        <v>57.125500000000002</v>
      </c>
      <c r="P24">
        <v>4.7340080415867997E-12</v>
      </c>
    </row>
    <row r="25" spans="1:16" x14ac:dyDescent="0.2">
      <c r="A25">
        <v>8959210</v>
      </c>
      <c r="B25" s="14">
        <v>263.18200000000002</v>
      </c>
      <c r="E25">
        <v>8959210</v>
      </c>
      <c r="F25">
        <v>263.18200000000002</v>
      </c>
      <c r="G25">
        <v>4.8169488343597446E-12</v>
      </c>
      <c r="J25">
        <v>8959210</v>
      </c>
      <c r="K25">
        <v>68.664900000000003</v>
      </c>
      <c r="N25">
        <v>8959210</v>
      </c>
      <c r="O25">
        <v>68.664900000000003</v>
      </c>
      <c r="P25">
        <v>3.6004718233167878E-12</v>
      </c>
    </row>
    <row r="26" spans="1:16" x14ac:dyDescent="0.2">
      <c r="A26">
        <v>10155100</v>
      </c>
      <c r="B26" s="14">
        <v>256.66899999999998</v>
      </c>
      <c r="E26">
        <v>10155100</v>
      </c>
      <c r="F26">
        <v>256.66899999999998</v>
      </c>
      <c r="G26">
        <v>-8.6342951373080124E-13</v>
      </c>
      <c r="J26">
        <v>10155100</v>
      </c>
      <c r="K26">
        <v>89.148399999999995</v>
      </c>
      <c r="N26">
        <v>10155100</v>
      </c>
      <c r="O26">
        <v>89.148399999999995</v>
      </c>
      <c r="P26">
        <v>-2.3380547851959083E-11</v>
      </c>
    </row>
    <row r="27" spans="1:16" x14ac:dyDescent="0.2">
      <c r="A27">
        <v>10297500</v>
      </c>
      <c r="B27" s="14">
        <v>255.95500000000001</v>
      </c>
      <c r="E27">
        <v>10297500</v>
      </c>
      <c r="F27">
        <v>255.95500000000001</v>
      </c>
      <c r="G27">
        <v>-6.0172330821936315E-12</v>
      </c>
      <c r="J27">
        <v>10297500</v>
      </c>
      <c r="K27">
        <v>90.218699999999998</v>
      </c>
      <c r="N27">
        <v>10297500</v>
      </c>
      <c r="O27">
        <v>90.218699999999998</v>
      </c>
      <c r="P27">
        <v>4.2244602905503054E-12</v>
      </c>
    </row>
    <row r="28" spans="1:16" x14ac:dyDescent="0.2">
      <c r="A28">
        <v>12340500</v>
      </c>
      <c r="B28" s="14">
        <v>239.71799999999999</v>
      </c>
      <c r="E28">
        <v>12340500</v>
      </c>
      <c r="F28">
        <v>239.71799999999999</v>
      </c>
      <c r="G28">
        <v>4.3179579738154192E-12</v>
      </c>
      <c r="J28">
        <v>12340500</v>
      </c>
      <c r="K28">
        <v>105.36</v>
      </c>
      <c r="N28">
        <v>12340500</v>
      </c>
      <c r="O28">
        <v>105.36</v>
      </c>
      <c r="P28">
        <v>-7.7160791612757451E-12</v>
      </c>
    </row>
    <row r="29" spans="1:16" x14ac:dyDescent="0.2">
      <c r="A29">
        <v>12600900</v>
      </c>
      <c r="B29" s="14">
        <v>237.91200000000001</v>
      </c>
      <c r="E29">
        <v>12600900</v>
      </c>
      <c r="F29">
        <v>237.91200000000001</v>
      </c>
      <c r="G29">
        <v>-5.8598640239437981E-12</v>
      </c>
      <c r="J29">
        <v>12600900</v>
      </c>
      <c r="K29">
        <v>106.133</v>
      </c>
      <c r="N29">
        <v>12600900</v>
      </c>
      <c r="O29">
        <v>106.133</v>
      </c>
      <c r="P29">
        <v>9.9492935757758501E-13</v>
      </c>
    </row>
    <row r="30" spans="1:16" x14ac:dyDescent="0.2">
      <c r="A30">
        <v>15206300</v>
      </c>
      <c r="B30" s="14">
        <v>210.833</v>
      </c>
      <c r="E30">
        <v>15206300</v>
      </c>
      <c r="F30">
        <v>210.833</v>
      </c>
      <c r="G30">
        <v>4.4962084644860015E-12</v>
      </c>
      <c r="J30">
        <v>15206300</v>
      </c>
      <c r="K30">
        <v>113.35</v>
      </c>
      <c r="N30">
        <v>15206300</v>
      </c>
      <c r="O30">
        <v>113.35</v>
      </c>
      <c r="P30">
        <v>-1.8746577408218034E-12</v>
      </c>
    </row>
    <row r="31" spans="1:16" x14ac:dyDescent="0.2">
      <c r="A31">
        <v>15312500</v>
      </c>
      <c r="B31" s="14">
        <v>209.892</v>
      </c>
      <c r="E31">
        <v>15312500</v>
      </c>
      <c r="F31">
        <v>209.892</v>
      </c>
      <c r="G31">
        <v>7.5416432355855383E-13</v>
      </c>
      <c r="J31">
        <v>15312500</v>
      </c>
      <c r="K31">
        <v>113.51</v>
      </c>
      <c r="N31">
        <v>15312500</v>
      </c>
      <c r="O31">
        <v>113.51</v>
      </c>
      <c r="P31">
        <v>-5.7380299441830385E-14</v>
      </c>
    </row>
    <row r="32" spans="1:16" x14ac:dyDescent="0.2">
      <c r="A32">
        <v>18350500</v>
      </c>
      <c r="B32" s="14">
        <v>187.11500000000001</v>
      </c>
      <c r="E32">
        <v>18350500</v>
      </c>
      <c r="F32">
        <v>187.11500000000001</v>
      </c>
      <c r="G32">
        <v>9.7421244405864837E-13</v>
      </c>
      <c r="J32">
        <v>18350500</v>
      </c>
      <c r="K32">
        <v>117.752</v>
      </c>
      <c r="N32">
        <v>18350500</v>
      </c>
      <c r="O32">
        <v>117.752</v>
      </c>
      <c r="P32">
        <v>-3.3492070830289959E-14</v>
      </c>
    </row>
    <row r="33" spans="1:16" x14ac:dyDescent="0.2">
      <c r="A33">
        <v>19673300</v>
      </c>
      <c r="B33" s="14">
        <v>179.66900000000001</v>
      </c>
      <c r="E33">
        <v>19673300</v>
      </c>
      <c r="F33">
        <v>179.66900000000001</v>
      </c>
      <c r="G33">
        <v>3.1943191783769989E-13</v>
      </c>
      <c r="J33">
        <v>19673300</v>
      </c>
      <c r="K33">
        <v>119.426</v>
      </c>
      <c r="N33">
        <v>19673300</v>
      </c>
      <c r="O33">
        <v>119.426</v>
      </c>
      <c r="P33">
        <v>-2.4075431774001083E-13</v>
      </c>
    </row>
    <row r="34" spans="1:16" x14ac:dyDescent="0.2">
      <c r="A34">
        <v>23576400</v>
      </c>
      <c r="B34" s="14">
        <v>161.66499999999999</v>
      </c>
      <c r="E34">
        <v>23576400</v>
      </c>
      <c r="F34">
        <v>161.66499999999999</v>
      </c>
      <c r="G34">
        <v>3.7662987999848443E-13</v>
      </c>
      <c r="J34">
        <v>23576400</v>
      </c>
      <c r="K34">
        <v>122.88800000000001</v>
      </c>
      <c r="N34">
        <v>23576400</v>
      </c>
      <c r="O34">
        <v>122.88800000000001</v>
      </c>
      <c r="P34">
        <v>7.4186751677433629E-14</v>
      </c>
    </row>
    <row r="35" spans="1:16" x14ac:dyDescent="0.2">
      <c r="A35">
        <v>25630300</v>
      </c>
      <c r="B35" s="14">
        <v>154.31299999999999</v>
      </c>
      <c r="E35">
        <v>25630300</v>
      </c>
      <c r="F35">
        <v>154.31299999999999</v>
      </c>
      <c r="G35">
        <v>2.2655896284393412E-13</v>
      </c>
      <c r="J35">
        <v>25630300</v>
      </c>
      <c r="K35">
        <v>124.52</v>
      </c>
      <c r="N35">
        <v>25630300</v>
      </c>
      <c r="O35">
        <v>124.52</v>
      </c>
      <c r="P35">
        <v>-2.4274839218467548E-13</v>
      </c>
    </row>
    <row r="36" spans="1:16" x14ac:dyDescent="0.2">
      <c r="A36">
        <v>30080500</v>
      </c>
      <c r="B36" s="14">
        <v>141.143</v>
      </c>
      <c r="E36">
        <v>30080500</v>
      </c>
      <c r="F36">
        <v>141.143</v>
      </c>
      <c r="G36">
        <v>0</v>
      </c>
      <c r="J36">
        <v>30080500</v>
      </c>
      <c r="K36">
        <v>125.827</v>
      </c>
      <c r="N36">
        <v>30080500</v>
      </c>
      <c r="O36">
        <v>125.827</v>
      </c>
      <c r="P36">
        <v>0</v>
      </c>
    </row>
    <row r="37" spans="1:16" x14ac:dyDescent="0.2">
      <c r="J37" s="1"/>
    </row>
    <row r="38" spans="1:16" x14ac:dyDescent="0.2">
      <c r="J38" s="1"/>
    </row>
    <row r="39" spans="1:16" x14ac:dyDescent="0.2">
      <c r="J39" s="1"/>
    </row>
    <row r="40" spans="1:16" x14ac:dyDescent="0.2">
      <c r="J40" s="1"/>
    </row>
    <row r="41" spans="1:16" x14ac:dyDescent="0.2">
      <c r="A41">
        <v>2</v>
      </c>
      <c r="J41" s="1"/>
    </row>
    <row r="42" spans="1:16" x14ac:dyDescent="0.2">
      <c r="A42">
        <v>2</v>
      </c>
      <c r="J42" s="1"/>
    </row>
    <row r="43" spans="1:16" x14ac:dyDescent="0.2">
      <c r="A43">
        <v>3</v>
      </c>
      <c r="J43" s="1"/>
    </row>
    <row r="44" spans="1:16" x14ac:dyDescent="0.2">
      <c r="A44">
        <v>4</v>
      </c>
      <c r="J44" s="1"/>
    </row>
    <row r="45" spans="1:16" x14ac:dyDescent="0.2">
      <c r="A45">
        <v>5</v>
      </c>
      <c r="J45" s="1"/>
    </row>
    <row r="46" spans="1:16" x14ac:dyDescent="0.2">
      <c r="J46" s="1"/>
    </row>
    <row r="47" spans="1:16" x14ac:dyDescent="0.2">
      <c r="A47" t="e">
        <f ca="1">sumthem(A41:C45)</f>
        <v>#NAME?</v>
      </c>
      <c r="J47" s="1"/>
    </row>
    <row r="48" spans="1:16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0" x14ac:dyDescent="0.2">
      <c r="J65" s="1"/>
    </row>
    <row r="66" spans="10:10" x14ac:dyDescent="0.2">
      <c r="J66" s="1"/>
    </row>
    <row r="67" spans="10:10" x14ac:dyDescent="0.2">
      <c r="J67" s="1"/>
    </row>
  </sheetData>
  <dataConsolidate/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Choke</vt:lpstr>
      <vt:lpstr>Mix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2014-06-20T11:31:03Z</dcterms:modified>
</cp:coreProperties>
</file>