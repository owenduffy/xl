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U:\hg\xl\"/>
    </mc:Choice>
  </mc:AlternateContent>
  <bookViews>
    <workbookView xWindow="0" yWindow="0" windowWidth="21540" windowHeight="9150" activeTab="1"/>
  </bookViews>
  <sheets>
    <sheet name="Mix" sheetId="1" r:id="rId1"/>
    <sheet name="LO1238" sheetId="9488" r:id="rId2"/>
  </sheets>
  <functionGroups builtInGroupCount="18"/>
  <definedNames>
    <definedName name="CSTableU1">Mix!$E$6:$G$41</definedName>
    <definedName name="CSTableU2">Mix!$N$6:$P$42</definedName>
  </definedNames>
  <calcPr calcId="152511"/>
</workbook>
</file>

<file path=xl/calcChain.xml><?xml version="1.0" encoding="utf-8"?>
<calcChain xmlns="http://schemas.openxmlformats.org/spreadsheetml/2006/main">
  <c r="B12" i="9488" l="1"/>
  <c r="B13" i="9488"/>
  <c r="B16" i="9488"/>
  <c r="N18" i="9488"/>
  <c r="O18" i="9488" s="1"/>
  <c r="B24" i="9488"/>
  <c r="C24" i="9488"/>
  <c r="D24" i="9488"/>
  <c r="E24" i="9488"/>
  <c r="F24" i="9488"/>
  <c r="G24" i="9488"/>
  <c r="H24" i="9488"/>
  <c r="I24" i="9488"/>
  <c r="J24" i="9488"/>
  <c r="K24" i="9488"/>
  <c r="L24" i="9488"/>
  <c r="M24" i="9488"/>
  <c r="N24" i="9488"/>
  <c r="AA24" i="9488"/>
  <c r="AB24" i="9488"/>
  <c r="AC24" i="9488"/>
  <c r="AD24" i="9488"/>
  <c r="AE24" i="9488"/>
  <c r="E6" i="1" a="1"/>
  <c r="N6" i="1" a="1"/>
  <c r="B33" i="9488"/>
  <c r="C33" i="9488"/>
  <c r="N6" i="1" l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P27" i="1"/>
  <c r="N29" i="1"/>
  <c r="P6" i="1"/>
  <c r="N7" i="1"/>
  <c r="P7" i="1"/>
  <c r="N8" i="1"/>
  <c r="P8" i="1"/>
  <c r="N9" i="1"/>
  <c r="P9" i="1"/>
  <c r="N10" i="1"/>
  <c r="P10" i="1"/>
  <c r="N11" i="1"/>
  <c r="P11" i="1"/>
  <c r="N12" i="1"/>
  <c r="P12" i="1"/>
  <c r="N13" i="1"/>
  <c r="P13" i="1"/>
  <c r="N14" i="1"/>
  <c r="P14" i="1"/>
  <c r="N15" i="1"/>
  <c r="P15" i="1"/>
  <c r="N16" i="1"/>
  <c r="P16" i="1"/>
  <c r="N17" i="1"/>
  <c r="P17" i="1"/>
  <c r="N18" i="1"/>
  <c r="P18" i="1"/>
  <c r="N19" i="1"/>
  <c r="P19" i="1"/>
  <c r="N20" i="1"/>
  <c r="P20" i="1"/>
  <c r="N21" i="1"/>
  <c r="P21" i="1"/>
  <c r="N22" i="1"/>
  <c r="P22" i="1"/>
  <c r="N23" i="1"/>
  <c r="P23" i="1"/>
  <c r="N24" i="1"/>
  <c r="P24" i="1"/>
  <c r="N25" i="1"/>
  <c r="P25" i="1"/>
  <c r="N26" i="1"/>
  <c r="P26" i="1"/>
  <c r="N27" i="1"/>
  <c r="N28" i="1"/>
  <c r="P28" i="1"/>
  <c r="P29" i="1"/>
  <c r="P30" i="1"/>
  <c r="N31" i="1"/>
  <c r="P32" i="1"/>
  <c r="N33" i="1"/>
  <c r="P34" i="1"/>
  <c r="N35" i="1"/>
  <c r="P36" i="1"/>
  <c r="N37" i="1"/>
  <c r="P38" i="1"/>
  <c r="N39" i="1"/>
  <c r="P40" i="1"/>
  <c r="N41" i="1"/>
  <c r="P42" i="1"/>
  <c r="N42" i="1"/>
  <c r="N30" i="1"/>
  <c r="P31" i="1"/>
  <c r="N32" i="1"/>
  <c r="P33" i="1"/>
  <c r="N34" i="1"/>
  <c r="P35" i="1"/>
  <c r="N36" i="1"/>
  <c r="P37" i="1"/>
  <c r="N38" i="1"/>
  <c r="P39" i="1"/>
  <c r="N40" i="1"/>
  <c r="P41" i="1"/>
  <c r="E6" i="1"/>
  <c r="F6" i="1"/>
  <c r="E7" i="1"/>
  <c r="G7" i="1"/>
  <c r="E8" i="1"/>
  <c r="G8" i="1"/>
  <c r="E9" i="1"/>
  <c r="G9" i="1"/>
  <c r="E10" i="1"/>
  <c r="G10" i="1"/>
  <c r="E11" i="1"/>
  <c r="G11" i="1"/>
  <c r="E12" i="1"/>
  <c r="G12" i="1"/>
  <c r="E13" i="1"/>
  <c r="G13" i="1"/>
  <c r="E14" i="1"/>
  <c r="G14" i="1"/>
  <c r="E15" i="1"/>
  <c r="G15" i="1"/>
  <c r="E16" i="1"/>
  <c r="G16" i="1"/>
  <c r="E17" i="1"/>
  <c r="G17" i="1"/>
  <c r="E18" i="1"/>
  <c r="G18" i="1"/>
  <c r="E19" i="1"/>
  <c r="G19" i="1"/>
  <c r="E20" i="1"/>
  <c r="G20" i="1"/>
  <c r="E21" i="1"/>
  <c r="G21" i="1"/>
  <c r="E22" i="1"/>
  <c r="G22" i="1"/>
  <c r="E23" i="1"/>
  <c r="G23" i="1"/>
  <c r="E24" i="1"/>
  <c r="G24" i="1"/>
  <c r="E25" i="1"/>
  <c r="G25" i="1"/>
  <c r="E26" i="1"/>
  <c r="G26" i="1"/>
  <c r="E27" i="1"/>
  <c r="G27" i="1"/>
  <c r="E28" i="1"/>
  <c r="G28" i="1"/>
  <c r="E29" i="1"/>
  <c r="G29" i="1"/>
  <c r="E30" i="1"/>
  <c r="G30" i="1"/>
  <c r="E31" i="1"/>
  <c r="G31" i="1"/>
  <c r="E32" i="1"/>
  <c r="G32" i="1"/>
  <c r="E33" i="1"/>
  <c r="G33" i="1"/>
  <c r="E34" i="1"/>
  <c r="G34" i="1"/>
  <c r="E35" i="1"/>
  <c r="G35" i="1"/>
  <c r="E36" i="1"/>
  <c r="G36" i="1"/>
  <c r="E37" i="1"/>
  <c r="G37" i="1"/>
  <c r="E38" i="1"/>
  <c r="G38" i="1"/>
  <c r="E39" i="1"/>
  <c r="G39" i="1"/>
  <c r="E40" i="1"/>
  <c r="G40" i="1"/>
  <c r="E41" i="1"/>
  <c r="G41" i="1"/>
  <c r="E42" i="1"/>
  <c r="G42" i="1"/>
  <c r="G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2" i="1"/>
  <c r="F34" i="1"/>
  <c r="F36" i="1"/>
  <c r="F38" i="1"/>
  <c r="F40" i="1"/>
  <c r="F42" i="1"/>
  <c r="F31" i="1"/>
  <c r="F33" i="1"/>
  <c r="F35" i="1"/>
  <c r="F37" i="1"/>
  <c r="F39" i="1"/>
  <c r="F41" i="1"/>
  <c r="P18" i="9488"/>
  <c r="O24" i="9488"/>
  <c r="AE19" i="9488"/>
  <c r="AC19" i="9488"/>
  <c r="AA19" i="9488"/>
  <c r="M19" i="9488"/>
  <c r="K19" i="9488"/>
  <c r="I19" i="9488"/>
  <c r="G19" i="9488"/>
  <c r="E19" i="9488"/>
  <c r="C19" i="9488"/>
  <c r="AD19" i="9488"/>
  <c r="AB19" i="9488"/>
  <c r="N19" i="9488"/>
  <c r="L19" i="9488"/>
  <c r="J19" i="9488"/>
  <c r="H19" i="9488"/>
  <c r="F19" i="9488"/>
  <c r="D19" i="9488"/>
  <c r="B19" i="9488"/>
  <c r="AE20" i="9488"/>
  <c r="AC20" i="9488"/>
  <c r="AA20" i="9488"/>
  <c r="M20" i="9488"/>
  <c r="K20" i="9488"/>
  <c r="I20" i="9488"/>
  <c r="G20" i="9488"/>
  <c r="E20" i="9488"/>
  <c r="C20" i="9488"/>
  <c r="AD20" i="9488"/>
  <c r="AB20" i="9488"/>
  <c r="N20" i="9488"/>
  <c r="L20" i="9488"/>
  <c r="J20" i="9488"/>
  <c r="H20" i="9488"/>
  <c r="F20" i="9488"/>
  <c r="D20" i="9488"/>
  <c r="B20" i="9488"/>
  <c r="O20" i="9488"/>
  <c r="O19" i="9488"/>
  <c r="B22" i="9488" l="1"/>
  <c r="D22" i="9488"/>
  <c r="F22" i="9488"/>
  <c r="H22" i="9488"/>
  <c r="J22" i="9488"/>
  <c r="L22" i="9488"/>
  <c r="N22" i="9488"/>
  <c r="AB22" i="9488"/>
  <c r="AD22" i="9488"/>
  <c r="C22" i="9488"/>
  <c r="E22" i="9488"/>
  <c r="G22" i="9488"/>
  <c r="I22" i="9488"/>
  <c r="K22" i="9488"/>
  <c r="M22" i="9488"/>
  <c r="AA22" i="9488"/>
  <c r="AC22" i="9488"/>
  <c r="AE22" i="9488"/>
  <c r="B21" i="9488"/>
  <c r="B23" i="9488" s="1"/>
  <c r="B25" i="9488" s="1"/>
  <c r="B27" i="9488" s="1"/>
  <c r="D21" i="9488"/>
  <c r="D23" i="9488" s="1"/>
  <c r="D25" i="9488" s="1"/>
  <c r="D27" i="9488" s="1"/>
  <c r="F21" i="9488"/>
  <c r="F23" i="9488" s="1"/>
  <c r="F25" i="9488" s="1"/>
  <c r="F26" i="9488" s="1"/>
  <c r="H21" i="9488"/>
  <c r="H23" i="9488" s="1"/>
  <c r="H25" i="9488" s="1"/>
  <c r="H26" i="9488" s="1"/>
  <c r="J21" i="9488"/>
  <c r="J23" i="9488" s="1"/>
  <c r="J25" i="9488" s="1"/>
  <c r="J27" i="9488" s="1"/>
  <c r="L21" i="9488"/>
  <c r="L23" i="9488" s="1"/>
  <c r="L25" i="9488" s="1"/>
  <c r="L27" i="9488" s="1"/>
  <c r="N21" i="9488"/>
  <c r="N23" i="9488" s="1"/>
  <c r="N25" i="9488" s="1"/>
  <c r="N26" i="9488" s="1"/>
  <c r="AB21" i="9488"/>
  <c r="AB23" i="9488" s="1"/>
  <c r="AB25" i="9488" s="1"/>
  <c r="AB26" i="9488" s="1"/>
  <c r="AD21" i="9488"/>
  <c r="AD23" i="9488" s="1"/>
  <c r="AD25" i="9488" s="1"/>
  <c r="AD27" i="9488" s="1"/>
  <c r="C21" i="9488"/>
  <c r="C23" i="9488" s="1"/>
  <c r="C25" i="9488" s="1"/>
  <c r="C26" i="9488" s="1"/>
  <c r="E21" i="9488"/>
  <c r="E23" i="9488" s="1"/>
  <c r="E25" i="9488" s="1"/>
  <c r="E27" i="9488" s="1"/>
  <c r="G21" i="9488"/>
  <c r="G23" i="9488" s="1"/>
  <c r="G25" i="9488" s="1"/>
  <c r="G27" i="9488" s="1"/>
  <c r="I21" i="9488"/>
  <c r="I23" i="9488" s="1"/>
  <c r="I25" i="9488" s="1"/>
  <c r="I26" i="9488" s="1"/>
  <c r="K21" i="9488"/>
  <c r="K23" i="9488" s="1"/>
  <c r="K25" i="9488" s="1"/>
  <c r="K26" i="9488" s="1"/>
  <c r="M21" i="9488"/>
  <c r="M23" i="9488" s="1"/>
  <c r="M25" i="9488" s="1"/>
  <c r="M27" i="9488" s="1"/>
  <c r="AA21" i="9488"/>
  <c r="AA23" i="9488" s="1"/>
  <c r="AA25" i="9488" s="1"/>
  <c r="AA27" i="9488" s="1"/>
  <c r="AC21" i="9488"/>
  <c r="AC23" i="9488" s="1"/>
  <c r="AC25" i="9488" s="1"/>
  <c r="AC26" i="9488" s="1"/>
  <c r="AE21" i="9488"/>
  <c r="AE23" i="9488" s="1"/>
  <c r="AE25" i="9488" s="1"/>
  <c r="AE26" i="9488" s="1"/>
  <c r="O21" i="9488"/>
  <c r="O22" i="9488"/>
  <c r="B26" i="9488"/>
  <c r="B28" i="9488"/>
  <c r="F27" i="9488"/>
  <c r="J26" i="9488"/>
  <c r="J28" i="9488"/>
  <c r="N27" i="9488"/>
  <c r="AD26" i="9488"/>
  <c r="AD28" i="9488"/>
  <c r="G26" i="9488"/>
  <c r="K27" i="9488"/>
  <c r="AA28" i="9488"/>
  <c r="Q18" i="9488"/>
  <c r="P24" i="9488"/>
  <c r="D26" i="9488"/>
  <c r="H27" i="9488"/>
  <c r="L28" i="9488"/>
  <c r="E26" i="9488"/>
  <c r="E28" i="9488"/>
  <c r="I27" i="9488"/>
  <c r="M26" i="9488"/>
  <c r="M28" i="9488"/>
  <c r="AC27" i="9488"/>
  <c r="P20" i="9488"/>
  <c r="P19" i="9488"/>
  <c r="AB27" i="9488" l="1"/>
  <c r="L26" i="9488"/>
  <c r="D28" i="9488"/>
  <c r="AE27" i="9488"/>
  <c r="AA26" i="9488"/>
  <c r="G28" i="9488"/>
  <c r="C27" i="9488"/>
  <c r="AB28" i="9488"/>
  <c r="H28" i="9488"/>
  <c r="AE28" i="9488"/>
  <c r="K28" i="9488"/>
  <c r="C28" i="9488"/>
  <c r="O23" i="9488"/>
  <c r="O25" i="9488" s="1"/>
  <c r="O26" i="9488" s="1"/>
  <c r="AC28" i="9488"/>
  <c r="I28" i="9488"/>
  <c r="N28" i="9488"/>
  <c r="F28" i="9488"/>
  <c r="P21" i="9488"/>
  <c r="P22" i="9488"/>
  <c r="R18" i="9488"/>
  <c r="Q24" i="9488"/>
  <c r="Q20" i="9488"/>
  <c r="Q19" i="9488"/>
  <c r="O27" i="9488" l="1"/>
  <c r="O28" i="9488"/>
  <c r="P23" i="9488"/>
  <c r="P25" i="9488" s="1"/>
  <c r="P26" i="9488" s="1"/>
  <c r="Q21" i="9488"/>
  <c r="Q22" i="9488"/>
  <c r="S18" i="9488"/>
  <c r="R24" i="9488"/>
  <c r="R20" i="9488"/>
  <c r="R19" i="9488"/>
  <c r="P27" i="9488" l="1"/>
  <c r="P28" i="9488"/>
  <c r="Q23" i="9488"/>
  <c r="Q25" i="9488" s="1"/>
  <c r="Q26" i="9488" s="1"/>
  <c r="R21" i="9488"/>
  <c r="R22" i="9488"/>
  <c r="T18" i="9488"/>
  <c r="S24" i="9488"/>
  <c r="S20" i="9488"/>
  <c r="S19" i="9488"/>
  <c r="Q27" i="9488" l="1"/>
  <c r="Q28" i="9488"/>
  <c r="R23" i="9488"/>
  <c r="R25" i="9488" s="1"/>
  <c r="R26" i="9488" s="1"/>
  <c r="S21" i="9488"/>
  <c r="S22" i="9488"/>
  <c r="U18" i="9488"/>
  <c r="T24" i="9488"/>
  <c r="T20" i="9488"/>
  <c r="T19" i="9488"/>
  <c r="R27" i="9488" l="1"/>
  <c r="R28" i="9488"/>
  <c r="S23" i="9488"/>
  <c r="S25" i="9488" s="1"/>
  <c r="S26" i="9488" s="1"/>
  <c r="T21" i="9488"/>
  <c r="T22" i="9488"/>
  <c r="V18" i="9488"/>
  <c r="U24" i="9488"/>
  <c r="U20" i="9488"/>
  <c r="U19" i="9488"/>
  <c r="S27" i="9488" l="1"/>
  <c r="S28" i="9488"/>
  <c r="T23" i="9488"/>
  <c r="T25" i="9488" s="1"/>
  <c r="T26" i="9488" s="1"/>
  <c r="U21" i="9488"/>
  <c r="U22" i="9488"/>
  <c r="W18" i="9488"/>
  <c r="V24" i="9488"/>
  <c r="V20" i="9488"/>
  <c r="V19" i="9488"/>
  <c r="T27" i="9488" l="1"/>
  <c r="T28" i="9488"/>
  <c r="U23" i="9488"/>
  <c r="U25" i="9488" s="1"/>
  <c r="U26" i="9488" s="1"/>
  <c r="V21" i="9488"/>
  <c r="V22" i="9488"/>
  <c r="X18" i="9488"/>
  <c r="W24" i="9488"/>
  <c r="W20" i="9488"/>
  <c r="W19" i="9488"/>
  <c r="U27" i="9488" l="1"/>
  <c r="U28" i="9488"/>
  <c r="V23" i="9488"/>
  <c r="V25" i="9488" s="1"/>
  <c r="V26" i="9488" s="1"/>
  <c r="W21" i="9488"/>
  <c r="W22" i="9488"/>
  <c r="Y18" i="9488"/>
  <c r="X24" i="9488"/>
  <c r="X20" i="9488"/>
  <c r="X19" i="9488"/>
  <c r="V27" i="9488" l="1"/>
  <c r="V28" i="9488"/>
  <c r="W23" i="9488"/>
  <c r="W25" i="9488" s="1"/>
  <c r="W26" i="9488" s="1"/>
  <c r="X21" i="9488"/>
  <c r="X22" i="9488"/>
  <c r="Z18" i="9488"/>
  <c r="Y24" i="9488"/>
  <c r="Y20" i="9488"/>
  <c r="Y19" i="9488"/>
  <c r="W27" i="9488" l="1"/>
  <c r="W28" i="9488"/>
  <c r="X23" i="9488"/>
  <c r="X25" i="9488" s="1"/>
  <c r="X27" i="9488" s="1"/>
  <c r="Y21" i="9488"/>
  <c r="Y22" i="9488"/>
  <c r="Z24" i="9488"/>
  <c r="Z20" i="9488"/>
  <c r="Z19" i="9488"/>
  <c r="X26" i="9488" l="1"/>
  <c r="X28" i="9488"/>
  <c r="Y23" i="9488"/>
  <c r="Y25" i="9488" s="1"/>
  <c r="Y26" i="9488" s="1"/>
  <c r="Z21" i="9488"/>
  <c r="Z22" i="9488"/>
  <c r="Y27" i="9488" l="1"/>
  <c r="Y28" i="9488"/>
  <c r="Z23" i="9488"/>
  <c r="Z25" i="9488" s="1"/>
  <c r="Z26" i="9488" s="1"/>
  <c r="Z27" i="9488" l="1"/>
  <c r="Z28" i="9488"/>
</calcChain>
</file>

<file path=xl/sharedStrings.xml><?xml version="1.0" encoding="utf-8"?>
<sst xmlns="http://schemas.openxmlformats.org/spreadsheetml/2006/main" count="36" uniqueCount="33">
  <si>
    <t>CSTable</t>
  </si>
  <si>
    <t>Al (nH for 1t)</t>
  </si>
  <si>
    <t>f (MHz)</t>
  </si>
  <si>
    <t>µ'</t>
  </si>
  <si>
    <t>µ''</t>
  </si>
  <si>
    <t>N</t>
  </si>
  <si>
    <t>R</t>
  </si>
  <si>
    <t>X</t>
  </si>
  <si>
    <t>Cs (pF)</t>
  </si>
  <si>
    <t>2*pi*N^2*Al</t>
  </si>
  <si>
    <t>Rl</t>
  </si>
  <si>
    <t>Xl</t>
  </si>
  <si>
    <t>Yl</t>
  </si>
  <si>
    <t>Yc</t>
  </si>
  <si>
    <t>Z</t>
  </si>
  <si>
    <t>|Z|</t>
  </si>
  <si>
    <t>Inputs:</t>
  </si>
  <si>
    <t>Constants:</t>
  </si>
  <si>
    <t>Mix</t>
  </si>
  <si>
    <t>Calculated values:</t>
  </si>
  <si>
    <t>Module</t>
  </si>
  <si>
    <t>Version</t>
  </si>
  <si>
    <t>Date</t>
  </si>
  <si>
    <t>CubicSpline</t>
  </si>
  <si>
    <t>Copyright: Owen Duffy 2010. All rights reserved.</t>
  </si>
  <si>
    <t>Calculate impedance of ferrite cored inductor</t>
  </si>
  <si>
    <t>A method for estimating the impedance of a ferrite cored toroidal inductor at RF</t>
  </si>
  <si>
    <t>Reference:</t>
  </si>
  <si>
    <t>x</t>
  </si>
  <si>
    <t>µi</t>
  </si>
  <si>
    <t>L15</t>
  </si>
  <si>
    <t># L15 mix u'</t>
  </si>
  <si>
    <t># l15 mix u''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</si>
</sst>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000000"/>
  </numFmts>
  <fonts count="4" x14ac:knownFonts="1">
    <font>
      <sz val="10"/>
      <name val="Arial"/>
    </font>
    <font>
      <b/>
      <sz val="10"/>
      <name val="Arial"/>
      <family val="2"/>
    </font>
    <font>
      <b/>
      <sz val="16"/>
      <name val="Arial"/>
      <family val="2"/>
    </font>
    <font>
      <u/>
      <sz val="10"/>
      <color indexed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15">
    <xf numFmtId="0" fontId="0" fillId="0" borderId="0" xfId="0"/>
    <xf numFmtId="11" fontId="0" fillId="0" borderId="0" xfId="0" applyNumberFormat="1"/>
    <xf numFmtId="0" fontId="0" fillId="0" borderId="0" xfId="0" quotePrefix="1"/>
    <xf numFmtId="0" fontId="0" fillId="2" borderId="0" xfId="0" applyFill="1"/>
    <xf numFmtId="165" fontId="0" fillId="3" borderId="0" xfId="0" applyNumberFormat="1" applyFill="1"/>
    <xf numFmtId="1" fontId="0" fillId="3" borderId="0" xfId="0" applyNumberFormat="1" applyFill="1"/>
    <xf numFmtId="0" fontId="0" fillId="3" borderId="0" xfId="0" applyFill="1"/>
    <xf numFmtId="1" fontId="0" fillId="0" borderId="0" xfId="0" applyNumberFormat="1" applyFill="1"/>
    <xf numFmtId="0" fontId="1" fillId="0" borderId="0" xfId="0" applyFont="1"/>
    <xf numFmtId="0" fontId="2" fillId="0" borderId="0" xfId="0" applyFont="1"/>
    <xf numFmtId="164" fontId="0" fillId="2" borderId="0" xfId="0" applyNumberFormat="1" applyFill="1"/>
    <xf numFmtId="0" fontId="1" fillId="0" borderId="0" xfId="0" applyFont="1" applyAlignment="1">
      <alignment horizontal="right"/>
    </xf>
    <xf numFmtId="0" fontId="3" fillId="0" borderId="0" xfId="1" applyFont="1" applyAlignment="1" applyProtection="1"/>
    <xf numFmtId="14" fontId="0" fillId="0" borderId="0" xfId="0" applyNumberFormat="1"/>
    <xf numFmtId="0" fontId="0" fillId="0" borderId="1" xfId="0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7291000348655962"/>
          <c:y val="3.12500340598341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973319245564025E-2"/>
          <c:y val="0.14955373442920622"/>
          <c:w val="0.75250897564552388"/>
          <c:h val="0.70982220221623249"/>
        </c:manualLayout>
      </c:layout>
      <c:scatterChart>
        <c:scatterStyle val="lineMarker"/>
        <c:varyColors val="0"/>
        <c:ser>
          <c:idx val="0"/>
          <c:order val="0"/>
          <c:tx>
            <c:v>µ'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Mix!$A$6:$A$42</c:f>
              <c:numCache>
                <c:formatCode>General</c:formatCode>
                <c:ptCount val="37"/>
                <c:pt idx="0">
                  <c:v>1000000</c:v>
                </c:pt>
                <c:pt idx="1">
                  <c:v>1100000</c:v>
                </c:pt>
                <c:pt idx="2">
                  <c:v>1210000</c:v>
                </c:pt>
                <c:pt idx="3">
                  <c:v>1331000</c:v>
                </c:pt>
                <c:pt idx="4">
                  <c:v>1464100</c:v>
                </c:pt>
                <c:pt idx="5">
                  <c:v>1610510</c:v>
                </c:pt>
                <c:pt idx="6">
                  <c:v>1771561</c:v>
                </c:pt>
                <c:pt idx="7">
                  <c:v>1948717</c:v>
                </c:pt>
                <c:pt idx="8">
                  <c:v>2143589</c:v>
                </c:pt>
                <c:pt idx="9">
                  <c:v>2357948</c:v>
                </c:pt>
                <c:pt idx="10">
                  <c:v>2593742</c:v>
                </c:pt>
                <c:pt idx="11">
                  <c:v>2853117</c:v>
                </c:pt>
                <c:pt idx="12">
                  <c:v>3138428</c:v>
                </c:pt>
                <c:pt idx="13">
                  <c:v>3452271</c:v>
                </c:pt>
                <c:pt idx="14">
                  <c:v>3797498</c:v>
                </c:pt>
                <c:pt idx="15">
                  <c:v>4177248</c:v>
                </c:pt>
                <c:pt idx="16">
                  <c:v>4594973</c:v>
                </c:pt>
                <c:pt idx="17">
                  <c:v>5054470</c:v>
                </c:pt>
                <c:pt idx="18">
                  <c:v>5559917</c:v>
                </c:pt>
                <c:pt idx="19">
                  <c:v>6115909</c:v>
                </c:pt>
                <c:pt idx="20">
                  <c:v>6727500</c:v>
                </c:pt>
                <c:pt idx="21">
                  <c:v>7400250</c:v>
                </c:pt>
                <c:pt idx="22">
                  <c:v>8140275.0000000009</c:v>
                </c:pt>
                <c:pt idx="23">
                  <c:v>8954302</c:v>
                </c:pt>
                <c:pt idx="24">
                  <c:v>9849733</c:v>
                </c:pt>
                <c:pt idx="25">
                  <c:v>10834706</c:v>
                </c:pt>
                <c:pt idx="26">
                  <c:v>11918177</c:v>
                </c:pt>
                <c:pt idx="27">
                  <c:v>13109994</c:v>
                </c:pt>
                <c:pt idx="28">
                  <c:v>14420994</c:v>
                </c:pt>
                <c:pt idx="29">
                  <c:v>15863093</c:v>
                </c:pt>
                <c:pt idx="30">
                  <c:v>17449402</c:v>
                </c:pt>
                <c:pt idx="31">
                  <c:v>19194342</c:v>
                </c:pt>
                <c:pt idx="32">
                  <c:v>21113777</c:v>
                </c:pt>
                <c:pt idx="33">
                  <c:v>23225154</c:v>
                </c:pt>
                <c:pt idx="34">
                  <c:v>25547670</c:v>
                </c:pt>
                <c:pt idx="35">
                  <c:v>28102437</c:v>
                </c:pt>
                <c:pt idx="36">
                  <c:v>30912681</c:v>
                </c:pt>
              </c:numCache>
            </c:numRef>
          </c:xVal>
          <c:yVal>
            <c:numRef>
              <c:f>Mix!$B$6:$B$42</c:f>
              <c:numCache>
                <c:formatCode>General</c:formatCode>
                <c:ptCount val="37"/>
                <c:pt idx="0">
                  <c:v>1276.546112</c:v>
                </c:pt>
                <c:pt idx="1">
                  <c:v>1243.130737</c:v>
                </c:pt>
                <c:pt idx="2">
                  <c:v>1212.3987810000001</c:v>
                </c:pt>
                <c:pt idx="3">
                  <c:v>1183.654659</c:v>
                </c:pt>
                <c:pt idx="4">
                  <c:v>1156.133454</c:v>
                </c:pt>
                <c:pt idx="5">
                  <c:v>1128.9756030000001</c:v>
                </c:pt>
                <c:pt idx="6">
                  <c:v>1100.790849</c:v>
                </c:pt>
                <c:pt idx="7">
                  <c:v>1068.3763919999999</c:v>
                </c:pt>
                <c:pt idx="8">
                  <c:v>1027.4969960000001</c:v>
                </c:pt>
                <c:pt idx="9">
                  <c:v>973.95892700000002</c:v>
                </c:pt>
                <c:pt idx="10">
                  <c:v>914.072226</c:v>
                </c:pt>
                <c:pt idx="11">
                  <c:v>863.16416600000002</c:v>
                </c:pt>
                <c:pt idx="12">
                  <c:v>830.78607099999999</c:v>
                </c:pt>
                <c:pt idx="13">
                  <c:v>802.06490899999994</c:v>
                </c:pt>
                <c:pt idx="14">
                  <c:v>763.569299</c:v>
                </c:pt>
                <c:pt idx="15">
                  <c:v>728.58331299999998</c:v>
                </c:pt>
                <c:pt idx="16">
                  <c:v>702.31694900000002</c:v>
                </c:pt>
                <c:pt idx="17">
                  <c:v>671.14411500000006</c:v>
                </c:pt>
                <c:pt idx="18">
                  <c:v>641.266481</c:v>
                </c:pt>
                <c:pt idx="19">
                  <c:v>609.42852100000005</c:v>
                </c:pt>
                <c:pt idx="20">
                  <c:v>581.00250300000005</c:v>
                </c:pt>
                <c:pt idx="21">
                  <c:v>553.90997700000003</c:v>
                </c:pt>
                <c:pt idx="22">
                  <c:v>522.67796499999997</c:v>
                </c:pt>
                <c:pt idx="23">
                  <c:v>489.66089599999998</c:v>
                </c:pt>
                <c:pt idx="24">
                  <c:v>457.80469900000003</c:v>
                </c:pt>
                <c:pt idx="25">
                  <c:v>428.68042600000001</c:v>
                </c:pt>
                <c:pt idx="26">
                  <c:v>399.27716099999998</c:v>
                </c:pt>
                <c:pt idx="27">
                  <c:v>369.93007799999998</c:v>
                </c:pt>
                <c:pt idx="28">
                  <c:v>343.342624</c:v>
                </c:pt>
                <c:pt idx="29">
                  <c:v>316.96901200000002</c:v>
                </c:pt>
                <c:pt idx="30">
                  <c:v>292.38766099999998</c:v>
                </c:pt>
                <c:pt idx="31">
                  <c:v>270.94708500000002</c:v>
                </c:pt>
                <c:pt idx="32">
                  <c:v>252.73023699999999</c:v>
                </c:pt>
                <c:pt idx="33">
                  <c:v>238.41927699999999</c:v>
                </c:pt>
                <c:pt idx="34">
                  <c:v>224.60302200000001</c:v>
                </c:pt>
                <c:pt idx="35">
                  <c:v>211.62143800000001</c:v>
                </c:pt>
                <c:pt idx="36">
                  <c:v>196.95827299999999</c:v>
                </c:pt>
              </c:numCache>
            </c:numRef>
          </c:yVal>
          <c:smooth val="0"/>
        </c:ser>
        <c:ser>
          <c:idx val="1"/>
          <c:order val="1"/>
          <c:tx>
            <c:v>µ''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Mix!$J$6:$J$42</c:f>
              <c:numCache>
                <c:formatCode>General</c:formatCode>
                <c:ptCount val="37"/>
                <c:pt idx="0">
                  <c:v>1000000</c:v>
                </c:pt>
                <c:pt idx="1">
                  <c:v>1100000</c:v>
                </c:pt>
                <c:pt idx="2">
                  <c:v>1210000</c:v>
                </c:pt>
                <c:pt idx="3">
                  <c:v>1331000</c:v>
                </c:pt>
                <c:pt idx="4">
                  <c:v>1464100</c:v>
                </c:pt>
                <c:pt idx="5">
                  <c:v>1610510</c:v>
                </c:pt>
                <c:pt idx="6">
                  <c:v>1771561</c:v>
                </c:pt>
                <c:pt idx="7">
                  <c:v>1948717</c:v>
                </c:pt>
                <c:pt idx="8">
                  <c:v>2143589</c:v>
                </c:pt>
                <c:pt idx="9">
                  <c:v>2357948</c:v>
                </c:pt>
                <c:pt idx="10">
                  <c:v>2593742</c:v>
                </c:pt>
                <c:pt idx="11">
                  <c:v>2853117</c:v>
                </c:pt>
                <c:pt idx="12">
                  <c:v>3138428</c:v>
                </c:pt>
                <c:pt idx="13">
                  <c:v>3452271</c:v>
                </c:pt>
                <c:pt idx="14">
                  <c:v>3797498</c:v>
                </c:pt>
                <c:pt idx="15">
                  <c:v>4177248</c:v>
                </c:pt>
                <c:pt idx="16">
                  <c:v>4594973</c:v>
                </c:pt>
                <c:pt idx="17">
                  <c:v>5054470</c:v>
                </c:pt>
                <c:pt idx="18">
                  <c:v>5559917</c:v>
                </c:pt>
                <c:pt idx="19">
                  <c:v>6115909</c:v>
                </c:pt>
                <c:pt idx="20">
                  <c:v>6727500</c:v>
                </c:pt>
                <c:pt idx="21">
                  <c:v>7400250</c:v>
                </c:pt>
                <c:pt idx="22">
                  <c:v>8140275.0000000009</c:v>
                </c:pt>
                <c:pt idx="23">
                  <c:v>8954302</c:v>
                </c:pt>
                <c:pt idx="24">
                  <c:v>9849733</c:v>
                </c:pt>
                <c:pt idx="25">
                  <c:v>10834706</c:v>
                </c:pt>
                <c:pt idx="26">
                  <c:v>11918177</c:v>
                </c:pt>
                <c:pt idx="27">
                  <c:v>13109994</c:v>
                </c:pt>
                <c:pt idx="28">
                  <c:v>14420994</c:v>
                </c:pt>
                <c:pt idx="29">
                  <c:v>15863093</c:v>
                </c:pt>
                <c:pt idx="30">
                  <c:v>17449402</c:v>
                </c:pt>
                <c:pt idx="31">
                  <c:v>19194342</c:v>
                </c:pt>
                <c:pt idx="32">
                  <c:v>21113777</c:v>
                </c:pt>
                <c:pt idx="33">
                  <c:v>23225154</c:v>
                </c:pt>
                <c:pt idx="34">
                  <c:v>25547670</c:v>
                </c:pt>
                <c:pt idx="35">
                  <c:v>28102437</c:v>
                </c:pt>
                <c:pt idx="36">
                  <c:v>30912681</c:v>
                </c:pt>
              </c:numCache>
            </c:numRef>
          </c:xVal>
          <c:yVal>
            <c:numRef>
              <c:f>Mix!$K$6:$K$42</c:f>
              <c:numCache>
                <c:formatCode>General</c:formatCode>
                <c:ptCount val="37"/>
                <c:pt idx="0">
                  <c:v>44.589843000000002</c:v>
                </c:pt>
                <c:pt idx="1">
                  <c:v>120.107957</c:v>
                </c:pt>
                <c:pt idx="2">
                  <c:v>188.40241499999999</c:v>
                </c:pt>
                <c:pt idx="3">
                  <c:v>249.67312100000001</c:v>
                </c:pt>
                <c:pt idx="4">
                  <c:v>303.96773000000002</c:v>
                </c:pt>
                <c:pt idx="5">
                  <c:v>351.16350999999997</c:v>
                </c:pt>
                <c:pt idx="6">
                  <c:v>391.029065</c:v>
                </c:pt>
                <c:pt idx="7">
                  <c:v>423.456028</c:v>
                </c:pt>
                <c:pt idx="8">
                  <c:v>448.24836099999999</c:v>
                </c:pt>
                <c:pt idx="9">
                  <c:v>465.25512700000002</c:v>
                </c:pt>
                <c:pt idx="10">
                  <c:v>476.80275799999998</c:v>
                </c:pt>
                <c:pt idx="11">
                  <c:v>487.38207599999998</c:v>
                </c:pt>
                <c:pt idx="12">
                  <c:v>499.44848999999999</c:v>
                </c:pt>
                <c:pt idx="13">
                  <c:v>507.43840799999998</c:v>
                </c:pt>
                <c:pt idx="14">
                  <c:v>506.317522</c:v>
                </c:pt>
                <c:pt idx="15">
                  <c:v>500.48668099999998</c:v>
                </c:pt>
                <c:pt idx="16">
                  <c:v>495.28581600000001</c:v>
                </c:pt>
                <c:pt idx="17">
                  <c:v>492.430069</c:v>
                </c:pt>
                <c:pt idx="18">
                  <c:v>485.077585</c:v>
                </c:pt>
                <c:pt idx="19">
                  <c:v>474.19557300000002</c:v>
                </c:pt>
                <c:pt idx="20">
                  <c:v>467.54552100000001</c:v>
                </c:pt>
                <c:pt idx="21">
                  <c:v>460.98645099999999</c:v>
                </c:pt>
                <c:pt idx="22">
                  <c:v>449.66342100000003</c:v>
                </c:pt>
                <c:pt idx="23">
                  <c:v>437.40327100000002</c:v>
                </c:pt>
                <c:pt idx="24">
                  <c:v>424.63634300000001</c:v>
                </c:pt>
                <c:pt idx="25">
                  <c:v>411.87770499999999</c:v>
                </c:pt>
                <c:pt idx="26">
                  <c:v>398.384794</c:v>
                </c:pt>
                <c:pt idx="27">
                  <c:v>381.182838</c:v>
                </c:pt>
                <c:pt idx="28">
                  <c:v>365.46895699999999</c:v>
                </c:pt>
                <c:pt idx="29">
                  <c:v>346.97843</c:v>
                </c:pt>
                <c:pt idx="30">
                  <c:v>328.670097</c:v>
                </c:pt>
                <c:pt idx="31">
                  <c:v>310.81484499999999</c:v>
                </c:pt>
                <c:pt idx="32">
                  <c:v>292.59677099999999</c:v>
                </c:pt>
                <c:pt idx="33">
                  <c:v>279.25739600000003</c:v>
                </c:pt>
                <c:pt idx="34">
                  <c:v>267.33541000000002</c:v>
                </c:pt>
                <c:pt idx="35">
                  <c:v>253.672482</c:v>
                </c:pt>
                <c:pt idx="36">
                  <c:v>237.330242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4018768"/>
        <c:axId val="526045656"/>
      </c:scatterChart>
      <c:valAx>
        <c:axId val="534018768"/>
        <c:scaling>
          <c:logBase val="10"/>
          <c:orientation val="minMax"/>
          <c:min val="1000000"/>
        </c:scaling>
        <c:delete val="0"/>
        <c:axPos val="b"/>
        <c:title>
          <c:tx>
            <c:rich>
              <a:bodyPr/>
              <a:lstStyle/>
              <a:p>
                <a:pPr>
                  <a:defRPr sz="8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Freqency (Hz)</a:t>
                </a:r>
              </a:p>
            </c:rich>
          </c:tx>
          <c:layout>
            <c:manualLayout>
              <c:xMode val="edge"/>
              <c:yMode val="edge"/>
              <c:x val="0.40301036251238054"/>
              <c:y val="0.9196438594751188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6045656"/>
        <c:crosses val="autoZero"/>
        <c:crossBetween val="midCat"/>
      </c:valAx>
      <c:valAx>
        <c:axId val="526045656"/>
        <c:scaling>
          <c:logBase val="10"/>
          <c:orientation val="minMax"/>
          <c:min val="1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40187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8161513444"/>
          <c:y val="0.46205407502754758"/>
          <c:w val="7.5250897564552388E-2"/>
          <c:h val="8.705366630953795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1671490968"/>
          <c:y val="3.12500340598341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41816260758731"/>
          <c:y val="0.14508944384922992"/>
          <c:w val="0.74582000697311923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'LO1238'!$A$26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'LO1238'!$B$18:$AE$18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'LO1238'!$B$26:$AE$26</c:f>
              <c:numCache>
                <c:formatCode>0</c:formatCode>
                <c:ptCount val="30"/>
                <c:pt idx="0">
                  <c:v>24.239449215603798</c:v>
                </c:pt>
                <c:pt idx="1">
                  <c:v>120.19095202986701</c:v>
                </c:pt>
                <c:pt idx="2">
                  <c:v>403.74521356181299</c:v>
                </c:pt>
                <c:pt idx="3">
                  <c:v>492.78595808873598</c:v>
                </c:pt>
                <c:pt idx="4">
                  <c:v>694.73690729108603</c:v>
                </c:pt>
                <c:pt idx="5">
                  <c:v>897.26468101683804</c:v>
                </c:pt>
                <c:pt idx="6">
                  <c:v>1117.6673937173</c:v>
                </c:pt>
                <c:pt idx="7">
                  <c:v>1313.42346093575</c:v>
                </c:pt>
                <c:pt idx="8">
                  <c:v>1519.68825432926</c:v>
                </c:pt>
                <c:pt idx="9">
                  <c:v>1751.7203659693701</c:v>
                </c:pt>
                <c:pt idx="10">
                  <c:v>1988.0689932407299</c:v>
                </c:pt>
                <c:pt idx="11">
                  <c:v>2221.6270760474799</c:v>
                </c:pt>
                <c:pt idx="12">
                  <c:v>2776.9181889286901</c:v>
                </c:pt>
                <c:pt idx="13">
                  <c:v>3358.0203656960698</c:v>
                </c:pt>
                <c:pt idx="14">
                  <c:v>3902.4878686952902</c:v>
                </c:pt>
                <c:pt idx="15">
                  <c:v>4401.5152515531399</c:v>
                </c:pt>
                <c:pt idx="16">
                  <c:v>4817.1204032756305</c:v>
                </c:pt>
                <c:pt idx="17">
                  <c:v>5061.5846171398698</c:v>
                </c:pt>
                <c:pt idx="18">
                  <c:v>5121.7698941805402</c:v>
                </c:pt>
                <c:pt idx="19">
                  <c:v>5033.2373045197501</c:v>
                </c:pt>
                <c:pt idx="20">
                  <c:v>4811.0330130952798</c:v>
                </c:pt>
                <c:pt idx="21">
                  <c:v>4504.5826730030403</c:v>
                </c:pt>
                <c:pt idx="22">
                  <c:v>4152.8512439917904</c:v>
                </c:pt>
                <c:pt idx="23">
                  <c:v>3787.0346101916002</c:v>
                </c:pt>
                <c:pt idx="24">
                  <c:v>3431.1569184528098</c:v>
                </c:pt>
                <c:pt idx="25">
                  <c:v>2498.9701916113399</c:v>
                </c:pt>
                <c:pt idx="26">
                  <c:v>1984.4223308871599</c:v>
                </c:pt>
                <c:pt idx="27">
                  <c:v>1589.21482981748</c:v>
                </c:pt>
                <c:pt idx="28">
                  <c:v>1293.8715669252099</c:v>
                </c:pt>
                <c:pt idx="29">
                  <c:v>1076.74630812856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'LO1238'!$A$27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'LO1238'!$B$18:$AE$18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'LO1238'!$B$27:$AE$27</c:f>
              <c:numCache>
                <c:formatCode>0</c:formatCode>
                <c:ptCount val="30"/>
                <c:pt idx="0">
                  <c:v>686.52947115764198</c:v>
                </c:pt>
                <c:pt idx="1">
                  <c:v>786.981933883745</c:v>
                </c:pt>
                <c:pt idx="2">
                  <c:v>1077.0697106136899</c:v>
                </c:pt>
                <c:pt idx="3">
                  <c:v>1160.12855016596</c:v>
                </c:pt>
                <c:pt idx="4">
                  <c:v>1292.5908184125799</c:v>
                </c:pt>
                <c:pt idx="5">
                  <c:v>1403.51280436817</c:v>
                </c:pt>
                <c:pt idx="6">
                  <c:v>1552.96623619398</c:v>
                </c:pt>
                <c:pt idx="7">
                  <c:v>1658.2090145974901</c:v>
                </c:pt>
                <c:pt idx="8">
                  <c:v>1781.32640260583</c:v>
                </c:pt>
                <c:pt idx="9">
                  <c:v>1879.72921375805</c:v>
                </c:pt>
                <c:pt idx="10">
                  <c:v>1962.06115125476</c:v>
                </c:pt>
                <c:pt idx="11">
                  <c:v>2022.09854925727</c:v>
                </c:pt>
                <c:pt idx="12">
                  <c:v>2078.8770434696899</c:v>
                </c:pt>
                <c:pt idx="13">
                  <c:v>2005.4928441878001</c:v>
                </c:pt>
                <c:pt idx="14">
                  <c:v>1765.8657587472401</c:v>
                </c:pt>
                <c:pt idx="15">
                  <c:v>1377.3780476914701</c:v>
                </c:pt>
                <c:pt idx="16">
                  <c:v>849.87964008088704</c:v>
                </c:pt>
                <c:pt idx="17">
                  <c:v>221.644754984071</c:v>
                </c:pt>
                <c:pt idx="18">
                  <c:v>-406.04519899170202</c:v>
                </c:pt>
                <c:pt idx="19">
                  <c:v>-1027.6023975846499</c:v>
                </c:pt>
                <c:pt idx="20">
                  <c:v>-1566.6575558126101</c:v>
                </c:pt>
                <c:pt idx="21">
                  <c:v>-1986.1273587537401</c:v>
                </c:pt>
                <c:pt idx="22">
                  <c:v>-2310.7115340639998</c:v>
                </c:pt>
                <c:pt idx="23">
                  <c:v>-2548.8603858015099</c:v>
                </c:pt>
                <c:pt idx="24">
                  <c:v>-2710.5739425838301</c:v>
                </c:pt>
                <c:pt idx="25">
                  <c:v>-2885.2491827899798</c:v>
                </c:pt>
                <c:pt idx="26">
                  <c:v>-2839.52292426943</c:v>
                </c:pt>
                <c:pt idx="27">
                  <c:v>-2719.47675029112</c:v>
                </c:pt>
                <c:pt idx="28">
                  <c:v>-2576.5445341058899</c:v>
                </c:pt>
                <c:pt idx="29">
                  <c:v>-2425.5488384810401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'LO1238'!$A$28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'LO1238'!$B$18:$AE$18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'LO1238'!$B$28:$AE$28</c:f>
              <c:numCache>
                <c:formatCode>0</c:formatCode>
                <c:ptCount val="30"/>
                <c:pt idx="0">
                  <c:v>686.95725170222022</c:v>
                </c:pt>
                <c:pt idx="1">
                  <c:v>796.10704632558372</c:v>
                </c:pt>
                <c:pt idx="2">
                  <c:v>1150.2562144998531</c:v>
                </c:pt>
                <c:pt idx="3">
                  <c:v>1260.4508135582307</c:v>
                </c:pt>
                <c:pt idx="4">
                  <c:v>1467.4639328436274</c:v>
                </c:pt>
                <c:pt idx="5">
                  <c:v>1665.8127445261225</c:v>
                </c:pt>
                <c:pt idx="6">
                  <c:v>1913.3438096006998</c:v>
                </c:pt>
                <c:pt idx="7">
                  <c:v>2115.3577295173559</c:v>
                </c:pt>
                <c:pt idx="8">
                  <c:v>2341.4901543604537</c:v>
                </c:pt>
                <c:pt idx="9">
                  <c:v>2569.4174743718308</c:v>
                </c:pt>
                <c:pt idx="10">
                  <c:v>2793.2243524551272</c:v>
                </c:pt>
                <c:pt idx="11">
                  <c:v>3004.0821240331684</c:v>
                </c:pt>
                <c:pt idx="12">
                  <c:v>3468.8621174483533</c:v>
                </c:pt>
                <c:pt idx="13">
                  <c:v>3911.304427491938</c:v>
                </c:pt>
                <c:pt idx="14">
                  <c:v>4283.4207642058564</c:v>
                </c:pt>
                <c:pt idx="15">
                  <c:v>4611.9959665981141</c:v>
                </c:pt>
                <c:pt idx="16">
                  <c:v>4891.5175950085668</c:v>
                </c:pt>
                <c:pt idx="17">
                  <c:v>5066.4351603350178</c:v>
                </c:pt>
                <c:pt idx="18">
                  <c:v>5137.8399695356757</c:v>
                </c:pt>
                <c:pt idx="19">
                  <c:v>5137.0657433140723</c:v>
                </c:pt>
                <c:pt idx="20">
                  <c:v>5059.6891752633774</c:v>
                </c:pt>
                <c:pt idx="21">
                  <c:v>4923.0038536557458</c:v>
                </c:pt>
                <c:pt idx="22">
                  <c:v>4752.4268798562871</c:v>
                </c:pt>
                <c:pt idx="23">
                  <c:v>4564.9009195268709</c:v>
                </c:pt>
                <c:pt idx="24">
                  <c:v>4372.6478130831701</c:v>
                </c:pt>
                <c:pt idx="25">
                  <c:v>3817.0033881766813</c:v>
                </c:pt>
                <c:pt idx="26">
                  <c:v>3464.2203198952639</c:v>
                </c:pt>
                <c:pt idx="27">
                  <c:v>3149.786908774267</c:v>
                </c:pt>
                <c:pt idx="28">
                  <c:v>2883.1727953642385</c:v>
                </c:pt>
                <c:pt idx="29">
                  <c:v>2653.8028901795265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6119512"/>
        <c:axId val="526119904"/>
      </c:scatterChart>
      <c:valAx>
        <c:axId val="526119512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1806054202529103"/>
              <c:y val="0.9196438594751188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6119904"/>
        <c:crosses val="autoZero"/>
        <c:crossBetween val="midCat"/>
      </c:valAx>
      <c:valAx>
        <c:axId val="526119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74689618625E-2"/>
              <c:y val="0.4241076050977489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6119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69973944703331"/>
          <c:y val="0.45758978444757131"/>
          <c:w val="7.692313973265355E-2"/>
          <c:h val="0.1294644268193128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9799363600807708"/>
          <c:y val="3.12500340598341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1939866236957037E-2"/>
          <c:y val="0.14508944384922992"/>
          <c:w val="0.79097054551185064"/>
          <c:h val="0.71428649279620882"/>
        </c:manualLayout>
      </c:layout>
      <c:scatterChart>
        <c:scatterStyle val="lineMarker"/>
        <c:varyColors val="0"/>
        <c:ser>
          <c:idx val="0"/>
          <c:order val="0"/>
          <c:tx>
            <c:strRef>
              <c:f>'LO1238'!$A$19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'LO1238'!$B$18:$AE$18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'LO1238'!$B$19:$AE$19</c:f>
              <c:numCache>
                <c:formatCode>0</c:formatCode>
                <c:ptCount val="30"/>
                <c:pt idx="0">
                  <c:v>44.589843000000002</c:v>
                </c:pt>
                <c:pt idx="1">
                  <c:v>182.77975122763436</c:v>
                </c:pt>
                <c:pt idx="2">
                  <c:v>396.96736570698226</c:v>
                </c:pt>
                <c:pt idx="3">
                  <c:v>430.99041407570166</c:v>
                </c:pt>
                <c:pt idx="4">
                  <c:v>472.72725384950843</c:v>
                </c:pt>
                <c:pt idx="5">
                  <c:v>493.76360178962989</c:v>
                </c:pt>
                <c:pt idx="6">
                  <c:v>507.83440686771024</c:v>
                </c:pt>
                <c:pt idx="7">
                  <c:v>503.34910377855471</c:v>
                </c:pt>
                <c:pt idx="8">
                  <c:v>496.1646169419484</c:v>
                </c:pt>
                <c:pt idx="9">
                  <c:v>492.85728858691556</c:v>
                </c:pt>
                <c:pt idx="10">
                  <c:v>486.20946075960495</c:v>
                </c:pt>
                <c:pt idx="11">
                  <c:v>476.21722845801037</c:v>
                </c:pt>
                <c:pt idx="12">
                  <c:v>465.21745550550844</c:v>
                </c:pt>
                <c:pt idx="13">
                  <c:v>451.93343690824571</c:v>
                </c:pt>
                <c:pt idx="14">
                  <c:v>436.73838443465309</c:v>
                </c:pt>
                <c:pt idx="15">
                  <c:v>422.59121047009216</c:v>
                </c:pt>
                <c:pt idx="16">
                  <c:v>409.87399357442223</c:v>
                </c:pt>
                <c:pt idx="17">
                  <c:v>397.25116090279914</c:v>
                </c:pt>
                <c:pt idx="18">
                  <c:v>382.68783806490291</c:v>
                </c:pt>
                <c:pt idx="19">
                  <c:v>370.39317203192849</c:v>
                </c:pt>
                <c:pt idx="20">
                  <c:v>358.17768253116998</c:v>
                </c:pt>
                <c:pt idx="21">
                  <c:v>345.26519710027696</c:v>
                </c:pt>
                <c:pt idx="22">
                  <c:v>333.55576390056382</c:v>
                </c:pt>
                <c:pt idx="23">
                  <c:v>322.90961084683465</c:v>
                </c:pt>
                <c:pt idx="24">
                  <c:v>312.77584267562997</c:v>
                </c:pt>
                <c:pt idx="25">
                  <c:v>286.25698172954156</c:v>
                </c:pt>
                <c:pt idx="26">
                  <c:v>275.22334749579818</c:v>
                </c:pt>
                <c:pt idx="27">
                  <c:v>264.99917161542123</c:v>
                </c:pt>
                <c:pt idx="28">
                  <c:v>254.24510252122312</c:v>
                </c:pt>
                <c:pt idx="29">
                  <c:v>242.72491359941424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'LO1238'!$A$20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'LO1238'!$B$18:$AE$18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'LO1238'!$B$20:$AE$20</c:f>
              <c:numCache>
                <c:formatCode>0</c:formatCode>
                <c:ptCount val="30"/>
                <c:pt idx="0">
                  <c:v>1276.546112</c:v>
                </c:pt>
                <c:pt idx="1">
                  <c:v>1214.9663088499879</c:v>
                </c:pt>
                <c:pt idx="2">
                  <c:v>1095.7699304386274</c:v>
                </c:pt>
                <c:pt idx="3">
                  <c:v>1058.3006801238837</c:v>
                </c:pt>
                <c:pt idx="4">
                  <c:v>937.07338583261617</c:v>
                </c:pt>
                <c:pt idx="5">
                  <c:v>844.31143272842257</c:v>
                </c:pt>
                <c:pt idx="6">
                  <c:v>797.07104693964345</c:v>
                </c:pt>
                <c:pt idx="7">
                  <c:v>743.2315028759557</c:v>
                </c:pt>
                <c:pt idx="8">
                  <c:v>708.11562731820959</c:v>
                </c:pt>
                <c:pt idx="9">
                  <c:v>674.76004158958858</c:v>
                </c:pt>
                <c:pt idx="10">
                  <c:v>644.69782745190764</c:v>
                </c:pt>
                <c:pt idx="11">
                  <c:v>615.76489165790952</c:v>
                </c:pt>
                <c:pt idx="12">
                  <c:v>569.93329882179773</c:v>
                </c:pt>
                <c:pt idx="13">
                  <c:v>528.63431875196375</c:v>
                </c:pt>
                <c:pt idx="14">
                  <c:v>487.90737687842227</c:v>
                </c:pt>
                <c:pt idx="15">
                  <c:v>453.02901971474984</c:v>
                </c:pt>
                <c:pt idx="16">
                  <c:v>424.08678144289115</c:v>
                </c:pt>
                <c:pt idx="17">
                  <c:v>397.13409443577063</c:v>
                </c:pt>
                <c:pt idx="18">
                  <c:v>372.42360842540705</c:v>
                </c:pt>
                <c:pt idx="19">
                  <c:v>351.44405278920402</c:v>
                </c:pt>
                <c:pt idx="20">
                  <c:v>332.43868131495361</c:v>
                </c:pt>
                <c:pt idx="21">
                  <c:v>314.64088750897349</c:v>
                </c:pt>
                <c:pt idx="22">
                  <c:v>298.82400395028014</c:v>
                </c:pt>
                <c:pt idx="23">
                  <c:v>285.05111068540396</c:v>
                </c:pt>
                <c:pt idx="24">
                  <c:v>273.0924680210851</c:v>
                </c:pt>
                <c:pt idx="25">
                  <c:v>246.2382045710138</c:v>
                </c:pt>
                <c:pt idx="26">
                  <c:v>233.65158287686597</c:v>
                </c:pt>
                <c:pt idx="27">
                  <c:v>222.1746689170802</c:v>
                </c:pt>
                <c:pt idx="28">
                  <c:v>212.13405905712722</c:v>
                </c:pt>
                <c:pt idx="29">
                  <c:v>201.35610574452863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1388728"/>
        <c:axId val="534952064"/>
      </c:scatterChart>
      <c:valAx>
        <c:axId val="531388728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632139383997589"/>
              <c:y val="0.9196438594751188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4952064"/>
        <c:crosses val="autoZero"/>
        <c:crossBetween val="midCat"/>
      </c:valAx>
      <c:valAx>
        <c:axId val="5349520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13887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8161513444"/>
          <c:y val="0.45982192973755942"/>
          <c:w val="7.5250897564552388E-2"/>
          <c:h val="8.705366630953795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419100</xdr:colOff>
      <xdr:row>9</xdr:row>
      <xdr:rowOff>9525</xdr:rowOff>
    </xdr:from>
    <xdr:to>
      <xdr:col>15</xdr:col>
      <xdr:colOff>285750</xdr:colOff>
      <xdr:row>35</xdr:row>
      <xdr:rowOff>66675</xdr:rowOff>
    </xdr:to>
    <xdr:graphicFrame macro="">
      <xdr:nvGraphicFramePr>
        <xdr:cNvPr id="1331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85725</xdr:colOff>
      <xdr:row>0</xdr:row>
      <xdr:rowOff>209550</xdr:rowOff>
    </xdr:from>
    <xdr:to>
      <xdr:col>15</xdr:col>
      <xdr:colOff>295275</xdr:colOff>
      <xdr:row>27</xdr:row>
      <xdr:rowOff>9525</xdr:rowOff>
    </xdr:to>
    <xdr:graphicFrame macro="">
      <xdr:nvGraphicFramePr>
        <xdr:cNvPr id="1228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50</xdr:row>
      <xdr:rowOff>9525</xdr:rowOff>
    </xdr:from>
    <xdr:to>
      <xdr:col>13</xdr:col>
      <xdr:colOff>209550</xdr:colOff>
      <xdr:row>76</xdr:row>
      <xdr:rowOff>66675</xdr:rowOff>
    </xdr:to>
    <xdr:graphicFrame macro="">
      <xdr:nvGraphicFramePr>
        <xdr:cNvPr id="1229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://vk1od.net/blog/?p=80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71"/>
  <sheetViews>
    <sheetView workbookViewId="0">
      <selection activeCell="C3" sqref="C3"/>
    </sheetView>
  </sheetViews>
  <sheetFormatPr defaultRowHeight="12.75" x14ac:dyDescent="0.2"/>
  <cols>
    <col min="5" max="5" width="10" bestFit="1" customWidth="1"/>
    <col min="6" max="6" width="9.28515625" bestFit="1" customWidth="1"/>
    <col min="7" max="7" width="13.140625" bestFit="1" customWidth="1"/>
    <col min="14" max="14" width="10" bestFit="1" customWidth="1"/>
    <col min="15" max="15" width="9.42578125" bestFit="1" customWidth="1"/>
    <col min="16" max="16" width="13.28515625" bestFit="1" customWidth="1"/>
  </cols>
  <sheetData>
    <row r="1" spans="1:16" x14ac:dyDescent="0.2">
      <c r="A1" t="s">
        <v>18</v>
      </c>
      <c r="B1" t="s">
        <v>30</v>
      </c>
    </row>
    <row r="2" spans="1:16" x14ac:dyDescent="0.2">
      <c r="A2" t="s">
        <v>29</v>
      </c>
      <c r="B2">
        <v>1100</v>
      </c>
    </row>
    <row r="5" spans="1:16" x14ac:dyDescent="0.2">
      <c r="A5" t="s">
        <v>31</v>
      </c>
      <c r="E5" s="14" t="s">
        <v>0</v>
      </c>
      <c r="F5" s="14"/>
      <c r="G5" s="14"/>
      <c r="J5" t="s">
        <v>32</v>
      </c>
      <c r="N5" s="14" t="s">
        <v>0</v>
      </c>
      <c r="O5" s="14"/>
      <c r="P5" s="14"/>
    </row>
    <row r="6" spans="1:16" x14ac:dyDescent="0.2">
      <c r="A6">
        <v>1000000</v>
      </c>
      <c r="B6">
        <v>1276.546112</v>
      </c>
      <c r="E6">
        <f t="array" ref="E6:G42">cstable(A6:A42,B6:B42)</f>
        <v>1000000</v>
      </c>
      <c r="F6">
        <v>1276.546112</v>
      </c>
      <c r="G6">
        <v>0</v>
      </c>
      <c r="J6">
        <v>1000000</v>
      </c>
      <c r="K6">
        <v>44.589843000000002</v>
      </c>
      <c r="N6">
        <f t="array" ref="N6:P42">cstable(Mix!J6:J42,Mix!K6:K42)</f>
        <v>1000000</v>
      </c>
      <c r="O6">
        <v>44.589843000000002</v>
      </c>
      <c r="P6">
        <v>0</v>
      </c>
    </row>
    <row r="7" spans="1:16" x14ac:dyDescent="0.2">
      <c r="A7">
        <v>1100000</v>
      </c>
      <c r="B7">
        <v>1243.130737</v>
      </c>
      <c r="E7">
        <v>1100000</v>
      </c>
      <c r="F7">
        <v>1243.130737</v>
      </c>
      <c r="G7">
        <v>7.0112674870976806E-10</v>
      </c>
      <c r="J7">
        <v>1100000</v>
      </c>
      <c r="K7">
        <v>120.107957</v>
      </c>
      <c r="N7">
        <v>1100000</v>
      </c>
      <c r="O7">
        <v>120.107957</v>
      </c>
      <c r="P7">
        <v>-1.6894433906321069E-9</v>
      </c>
    </row>
    <row r="8" spans="1:16" x14ac:dyDescent="0.2">
      <c r="A8">
        <v>1210000</v>
      </c>
      <c r="B8">
        <v>1212.3987810000001</v>
      </c>
      <c r="E8">
        <v>1210000</v>
      </c>
      <c r="F8">
        <v>1212.3987810000001</v>
      </c>
      <c r="G8">
        <v>3.1055233137271384E-10</v>
      </c>
      <c r="J8">
        <v>1210000</v>
      </c>
      <c r="K8">
        <v>188.40241499999999</v>
      </c>
      <c r="N8">
        <v>1210000</v>
      </c>
      <c r="O8">
        <v>188.40241499999999</v>
      </c>
      <c r="P8">
        <v>-8.7607601262782537E-10</v>
      </c>
    </row>
    <row r="9" spans="1:16" x14ac:dyDescent="0.2">
      <c r="A9">
        <v>1331000</v>
      </c>
      <c r="B9">
        <v>1183.654659</v>
      </c>
      <c r="E9">
        <v>1331000</v>
      </c>
      <c r="F9">
        <v>1183.654659</v>
      </c>
      <c r="G9">
        <v>2.5091757026666238E-10</v>
      </c>
      <c r="J9">
        <v>1331000</v>
      </c>
      <c r="K9">
        <v>249.67312100000001</v>
      </c>
      <c r="N9">
        <v>1331000</v>
      </c>
      <c r="O9">
        <v>249.67312100000001</v>
      </c>
      <c r="P9">
        <v>-7.9627716773210596E-10</v>
      </c>
    </row>
    <row r="10" spans="1:16" x14ac:dyDescent="0.2">
      <c r="A10">
        <v>1464100</v>
      </c>
      <c r="B10">
        <v>1156.133454</v>
      </c>
      <c r="E10">
        <v>1464100</v>
      </c>
      <c r="F10">
        <v>1156.133454</v>
      </c>
      <c r="G10">
        <v>1.4733210384642893E-10</v>
      </c>
      <c r="J10">
        <v>1464100</v>
      </c>
      <c r="K10">
        <v>303.96773000000002</v>
      </c>
      <c r="N10">
        <v>1464100</v>
      </c>
      <c r="O10">
        <v>303.96773000000002</v>
      </c>
      <c r="P10">
        <v>-6.0107416397458929E-10</v>
      </c>
    </row>
    <row r="11" spans="1:16" x14ac:dyDescent="0.2">
      <c r="A11">
        <v>1610510</v>
      </c>
      <c r="B11">
        <v>1128.9756030000001</v>
      </c>
      <c r="E11">
        <v>1610510</v>
      </c>
      <c r="F11">
        <v>1128.9756030000001</v>
      </c>
      <c r="G11">
        <v>8.1387466061646062E-11</v>
      </c>
      <c r="J11">
        <v>1610510</v>
      </c>
      <c r="K11">
        <v>351.16350999999997</v>
      </c>
      <c r="N11">
        <v>1610510</v>
      </c>
      <c r="O11">
        <v>351.16350999999997</v>
      </c>
      <c r="P11">
        <v>-4.87825041285726E-10</v>
      </c>
    </row>
    <row r="12" spans="1:16" x14ac:dyDescent="0.2">
      <c r="A12">
        <v>1771561</v>
      </c>
      <c r="B12">
        <v>1100.790849</v>
      </c>
      <c r="E12">
        <v>1771561</v>
      </c>
      <c r="F12">
        <v>1100.790849</v>
      </c>
      <c r="G12">
        <v>-5.4008123192942358E-11</v>
      </c>
      <c r="J12">
        <v>1771561</v>
      </c>
      <c r="K12">
        <v>391.029065</v>
      </c>
      <c r="N12">
        <v>1771561</v>
      </c>
      <c r="O12">
        <v>391.029065</v>
      </c>
      <c r="P12">
        <v>-3.7839665010901488E-10</v>
      </c>
    </row>
    <row r="13" spans="1:16" x14ac:dyDescent="0.2">
      <c r="A13">
        <v>1948717</v>
      </c>
      <c r="B13">
        <v>1068.3763919999999</v>
      </c>
      <c r="E13">
        <v>1948717</v>
      </c>
      <c r="F13">
        <v>1068.3763919999999</v>
      </c>
      <c r="G13">
        <v>-1.3757577064649103E-10</v>
      </c>
      <c r="J13">
        <v>1948717</v>
      </c>
      <c r="K13">
        <v>423.456028</v>
      </c>
      <c r="N13">
        <v>1948717</v>
      </c>
      <c r="O13">
        <v>423.456028</v>
      </c>
      <c r="P13">
        <v>-2.959750293586762E-10</v>
      </c>
    </row>
    <row r="14" spans="1:16" x14ac:dyDescent="0.2">
      <c r="A14">
        <v>2143589</v>
      </c>
      <c r="B14">
        <v>1027.4969960000001</v>
      </c>
      <c r="E14">
        <v>2143589</v>
      </c>
      <c r="F14">
        <v>1027.4969960000001</v>
      </c>
      <c r="G14">
        <v>-2.5090441980994685E-10</v>
      </c>
      <c r="J14">
        <v>2143589</v>
      </c>
      <c r="K14">
        <v>448.24836099999999</v>
      </c>
      <c r="N14">
        <v>2143589</v>
      </c>
      <c r="O14">
        <v>448.24836099999999</v>
      </c>
      <c r="P14">
        <v>-2.4452882018106363E-10</v>
      </c>
    </row>
    <row r="15" spans="1:16" x14ac:dyDescent="0.2">
      <c r="A15">
        <v>2357948</v>
      </c>
      <c r="B15">
        <v>973.95892700000002</v>
      </c>
      <c r="E15">
        <v>2357948</v>
      </c>
      <c r="F15">
        <v>973.95892700000002</v>
      </c>
      <c r="G15">
        <v>-3.6080899026544047E-11</v>
      </c>
      <c r="J15">
        <v>2357948</v>
      </c>
      <c r="K15">
        <v>465.25512700000002</v>
      </c>
      <c r="N15">
        <v>2357948</v>
      </c>
      <c r="O15">
        <v>465.25512700000002</v>
      </c>
      <c r="P15">
        <v>-1.3762259072266957E-10</v>
      </c>
    </row>
    <row r="16" spans="1:16" x14ac:dyDescent="0.2">
      <c r="A16">
        <v>2593742</v>
      </c>
      <c r="B16">
        <v>914.072226</v>
      </c>
      <c r="E16">
        <v>2593742</v>
      </c>
      <c r="F16">
        <v>914.072226</v>
      </c>
      <c r="G16">
        <v>2.5847769953896681E-10</v>
      </c>
      <c r="J16">
        <v>2593742</v>
      </c>
      <c r="K16">
        <v>476.80275799999998</v>
      </c>
      <c r="N16">
        <v>2593742</v>
      </c>
      <c r="O16">
        <v>476.80275799999998</v>
      </c>
      <c r="P16">
        <v>-2.4881560313405161E-11</v>
      </c>
    </row>
    <row r="17" spans="1:16" x14ac:dyDescent="0.2">
      <c r="A17">
        <v>2853117</v>
      </c>
      <c r="B17">
        <v>863.16416600000002</v>
      </c>
      <c r="E17">
        <v>2853117</v>
      </c>
      <c r="F17">
        <v>863.16416600000002</v>
      </c>
      <c r="G17">
        <v>3.8079439661395513E-10</v>
      </c>
      <c r="J17">
        <v>2853117</v>
      </c>
      <c r="K17">
        <v>487.38207599999998</v>
      </c>
      <c r="N17">
        <v>2853117</v>
      </c>
      <c r="O17">
        <v>487.38207599999998</v>
      </c>
      <c r="P17">
        <v>3.0757788521657112E-11</v>
      </c>
    </row>
    <row r="18" spans="1:16" x14ac:dyDescent="0.2">
      <c r="A18">
        <v>3138428</v>
      </c>
      <c r="B18">
        <v>830.78607099999999</v>
      </c>
      <c r="E18">
        <v>3138428</v>
      </c>
      <c r="F18">
        <v>830.78607099999999</v>
      </c>
      <c r="G18">
        <v>5.2089606412322203E-11</v>
      </c>
      <c r="J18">
        <v>3138428</v>
      </c>
      <c r="K18">
        <v>499.44848999999999</v>
      </c>
      <c r="N18">
        <v>3138428</v>
      </c>
      <c r="O18">
        <v>499.44848999999999</v>
      </c>
      <c r="P18">
        <v>-6.3182089052584278E-11</v>
      </c>
    </row>
    <row r="19" spans="1:16" x14ac:dyDescent="0.2">
      <c r="A19">
        <v>3452271</v>
      </c>
      <c r="B19">
        <v>802.06490899999994</v>
      </c>
      <c r="E19">
        <v>3452271</v>
      </c>
      <c r="F19">
        <v>802.06490899999994</v>
      </c>
      <c r="G19">
        <v>-1.250615476712445E-10</v>
      </c>
      <c r="J19">
        <v>3452271</v>
      </c>
      <c r="K19">
        <v>507.43840799999998</v>
      </c>
      <c r="N19">
        <v>3452271</v>
      </c>
      <c r="O19">
        <v>507.43840799999998</v>
      </c>
      <c r="P19">
        <v>-1.0854736751407695E-10</v>
      </c>
    </row>
    <row r="20" spans="1:16" x14ac:dyDescent="0.2">
      <c r="A20">
        <v>3797498</v>
      </c>
      <c r="B20">
        <v>763.569299</v>
      </c>
      <c r="E20">
        <v>3797498</v>
      </c>
      <c r="F20">
        <v>763.569299</v>
      </c>
      <c r="G20">
        <v>8.2666104261822307E-11</v>
      </c>
      <c r="J20">
        <v>3797498</v>
      </c>
      <c r="K20">
        <v>506.317522</v>
      </c>
      <c r="N20">
        <v>3797498</v>
      </c>
      <c r="O20">
        <v>506.317522</v>
      </c>
      <c r="P20">
        <v>-2.6999440021388167E-11</v>
      </c>
    </row>
    <row r="21" spans="1:16" x14ac:dyDescent="0.2">
      <c r="A21">
        <v>4177248</v>
      </c>
      <c r="B21">
        <v>728.58331299999998</v>
      </c>
      <c r="E21">
        <v>4177248</v>
      </c>
      <c r="F21">
        <v>728.58331299999998</v>
      </c>
      <c r="G21">
        <v>1.0424557464595698E-10</v>
      </c>
      <c r="J21">
        <v>4177248</v>
      </c>
      <c r="K21">
        <v>500.48668099999998</v>
      </c>
      <c r="N21">
        <v>4177248</v>
      </c>
      <c r="O21">
        <v>500.48668099999998</v>
      </c>
      <c r="P21">
        <v>1.0469413435144055E-11</v>
      </c>
    </row>
    <row r="22" spans="1:16" x14ac:dyDescent="0.2">
      <c r="A22">
        <v>4594973</v>
      </c>
      <c r="B22">
        <v>702.31694900000002</v>
      </c>
      <c r="E22">
        <v>4594973</v>
      </c>
      <c r="F22">
        <v>702.31694900000002</v>
      </c>
      <c r="G22">
        <v>-5.3054801933563445E-11</v>
      </c>
      <c r="J22">
        <v>4594973</v>
      </c>
      <c r="K22">
        <v>495.28581600000001</v>
      </c>
      <c r="N22">
        <v>4594973</v>
      </c>
      <c r="O22">
        <v>495.28581600000001</v>
      </c>
      <c r="P22">
        <v>2.6282016529937834E-11</v>
      </c>
    </row>
    <row r="23" spans="1:16" x14ac:dyDescent="0.2">
      <c r="A23">
        <v>5054470</v>
      </c>
      <c r="B23">
        <v>671.14411500000006</v>
      </c>
      <c r="E23">
        <v>5054470</v>
      </c>
      <c r="F23">
        <v>671.14411500000006</v>
      </c>
      <c r="G23">
        <v>4.3016109804853489E-11</v>
      </c>
      <c r="J23">
        <v>5054470</v>
      </c>
      <c r="K23">
        <v>492.430069</v>
      </c>
      <c r="N23">
        <v>5054470</v>
      </c>
      <c r="O23">
        <v>492.430069</v>
      </c>
      <c r="P23">
        <v>-2.8445452649790943E-11</v>
      </c>
    </row>
    <row r="24" spans="1:16" x14ac:dyDescent="0.2">
      <c r="A24">
        <v>5559917</v>
      </c>
      <c r="B24">
        <v>641.266481</v>
      </c>
      <c r="E24">
        <v>5559917</v>
      </c>
      <c r="F24">
        <v>641.266481</v>
      </c>
      <c r="G24">
        <v>-1.2381769418358601E-11</v>
      </c>
      <c r="J24">
        <v>5559917</v>
      </c>
      <c r="K24">
        <v>485.077585</v>
      </c>
      <c r="N24">
        <v>5559917</v>
      </c>
      <c r="O24">
        <v>485.077585</v>
      </c>
      <c r="P24">
        <v>-1.4184101137590435E-11</v>
      </c>
    </row>
    <row r="25" spans="1:16" x14ac:dyDescent="0.2">
      <c r="A25">
        <v>6115909</v>
      </c>
      <c r="B25">
        <v>609.42852100000005</v>
      </c>
      <c r="E25">
        <v>6115909</v>
      </c>
      <c r="F25">
        <v>609.42852100000005</v>
      </c>
      <c r="G25">
        <v>2.8112683470116797E-11</v>
      </c>
      <c r="J25">
        <v>6115909</v>
      </c>
      <c r="K25">
        <v>474.19557300000002</v>
      </c>
      <c r="N25">
        <v>6115909</v>
      </c>
      <c r="O25">
        <v>474.19557300000002</v>
      </c>
      <c r="P25">
        <v>2.5781489253247985E-11</v>
      </c>
    </row>
    <row r="26" spans="1:16" x14ac:dyDescent="0.2">
      <c r="A26">
        <v>6727500</v>
      </c>
      <c r="B26">
        <v>581.00250300000005</v>
      </c>
      <c r="E26">
        <v>6727500</v>
      </c>
      <c r="F26">
        <v>581.00250300000005</v>
      </c>
      <c r="G26">
        <v>9.718278680176689E-12</v>
      </c>
      <c r="J26">
        <v>6727500</v>
      </c>
      <c r="K26">
        <v>467.54552100000001</v>
      </c>
      <c r="N26">
        <v>6727500</v>
      </c>
      <c r="O26">
        <v>467.54552100000001</v>
      </c>
      <c r="P26">
        <v>-2.0360797771530136E-13</v>
      </c>
    </row>
    <row r="27" spans="1:16" x14ac:dyDescent="0.2">
      <c r="A27">
        <v>7400250</v>
      </c>
      <c r="B27">
        <v>553.90997700000003</v>
      </c>
      <c r="E27">
        <v>7400250</v>
      </c>
      <c r="F27">
        <v>553.90997700000003</v>
      </c>
      <c r="G27">
        <v>-7.3009133289792991E-12</v>
      </c>
      <c r="J27">
        <v>7400250</v>
      </c>
      <c r="K27">
        <v>460.98645099999999</v>
      </c>
      <c r="N27">
        <v>7400250</v>
      </c>
      <c r="O27">
        <v>460.98645099999999</v>
      </c>
      <c r="P27">
        <v>-1.2638233498216598E-11</v>
      </c>
    </row>
    <row r="28" spans="1:16" x14ac:dyDescent="0.2">
      <c r="A28">
        <v>8140275.0000000009</v>
      </c>
      <c r="B28">
        <v>522.67796499999997</v>
      </c>
      <c r="E28">
        <v>8140275.0000000009</v>
      </c>
      <c r="F28">
        <v>522.67796499999997</v>
      </c>
      <c r="G28">
        <v>3.3715461066273326E-12</v>
      </c>
      <c r="J28">
        <v>8140275.0000000009</v>
      </c>
      <c r="K28">
        <v>449.66342100000003</v>
      </c>
      <c r="N28">
        <v>8140275.0000000009</v>
      </c>
      <c r="O28">
        <v>449.66342100000003</v>
      </c>
      <c r="P28">
        <v>3.4316750656828179E-12</v>
      </c>
    </row>
    <row r="29" spans="1:16" x14ac:dyDescent="0.2">
      <c r="A29">
        <v>8954302</v>
      </c>
      <c r="B29">
        <v>489.66089599999998</v>
      </c>
      <c r="E29">
        <v>8954302</v>
      </c>
      <c r="F29">
        <v>489.66089599999998</v>
      </c>
      <c r="G29">
        <v>5.8803092699182563E-12</v>
      </c>
      <c r="J29">
        <v>8954302</v>
      </c>
      <c r="K29">
        <v>437.40327100000002</v>
      </c>
      <c r="N29">
        <v>8954302</v>
      </c>
      <c r="O29">
        <v>437.40327100000002</v>
      </c>
      <c r="P29">
        <v>1.5379952880317263E-13</v>
      </c>
    </row>
    <row r="30" spans="1:16" x14ac:dyDescent="0.2">
      <c r="A30">
        <v>9849733</v>
      </c>
      <c r="B30">
        <v>457.80469900000003</v>
      </c>
      <c r="E30">
        <v>9849733</v>
      </c>
      <c r="F30">
        <v>457.80469900000003</v>
      </c>
      <c r="G30">
        <v>7.8776259337353616E-12</v>
      </c>
      <c r="J30">
        <v>9849733</v>
      </c>
      <c r="K30">
        <v>424.63634300000001</v>
      </c>
      <c r="N30">
        <v>9849733</v>
      </c>
      <c r="O30">
        <v>424.63634300000001</v>
      </c>
      <c r="P30">
        <v>1.6754022195397426E-12</v>
      </c>
    </row>
    <row r="31" spans="1:16" x14ac:dyDescent="0.2">
      <c r="A31">
        <v>10834706</v>
      </c>
      <c r="B31">
        <v>428.68042600000001</v>
      </c>
      <c r="E31">
        <v>10834706</v>
      </c>
      <c r="F31">
        <v>428.68042600000001</v>
      </c>
      <c r="G31">
        <v>1.1726730904728009E-12</v>
      </c>
      <c r="J31">
        <v>10834706</v>
      </c>
      <c r="K31">
        <v>411.87770499999999</v>
      </c>
      <c r="N31">
        <v>10834706</v>
      </c>
      <c r="O31">
        <v>411.87770499999999</v>
      </c>
      <c r="P31">
        <v>1.4100310197173701E-12</v>
      </c>
    </row>
    <row r="32" spans="1:16" x14ac:dyDescent="0.2">
      <c r="A32">
        <v>11918177</v>
      </c>
      <c r="B32">
        <v>399.27716099999998</v>
      </c>
      <c r="E32">
        <v>11918177</v>
      </c>
      <c r="F32">
        <v>399.27716099999998</v>
      </c>
      <c r="G32">
        <v>1.8209767078752089E-12</v>
      </c>
      <c r="J32">
        <v>11918177</v>
      </c>
      <c r="K32">
        <v>398.384794</v>
      </c>
      <c r="N32">
        <v>11918177</v>
      </c>
      <c r="O32">
        <v>398.384794</v>
      </c>
      <c r="P32">
        <v>-4.1386594163781451E-12</v>
      </c>
    </row>
    <row r="33" spans="1:16" x14ac:dyDescent="0.2">
      <c r="A33">
        <v>13109994</v>
      </c>
      <c r="B33">
        <v>369.93007799999998</v>
      </c>
      <c r="E33">
        <v>13109994</v>
      </c>
      <c r="F33">
        <v>369.93007799999998</v>
      </c>
      <c r="G33">
        <v>4.638473833057601E-12</v>
      </c>
      <c r="J33">
        <v>13109994</v>
      </c>
      <c r="K33">
        <v>381.182838</v>
      </c>
      <c r="N33">
        <v>13109994</v>
      </c>
      <c r="O33">
        <v>381.182838</v>
      </c>
      <c r="P33">
        <v>4.5524672257683489E-12</v>
      </c>
    </row>
    <row r="34" spans="1:16" x14ac:dyDescent="0.2">
      <c r="A34">
        <v>14420994</v>
      </c>
      <c r="B34">
        <v>343.342624</v>
      </c>
      <c r="E34">
        <v>14420994</v>
      </c>
      <c r="F34">
        <v>343.342624</v>
      </c>
      <c r="G34">
        <v>5.1290118531043782E-13</v>
      </c>
      <c r="J34">
        <v>14420994</v>
      </c>
      <c r="K34">
        <v>365.46895699999999</v>
      </c>
      <c r="N34">
        <v>14420994</v>
      </c>
      <c r="O34">
        <v>365.46895699999999</v>
      </c>
      <c r="P34">
        <v>-2.4196899810156913E-12</v>
      </c>
    </row>
    <row r="35" spans="1:16" x14ac:dyDescent="0.2">
      <c r="A35">
        <v>15863093</v>
      </c>
      <c r="B35">
        <v>316.96901200000002</v>
      </c>
      <c r="E35">
        <v>15863093</v>
      </c>
      <c r="F35">
        <v>316.96901200000002</v>
      </c>
      <c r="G35">
        <v>2.1124998077098234E-12</v>
      </c>
      <c r="J35">
        <v>15863093</v>
      </c>
      <c r="K35">
        <v>346.97843</v>
      </c>
      <c r="N35">
        <v>15863093</v>
      </c>
      <c r="O35">
        <v>346.97843</v>
      </c>
      <c r="P35">
        <v>1.6228839271235337E-12</v>
      </c>
    </row>
    <row r="36" spans="1:16" x14ac:dyDescent="0.2">
      <c r="A36">
        <v>17449402</v>
      </c>
      <c r="B36">
        <v>292.38766099999998</v>
      </c>
      <c r="E36">
        <v>17449402</v>
      </c>
      <c r="F36">
        <v>292.38766099999998</v>
      </c>
      <c r="G36">
        <v>2.0297300028752205E-12</v>
      </c>
      <c r="J36">
        <v>17449402</v>
      </c>
      <c r="K36">
        <v>328.670097</v>
      </c>
      <c r="N36">
        <v>17449402</v>
      </c>
      <c r="O36">
        <v>328.670097</v>
      </c>
      <c r="P36">
        <v>8.4652164246349661E-13</v>
      </c>
    </row>
    <row r="37" spans="1:16" x14ac:dyDescent="0.2">
      <c r="A37">
        <v>19194342</v>
      </c>
      <c r="B37">
        <v>270.94708500000002</v>
      </c>
      <c r="E37">
        <v>19194342</v>
      </c>
      <c r="F37">
        <v>270.94708500000002</v>
      </c>
      <c r="G37">
        <v>1.3626741108903423E-12</v>
      </c>
      <c r="J37">
        <v>19194342</v>
      </c>
      <c r="K37">
        <v>310.81484499999999</v>
      </c>
      <c r="N37">
        <v>19194342</v>
      </c>
      <c r="O37">
        <v>310.81484499999999</v>
      </c>
      <c r="P37">
        <v>-2.0692383458854905E-13</v>
      </c>
    </row>
    <row r="38" spans="1:16" x14ac:dyDescent="0.2">
      <c r="A38">
        <v>21113777</v>
      </c>
      <c r="B38">
        <v>252.73023699999999</v>
      </c>
      <c r="E38">
        <v>21113777</v>
      </c>
      <c r="F38">
        <v>252.73023699999999</v>
      </c>
      <c r="G38">
        <v>1.6936500046830721E-12</v>
      </c>
      <c r="J38">
        <v>21113777</v>
      </c>
      <c r="K38">
        <v>292.59677099999999</v>
      </c>
      <c r="N38">
        <v>21113777</v>
      </c>
      <c r="O38">
        <v>292.59677099999999</v>
      </c>
      <c r="P38">
        <v>2.3374856465459319E-12</v>
      </c>
    </row>
    <row r="39" spans="1:16" x14ac:dyDescent="0.2">
      <c r="A39">
        <v>23225154</v>
      </c>
      <c r="B39">
        <v>238.41927699999999</v>
      </c>
      <c r="E39">
        <v>23225154</v>
      </c>
      <c r="F39">
        <v>238.41927699999999</v>
      </c>
      <c r="G39">
        <v>3.3819058291369228E-15</v>
      </c>
      <c r="J39">
        <v>23225154</v>
      </c>
      <c r="K39">
        <v>279.25739600000003</v>
      </c>
      <c r="N39">
        <v>23225154</v>
      </c>
      <c r="O39">
        <v>279.25739600000003</v>
      </c>
      <c r="P39">
        <v>2.8149985884011377E-13</v>
      </c>
    </row>
    <row r="40" spans="1:16" x14ac:dyDescent="0.2">
      <c r="A40">
        <v>25547670</v>
      </c>
      <c r="B40">
        <v>224.60302200000001</v>
      </c>
      <c r="E40">
        <v>25547670</v>
      </c>
      <c r="F40">
        <v>224.60302200000001</v>
      </c>
      <c r="G40">
        <v>5.8954318133901143E-13</v>
      </c>
      <c r="J40">
        <v>25547670</v>
      </c>
      <c r="K40">
        <v>267.33541000000002</v>
      </c>
      <c r="N40">
        <v>25547670</v>
      </c>
      <c r="O40">
        <v>267.33541000000002</v>
      </c>
      <c r="P40">
        <v>-1.3940977339162349E-13</v>
      </c>
    </row>
    <row r="41" spans="1:16" x14ac:dyDescent="0.2">
      <c r="A41">
        <v>28102437</v>
      </c>
      <c r="B41">
        <v>211.62143800000001</v>
      </c>
      <c r="E41">
        <v>28102437</v>
      </c>
      <c r="F41">
        <v>211.62143800000001</v>
      </c>
      <c r="G41">
        <v>-2.1666004689705212E-13</v>
      </c>
      <c r="J41">
        <v>28102437</v>
      </c>
      <c r="K41">
        <v>253.672482</v>
      </c>
      <c r="N41">
        <v>28102437</v>
      </c>
      <c r="O41">
        <v>253.672482</v>
      </c>
      <c r="P41">
        <v>-2.2806974470128533E-13</v>
      </c>
    </row>
    <row r="42" spans="1:16" x14ac:dyDescent="0.2">
      <c r="A42">
        <v>30912681</v>
      </c>
      <c r="B42">
        <v>196.95827299999999</v>
      </c>
      <c r="E42">
        <v>30912681</v>
      </c>
      <c r="F42">
        <v>196.95827299999999</v>
      </c>
      <c r="G42">
        <v>0</v>
      </c>
      <c r="J42">
        <v>30912681</v>
      </c>
      <c r="K42">
        <v>237.330242</v>
      </c>
      <c r="N42">
        <v>30912681</v>
      </c>
      <c r="O42">
        <v>237.330242</v>
      </c>
      <c r="P42">
        <v>0</v>
      </c>
    </row>
    <row r="43" spans="1:16" x14ac:dyDescent="0.2">
      <c r="J43" s="1"/>
    </row>
    <row r="44" spans="1:16" x14ac:dyDescent="0.2">
      <c r="J44" s="1"/>
    </row>
    <row r="45" spans="1:16" x14ac:dyDescent="0.2">
      <c r="J45" s="1"/>
    </row>
    <row r="46" spans="1:16" x14ac:dyDescent="0.2">
      <c r="J46" s="1"/>
    </row>
    <row r="47" spans="1:16" x14ac:dyDescent="0.2">
      <c r="J47" s="1"/>
    </row>
    <row r="48" spans="1:16" x14ac:dyDescent="0.2">
      <c r="J48" s="1"/>
    </row>
    <row r="49" spans="10:10" x14ac:dyDescent="0.2">
      <c r="J49" s="1"/>
    </row>
    <row r="50" spans="10:10" x14ac:dyDescent="0.2">
      <c r="J50" s="1"/>
    </row>
    <row r="51" spans="10:10" x14ac:dyDescent="0.2">
      <c r="J51" s="1"/>
    </row>
    <row r="52" spans="10:10" x14ac:dyDescent="0.2">
      <c r="J52" s="1"/>
    </row>
    <row r="53" spans="10:10" x14ac:dyDescent="0.2">
      <c r="J53" s="1"/>
    </row>
    <row r="54" spans="10:10" x14ac:dyDescent="0.2">
      <c r="J54" s="1"/>
    </row>
    <row r="55" spans="10:10" x14ac:dyDescent="0.2">
      <c r="J55" s="1"/>
    </row>
    <row r="56" spans="10:10" x14ac:dyDescent="0.2">
      <c r="J56" s="1"/>
    </row>
    <row r="57" spans="10:10" x14ac:dyDescent="0.2">
      <c r="J57" s="1"/>
    </row>
    <row r="58" spans="10:10" x14ac:dyDescent="0.2">
      <c r="J58" s="1"/>
    </row>
    <row r="59" spans="10:10" x14ac:dyDescent="0.2">
      <c r="J59" s="1"/>
    </row>
    <row r="60" spans="10:10" x14ac:dyDescent="0.2">
      <c r="J60" s="1"/>
    </row>
    <row r="61" spans="10:10" x14ac:dyDescent="0.2">
      <c r="J61" s="1"/>
    </row>
    <row r="62" spans="10:10" x14ac:dyDescent="0.2">
      <c r="J62" s="1"/>
    </row>
    <row r="63" spans="10:10" x14ac:dyDescent="0.2">
      <c r="J63" s="1"/>
    </row>
    <row r="64" spans="10:10" x14ac:dyDescent="0.2">
      <c r="J64" s="1"/>
    </row>
    <row r="65" spans="10:17" x14ac:dyDescent="0.2">
      <c r="J65" s="1"/>
    </row>
    <row r="66" spans="10:17" x14ac:dyDescent="0.2">
      <c r="J66" s="1"/>
    </row>
    <row r="67" spans="10:17" x14ac:dyDescent="0.2">
      <c r="J67" s="1"/>
    </row>
    <row r="68" spans="10:17" x14ac:dyDescent="0.2">
      <c r="J68" s="1"/>
    </row>
    <row r="69" spans="10:17" x14ac:dyDescent="0.2">
      <c r="J69" s="1"/>
    </row>
    <row r="70" spans="10:17" x14ac:dyDescent="0.2">
      <c r="J70" s="1"/>
    </row>
    <row r="71" spans="10:17" x14ac:dyDescent="0.2">
      <c r="J71" s="1"/>
      <c r="Q71" t="s">
        <v>28</v>
      </c>
    </row>
  </sheetData>
  <mergeCells count="2">
    <mergeCell ref="E5:G5"/>
    <mergeCell ref="N5:P5"/>
  </mergeCells>
  <phoneticPr fontId="0" type="noConversion"/>
  <pageMargins left="0.75" right="0.75" top="1" bottom="1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E35"/>
  <sheetViews>
    <sheetView tabSelected="1" workbookViewId="0">
      <selection activeCell="B8" sqref="B8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2" ht="20.25" x14ac:dyDescent="0.3">
      <c r="A1" s="9" t="s">
        <v>25</v>
      </c>
    </row>
    <row r="3" spans="1:2" x14ac:dyDescent="0.2">
      <c r="A3" s="8" t="s">
        <v>27</v>
      </c>
    </row>
    <row r="4" spans="1:2" x14ac:dyDescent="0.2">
      <c r="A4" s="12" t="s">
        <v>26</v>
      </c>
    </row>
    <row r="6" spans="1:2" x14ac:dyDescent="0.2">
      <c r="A6" s="8" t="s">
        <v>16</v>
      </c>
    </row>
    <row r="7" spans="1:2" x14ac:dyDescent="0.2">
      <c r="A7" t="s">
        <v>1</v>
      </c>
      <c r="B7" s="3">
        <v>1150</v>
      </c>
    </row>
    <row r="8" spans="1:2" x14ac:dyDescent="0.2">
      <c r="A8" t="s">
        <v>5</v>
      </c>
      <c r="B8" s="3">
        <v>9</v>
      </c>
    </row>
    <row r="9" spans="1:2" x14ac:dyDescent="0.2">
      <c r="A9" t="s">
        <v>8</v>
      </c>
      <c r="B9" s="3">
        <v>2.5</v>
      </c>
    </row>
    <row r="11" spans="1:2" x14ac:dyDescent="0.2">
      <c r="A11" s="8" t="s">
        <v>17</v>
      </c>
    </row>
    <row r="12" spans="1:2" x14ac:dyDescent="0.2">
      <c r="A12" t="s">
        <v>18</v>
      </c>
      <c r="B12" t="str">
        <f>Mix!B1</f>
        <v>L15</v>
      </c>
    </row>
    <row r="13" spans="1:2" x14ac:dyDescent="0.2">
      <c r="A13" t="s">
        <v>29</v>
      </c>
      <c r="B13">
        <f>Mix!B2</f>
        <v>1100</v>
      </c>
    </row>
    <row r="15" spans="1:2" x14ac:dyDescent="0.2">
      <c r="A15" s="8" t="s">
        <v>19</v>
      </c>
    </row>
    <row r="16" spans="1:2" x14ac:dyDescent="0.2">
      <c r="A16" s="2" t="s">
        <v>9</v>
      </c>
      <c r="B16" s="4">
        <f>2*PI()*$B$8^2*$B$7*0.000000001</f>
        <v>5.8527871136377849E-4</v>
      </c>
    </row>
    <row r="18" spans="1:31" x14ac:dyDescent="0.2">
      <c r="A18" t="s">
        <v>2</v>
      </c>
      <c r="B18" s="10">
        <v>1</v>
      </c>
      <c r="C18" s="10">
        <v>1.2</v>
      </c>
      <c r="D18" s="10">
        <v>1.8</v>
      </c>
      <c r="E18" s="10">
        <v>2</v>
      </c>
      <c r="F18" s="10">
        <v>2.5</v>
      </c>
      <c r="G18" s="10">
        <v>3</v>
      </c>
      <c r="H18" s="10">
        <v>3.5</v>
      </c>
      <c r="I18" s="10">
        <v>4</v>
      </c>
      <c r="J18" s="10">
        <v>4.5</v>
      </c>
      <c r="K18" s="10">
        <v>5</v>
      </c>
      <c r="L18" s="10">
        <v>5.5</v>
      </c>
      <c r="M18" s="10">
        <v>6</v>
      </c>
      <c r="N18" s="10">
        <f t="shared" ref="N18:Z18" si="0">M18+1</f>
        <v>7</v>
      </c>
      <c r="O18" s="10">
        <f t="shared" si="0"/>
        <v>8</v>
      </c>
      <c r="P18" s="10">
        <f t="shared" si="0"/>
        <v>9</v>
      </c>
      <c r="Q18" s="10">
        <f t="shared" si="0"/>
        <v>10</v>
      </c>
      <c r="R18" s="10">
        <f t="shared" si="0"/>
        <v>11</v>
      </c>
      <c r="S18" s="10">
        <f t="shared" si="0"/>
        <v>12</v>
      </c>
      <c r="T18" s="10">
        <f t="shared" si="0"/>
        <v>13</v>
      </c>
      <c r="U18" s="10">
        <f t="shared" si="0"/>
        <v>14</v>
      </c>
      <c r="V18" s="10">
        <f t="shared" si="0"/>
        <v>15</v>
      </c>
      <c r="W18" s="10">
        <f t="shared" si="0"/>
        <v>16</v>
      </c>
      <c r="X18" s="10">
        <f t="shared" si="0"/>
        <v>17</v>
      </c>
      <c r="Y18" s="10">
        <f t="shared" si="0"/>
        <v>18</v>
      </c>
      <c r="Z18" s="10">
        <f t="shared" si="0"/>
        <v>19</v>
      </c>
      <c r="AA18" s="10">
        <v>22</v>
      </c>
      <c r="AB18" s="10">
        <v>24</v>
      </c>
      <c r="AC18" s="10">
        <v>26</v>
      </c>
      <c r="AD18" s="10">
        <v>28</v>
      </c>
      <c r="AE18" s="10">
        <v>30</v>
      </c>
    </row>
    <row r="19" spans="1:31" x14ac:dyDescent="0.2">
      <c r="A19" t="s">
        <v>4</v>
      </c>
      <c r="B19" s="7">
        <f>csinterpolate(CSTableU2,'LO1238'!B18*1000000)</f>
        <v>44.589843000000002</v>
      </c>
      <c r="C19" s="7">
        <f>csinterpolate(CSTableU2,'LO1238'!C18*1000000)</f>
        <v>182.77975122763436</v>
      </c>
      <c r="D19" s="7">
        <f>csinterpolate(CSTableU2,'LO1238'!D18*1000000)</f>
        <v>396.96736570698226</v>
      </c>
      <c r="E19" s="7">
        <f>csinterpolate(CSTableU2,'LO1238'!E18*1000000)</f>
        <v>430.99041407570166</v>
      </c>
      <c r="F19" s="7">
        <f>csinterpolate(CSTableU2,'LO1238'!F18*1000000)</f>
        <v>472.72725384950843</v>
      </c>
      <c r="G19" s="7">
        <f>csinterpolate(CSTableU2,'LO1238'!G18*1000000)</f>
        <v>493.76360178962989</v>
      </c>
      <c r="H19" s="7">
        <f>csinterpolate(CSTableU2,'LO1238'!H18*1000000)</f>
        <v>507.83440686771024</v>
      </c>
      <c r="I19" s="7">
        <f>csinterpolate(CSTableU2,'LO1238'!I18*1000000)</f>
        <v>503.34910377855471</v>
      </c>
      <c r="J19" s="7">
        <f>csinterpolate(CSTableU2,'LO1238'!J18*1000000)</f>
        <v>496.1646169419484</v>
      </c>
      <c r="K19" s="7">
        <f>csinterpolate(CSTableU2,'LO1238'!K18*1000000)</f>
        <v>492.85728858691556</v>
      </c>
      <c r="L19" s="7">
        <f>csinterpolate(CSTableU2,'LO1238'!L18*1000000)</f>
        <v>486.20946075960495</v>
      </c>
      <c r="M19" s="7">
        <f>csinterpolate(CSTableU2,'LO1238'!M18*1000000)</f>
        <v>476.21722845801037</v>
      </c>
      <c r="N19" s="7">
        <f>csinterpolate(CSTableU2,'LO1238'!N18*1000000)</f>
        <v>465.21745550550844</v>
      </c>
      <c r="O19" s="7">
        <f>csinterpolate(CSTableU2,'LO1238'!O18*1000000)</f>
        <v>451.93343690824571</v>
      </c>
      <c r="P19" s="7">
        <f>csinterpolate(CSTableU2,'LO1238'!P18*1000000)</f>
        <v>436.73838443465309</v>
      </c>
      <c r="Q19" s="7">
        <f>csinterpolate(CSTableU2,'LO1238'!Q18*1000000)</f>
        <v>422.59121047009216</v>
      </c>
      <c r="R19" s="7">
        <f>csinterpolate(CSTableU2,'LO1238'!R18*1000000)</f>
        <v>409.87399357442223</v>
      </c>
      <c r="S19" s="7">
        <f>csinterpolate(CSTableU2,'LO1238'!S18*1000000)</f>
        <v>397.25116090279914</v>
      </c>
      <c r="T19" s="7">
        <f>csinterpolate(CSTableU2,'LO1238'!T18*1000000)</f>
        <v>382.68783806490291</v>
      </c>
      <c r="U19" s="7">
        <f>csinterpolate(CSTableU2,'LO1238'!U18*1000000)</f>
        <v>370.39317203192849</v>
      </c>
      <c r="V19" s="7">
        <f>csinterpolate(CSTableU2,'LO1238'!V18*1000000)</f>
        <v>358.17768253116998</v>
      </c>
      <c r="W19" s="7">
        <f>csinterpolate(CSTableU2,'LO1238'!W18*1000000)</f>
        <v>345.26519710027696</v>
      </c>
      <c r="X19" s="7">
        <f>csinterpolate(CSTableU2,'LO1238'!X18*1000000)</f>
        <v>333.55576390056382</v>
      </c>
      <c r="Y19" s="7">
        <f>csinterpolate(CSTableU2,'LO1238'!Y18*1000000)</f>
        <v>322.90961084683465</v>
      </c>
      <c r="Z19" s="7">
        <f>csinterpolate(CSTableU2,'LO1238'!Z18*1000000)</f>
        <v>312.77584267562997</v>
      </c>
      <c r="AA19" s="7">
        <f>csinterpolate(CSTableU2,'LO1238'!AA18*1000000)</f>
        <v>286.25698172954156</v>
      </c>
      <c r="AB19" s="7">
        <f>csinterpolate(CSTableU2,'LO1238'!AB18*1000000)</f>
        <v>275.22334749579818</v>
      </c>
      <c r="AC19" s="7">
        <f>csinterpolate(CSTableU2,'LO1238'!AC18*1000000)</f>
        <v>264.99917161542123</v>
      </c>
      <c r="AD19" s="7">
        <f>csinterpolate(CSTableU2,'LO1238'!AD18*1000000)</f>
        <v>254.24510252122312</v>
      </c>
      <c r="AE19" s="7">
        <f>csinterpolate(CSTableU2,'LO1238'!AE18*1000000)</f>
        <v>242.72491359941424</v>
      </c>
    </row>
    <row r="20" spans="1:31" x14ac:dyDescent="0.2">
      <c r="A20" t="s">
        <v>3</v>
      </c>
      <c r="B20" s="7">
        <f>csinterpolate(CSTableU1,'LO1238'!B18*1000000)</f>
        <v>1276.546112</v>
      </c>
      <c r="C20" s="7">
        <f>csinterpolate(CSTableU1,'LO1238'!C18*1000000)</f>
        <v>1214.9663088499879</v>
      </c>
      <c r="D20" s="7">
        <f>csinterpolate(CSTableU1,'LO1238'!D18*1000000)</f>
        <v>1095.7699304386274</v>
      </c>
      <c r="E20" s="7">
        <f>csinterpolate(CSTableU1,'LO1238'!E18*1000000)</f>
        <v>1058.3006801238837</v>
      </c>
      <c r="F20" s="7">
        <f>csinterpolate(CSTableU1,'LO1238'!F18*1000000)</f>
        <v>937.07338583261617</v>
      </c>
      <c r="G20" s="7">
        <f>csinterpolate(CSTableU1,'LO1238'!G18*1000000)</f>
        <v>844.31143272842257</v>
      </c>
      <c r="H20" s="7">
        <f>csinterpolate(CSTableU1,'LO1238'!H18*1000000)</f>
        <v>797.07104693964345</v>
      </c>
      <c r="I20" s="7">
        <f>csinterpolate(CSTableU1,'LO1238'!I18*1000000)</f>
        <v>743.2315028759557</v>
      </c>
      <c r="J20" s="7">
        <f>csinterpolate(CSTableU1,'LO1238'!J18*1000000)</f>
        <v>708.11562731820959</v>
      </c>
      <c r="K20" s="7">
        <f>csinterpolate(CSTableU1,'LO1238'!K18*1000000)</f>
        <v>674.76004158958858</v>
      </c>
      <c r="L20" s="7">
        <f>csinterpolate(CSTableU1,'LO1238'!L18*1000000)</f>
        <v>644.69782745190764</v>
      </c>
      <c r="M20" s="7">
        <f>csinterpolate(CSTableU1,'LO1238'!M18*1000000)</f>
        <v>615.76489165790952</v>
      </c>
      <c r="N20" s="7">
        <f>csinterpolate(CSTableU1,'LO1238'!N18*1000000)</f>
        <v>569.93329882179773</v>
      </c>
      <c r="O20" s="7">
        <f>csinterpolate(CSTableU1,'LO1238'!O18*1000000)</f>
        <v>528.63431875196375</v>
      </c>
      <c r="P20" s="7">
        <f>csinterpolate(CSTableU1,'LO1238'!P18*1000000)</f>
        <v>487.90737687842227</v>
      </c>
      <c r="Q20" s="7">
        <f>csinterpolate(CSTableU1,'LO1238'!Q18*1000000)</f>
        <v>453.02901971474984</v>
      </c>
      <c r="R20" s="7">
        <f>csinterpolate(CSTableU1,'LO1238'!R18*1000000)</f>
        <v>424.08678144289115</v>
      </c>
      <c r="S20" s="7">
        <f>csinterpolate(CSTableU1,'LO1238'!S18*1000000)</f>
        <v>397.13409443577063</v>
      </c>
      <c r="T20" s="7">
        <f>csinterpolate(CSTableU1,'LO1238'!T18*1000000)</f>
        <v>372.42360842540705</v>
      </c>
      <c r="U20" s="7">
        <f>csinterpolate(CSTableU1,'LO1238'!U18*1000000)</f>
        <v>351.44405278920402</v>
      </c>
      <c r="V20" s="7">
        <f>csinterpolate(CSTableU1,'LO1238'!V18*1000000)</f>
        <v>332.43868131495361</v>
      </c>
      <c r="W20" s="7">
        <f>csinterpolate(CSTableU1,'LO1238'!W18*1000000)</f>
        <v>314.64088750897349</v>
      </c>
      <c r="X20" s="7">
        <f>csinterpolate(CSTableU1,'LO1238'!X18*1000000)</f>
        <v>298.82400395028014</v>
      </c>
      <c r="Y20" s="7">
        <f>csinterpolate(CSTableU1,'LO1238'!Y18*1000000)</f>
        <v>285.05111068540396</v>
      </c>
      <c r="Z20" s="7">
        <f>csinterpolate(CSTableU1,'LO1238'!Z18*1000000)</f>
        <v>273.0924680210851</v>
      </c>
      <c r="AA20" s="7">
        <f>csinterpolate(CSTableU1,'LO1238'!AA18*1000000)</f>
        <v>246.2382045710138</v>
      </c>
      <c r="AB20" s="7">
        <f>csinterpolate(CSTableU1,'LO1238'!AB18*1000000)</f>
        <v>233.65158287686597</v>
      </c>
      <c r="AC20" s="7">
        <f>csinterpolate(CSTableU1,'LO1238'!AC18*1000000)</f>
        <v>222.1746689170802</v>
      </c>
      <c r="AD20" s="7">
        <f>csinterpolate(CSTableU1,'LO1238'!AD18*1000000)</f>
        <v>212.13405905712722</v>
      </c>
      <c r="AE20" s="7">
        <f>csinterpolate(CSTableU1,'LO1238'!AE18*1000000)</f>
        <v>201.35610574452863</v>
      </c>
    </row>
    <row r="21" spans="1:31" x14ac:dyDescent="0.2">
      <c r="A21" t="s">
        <v>10</v>
      </c>
      <c r="B21" s="5">
        <f t="shared" ref="B21:AE21" si="1">B19/$B$13*$B$16*B18*1000000</f>
        <v>23.72498713723018</v>
      </c>
      <c r="C21" s="5">
        <f t="shared" si="1"/>
        <v>116.70228792207475</v>
      </c>
      <c r="D21" s="5">
        <f t="shared" si="1"/>
        <v>380.18707896183764</v>
      </c>
      <c r="E21" s="5">
        <f t="shared" si="1"/>
        <v>458.63548029157812</v>
      </c>
      <c r="F21" s="5">
        <f t="shared" si="1"/>
        <v>628.81181354449564</v>
      </c>
      <c r="G21" s="5">
        <f t="shared" si="1"/>
        <v>788.15270338301571</v>
      </c>
      <c r="H21" s="5">
        <f t="shared" si="1"/>
        <v>945.71485030184351</v>
      </c>
      <c r="I21" s="5">
        <f t="shared" si="1"/>
        <v>1071.2709630022739</v>
      </c>
      <c r="J21" s="5">
        <f t="shared" si="1"/>
        <v>1187.9778584785349</v>
      </c>
      <c r="K21" s="5">
        <f t="shared" si="1"/>
        <v>1311.1767215927082</v>
      </c>
      <c r="L21" s="5">
        <f t="shared" si="1"/>
        <v>1422.8402332312962</v>
      </c>
      <c r="M21" s="5">
        <f t="shared" si="1"/>
        <v>1520.2898498243694</v>
      </c>
      <c r="N21" s="5">
        <f t="shared" si="1"/>
        <v>1732.7028273049086</v>
      </c>
      <c r="O21" s="5">
        <f t="shared" si="1"/>
        <v>1923.6874150971748</v>
      </c>
      <c r="P21" s="5">
        <f t="shared" si="1"/>
        <v>2091.3846450955552</v>
      </c>
      <c r="Q21" s="5">
        <f t="shared" si="1"/>
        <v>2248.4876281599531</v>
      </c>
      <c r="R21" s="5">
        <f t="shared" si="1"/>
        <v>2398.9052278076347</v>
      </c>
      <c r="S21" s="5">
        <f t="shared" si="1"/>
        <v>2536.3925186286037</v>
      </c>
      <c r="T21" s="5">
        <f t="shared" si="1"/>
        <v>2647.025073930743</v>
      </c>
      <c r="U21" s="5">
        <f t="shared" si="1"/>
        <v>2759.0593981336833</v>
      </c>
      <c r="V21" s="5">
        <f t="shared" si="1"/>
        <v>2858.642351878741</v>
      </c>
      <c r="W21" s="5">
        <f t="shared" si="1"/>
        <v>2939.2926492743431</v>
      </c>
      <c r="X21" s="5">
        <f t="shared" si="1"/>
        <v>3017.0840820750964</v>
      </c>
      <c r="Y21" s="5">
        <f t="shared" si="1"/>
        <v>3092.5983423831472</v>
      </c>
      <c r="Z21" s="5">
        <f t="shared" si="1"/>
        <v>3161.9634552648549</v>
      </c>
      <c r="AA21" s="5">
        <f t="shared" si="1"/>
        <v>3350.8023477110155</v>
      </c>
      <c r="AB21" s="5">
        <f t="shared" si="1"/>
        <v>3514.5243525723527</v>
      </c>
      <c r="AC21" s="5">
        <f t="shared" si="1"/>
        <v>3665.9615596037324</v>
      </c>
      <c r="AD21" s="5">
        <f t="shared" si="1"/>
        <v>3787.7444429789543</v>
      </c>
      <c r="AE21" s="5">
        <f t="shared" si="1"/>
        <v>3874.4106722004444</v>
      </c>
    </row>
    <row r="22" spans="1:31" x14ac:dyDescent="0.2">
      <c r="A22" t="s">
        <v>11</v>
      </c>
      <c r="B22" s="5">
        <f t="shared" ref="B22:AE22" si="2">B20/$B$13*$B$16*B18*1000000</f>
        <v>679.21387584345609</v>
      </c>
      <c r="C22" s="5">
        <f t="shared" si="2"/>
        <v>775.73881701177527</v>
      </c>
      <c r="D22" s="5">
        <f t="shared" si="2"/>
        <v>1049.4504210081227</v>
      </c>
      <c r="E22" s="5">
        <f t="shared" si="2"/>
        <v>1126.1833787242128</v>
      </c>
      <c r="F22" s="5">
        <f t="shared" si="2"/>
        <v>1246.4752357122873</v>
      </c>
      <c r="G22" s="5">
        <f t="shared" si="2"/>
        <v>1347.7022927372639</v>
      </c>
      <c r="H22" s="5">
        <f t="shared" si="2"/>
        <v>1484.3459120579482</v>
      </c>
      <c r="I22" s="5">
        <f t="shared" si="2"/>
        <v>1581.8093681752862</v>
      </c>
      <c r="J22" s="5">
        <f t="shared" si="2"/>
        <v>1695.4568257637263</v>
      </c>
      <c r="K22" s="5">
        <f t="shared" si="2"/>
        <v>1795.1031255514727</v>
      </c>
      <c r="L22" s="5">
        <f t="shared" si="2"/>
        <v>1886.6395683504006</v>
      </c>
      <c r="M22" s="5">
        <f t="shared" si="2"/>
        <v>1965.7859034141711</v>
      </c>
      <c r="N22" s="5">
        <f t="shared" si="2"/>
        <v>2122.7170789855481</v>
      </c>
      <c r="O22" s="5">
        <f t="shared" si="2"/>
        <v>2250.1702753586783</v>
      </c>
      <c r="P22" s="5">
        <f t="shared" si="2"/>
        <v>2336.4147338532357</v>
      </c>
      <c r="Q22" s="5">
        <f t="shared" si="2"/>
        <v>2410.4385533549503</v>
      </c>
      <c r="R22" s="5">
        <f t="shared" si="2"/>
        <v>2482.0896494930771</v>
      </c>
      <c r="S22" s="5">
        <f t="shared" si="2"/>
        <v>2535.6450657816977</v>
      </c>
      <c r="T22" s="5">
        <f t="shared" si="2"/>
        <v>2576.0281136988351</v>
      </c>
      <c r="U22" s="5">
        <f t="shared" si="2"/>
        <v>2617.9073751463698</v>
      </c>
      <c r="V22" s="5">
        <f t="shared" si="2"/>
        <v>2653.2174955566798</v>
      </c>
      <c r="W22" s="5">
        <f t="shared" si="2"/>
        <v>2678.5834644888378</v>
      </c>
      <c r="X22" s="5">
        <f t="shared" si="2"/>
        <v>2702.9277956926717</v>
      </c>
      <c r="Y22" s="5">
        <f t="shared" si="2"/>
        <v>2730.016582932551</v>
      </c>
      <c r="Z22" s="5">
        <f t="shared" si="2"/>
        <v>2760.7899523310516</v>
      </c>
      <c r="AA22" s="5">
        <f t="shared" si="2"/>
        <v>2882.3595811970686</v>
      </c>
      <c r="AB22" s="5">
        <f t="shared" si="2"/>
        <v>2983.6646691115461</v>
      </c>
      <c r="AC22" s="5">
        <f t="shared" si="2"/>
        <v>3073.5333654163946</v>
      </c>
      <c r="AD22" s="5">
        <f t="shared" si="2"/>
        <v>3160.3739674518611</v>
      </c>
      <c r="AE22" s="5">
        <f t="shared" si="2"/>
        <v>3214.0756935105387</v>
      </c>
    </row>
    <row r="23" spans="1:31" x14ac:dyDescent="0.2">
      <c r="A23" t="s">
        <v>12</v>
      </c>
      <c r="B23" s="5" t="str">
        <f t="shared" ref="B23:AE23" si="3">IMDIV(1,COMPLEX(B21,B22))</f>
        <v>0.0000513645304608521-0.00147049613192193i</v>
      </c>
      <c r="C23" s="5" t="str">
        <f t="shared" si="3"/>
        <v>0.000189639516547909-0.00126056426866103i</v>
      </c>
      <c r="D23" s="5" t="str">
        <f t="shared" si="3"/>
        <v>0.000305153397853889-0.000842330998529192i</v>
      </c>
      <c r="E23" s="5" t="str">
        <f t="shared" si="3"/>
        <v>0.00031017480531099-0.000761636910467935i</v>
      </c>
      <c r="F23" s="5" t="str">
        <f t="shared" si="3"/>
        <v>0.000322615700442072-0.000639511651325809i</v>
      </c>
      <c r="G23" s="5" t="str">
        <f t="shared" si="3"/>
        <v>0.000323346535604678-0.000552906645517528i</v>
      </c>
      <c r="H23" s="5" t="str">
        <f t="shared" si="3"/>
        <v>0.000305299821236454-0.000479183066079289i</v>
      </c>
      <c r="I23" s="5" t="str">
        <f t="shared" si="3"/>
        <v>0.00029351961296631-0.000433403022734884i</v>
      </c>
      <c r="J23" s="5" t="str">
        <f t="shared" si="3"/>
        <v>0.000277185070430571-0.000395592658825472i</v>
      </c>
      <c r="K23" s="5" t="str">
        <f t="shared" si="3"/>
        <v>0.000265335544636738-0.000363265040976883i</v>
      </c>
      <c r="L23" s="5" t="str">
        <f t="shared" si="3"/>
        <v>0.000254811962352086-0.000337872320050081i</v>
      </c>
      <c r="M23" s="5" t="str">
        <f t="shared" si="3"/>
        <v>0.000246177046931095-0.000318315200655441i</v>
      </c>
      <c r="N23" s="5" t="str">
        <f t="shared" si="3"/>
        <v>0.000230775133038831-0.000282720330680505i</v>
      </c>
      <c r="O23" s="5" t="str">
        <f t="shared" si="3"/>
        <v>0.000219502811126584-0.000256756215733605i</v>
      </c>
      <c r="P23" s="5" t="str">
        <f t="shared" si="3"/>
        <v>0.000212696374112097-0.000237616233569486i</v>
      </c>
      <c r="Q23" s="5" t="str">
        <f t="shared" si="3"/>
        <v>0.000206930436297737-0.000221834932631057i</v>
      </c>
      <c r="R23" s="5" t="str">
        <f t="shared" si="3"/>
        <v>0.000201326183833296-0.000208307369241615i</v>
      </c>
      <c r="S23" s="5" t="str">
        <f t="shared" si="3"/>
        <v>0.000197188472878288-0.000197130363147894i</v>
      </c>
      <c r="T23" s="5" t="str">
        <f t="shared" si="3"/>
        <v>0.000194025547250701-0.000188821507365399i</v>
      </c>
      <c r="U23" s="5" t="str">
        <f t="shared" si="3"/>
        <v>0.000190729187718995-0.00018097158311379i</v>
      </c>
      <c r="V23" s="5" t="str">
        <f t="shared" si="3"/>
        <v>0.000187927640255245-0.000174422974841957i</v>
      </c>
      <c r="W23" s="5" t="str">
        <f t="shared" si="3"/>
        <v>0.00018586354254307-0.000169377830353196i</v>
      </c>
      <c r="X23" s="5" t="str">
        <f t="shared" si="3"/>
        <v>0.000183871952453232-0.000164726138753249i</v>
      </c>
      <c r="Y23" s="5" t="str">
        <f t="shared" si="3"/>
        <v>0.000181734157867409-0.00016042732024521i</v>
      </c>
      <c r="Z23" s="5" t="str">
        <f t="shared" si="3"/>
        <v>0.000179453354794732-0.000156685245050657i</v>
      </c>
      <c r="AA23" s="5" t="str">
        <f t="shared" si="3"/>
        <v>0.000171520480586086-0.000147541886774239i</v>
      </c>
      <c r="AB23" s="5" t="str">
        <f t="shared" si="3"/>
        <v>0.000165357194752786-0.000140380424283069i</v>
      </c>
      <c r="AC23" s="5" t="str">
        <f t="shared" si="3"/>
        <v>0.00016018441582998-0.000134298229446354i</v>
      </c>
      <c r="AD23" s="5" t="str">
        <f t="shared" si="3"/>
        <v>0.000155650251351646-0.00012986963872679i</v>
      </c>
      <c r="AE23" s="5" t="str">
        <f t="shared" si="3"/>
        <v>0.000152888938680296-0.000126831320475348i</v>
      </c>
    </row>
    <row r="24" spans="1:31" x14ac:dyDescent="0.2">
      <c r="A24" t="s">
        <v>13</v>
      </c>
      <c r="B24" s="6" t="str">
        <f t="shared" ref="B24:AE24" si="4">COMPLEX(0,2*PI()*B18*1000000*$B$9*0.000000000001)</f>
        <v>0.000015707963267949i</v>
      </c>
      <c r="C24" s="6" t="str">
        <f t="shared" si="4"/>
        <v>0.0000188495559215388i</v>
      </c>
      <c r="D24" s="6" t="str">
        <f t="shared" si="4"/>
        <v>0.0000282743338823081i</v>
      </c>
      <c r="E24" s="6" t="str">
        <f t="shared" si="4"/>
        <v>0.0000314159265358979i</v>
      </c>
      <c r="F24" s="6" t="str">
        <f t="shared" si="4"/>
        <v>0.0000392699081698724i</v>
      </c>
      <c r="G24" s="6" t="str">
        <f t="shared" si="4"/>
        <v>0.0000471238898038469i</v>
      </c>
      <c r="H24" s="6" t="str">
        <f t="shared" si="4"/>
        <v>0.0000549778714378214i</v>
      </c>
      <c r="I24" s="6" t="str">
        <f t="shared" si="4"/>
        <v>0.0000628318530717959i</v>
      </c>
      <c r="J24" s="6" t="str">
        <f t="shared" si="4"/>
        <v>0.0000706858347057703i</v>
      </c>
      <c r="K24" s="6" t="str">
        <f t="shared" si="4"/>
        <v>0.0000785398163397448i</v>
      </c>
      <c r="L24" s="6" t="str">
        <f t="shared" si="4"/>
        <v>0.0000863937979737193i</v>
      </c>
      <c r="M24" s="6" t="str">
        <f t="shared" si="4"/>
        <v>0.0000942477796076938i</v>
      </c>
      <c r="N24" s="6" t="str">
        <f t="shared" si="4"/>
        <v>0.000109955742875643i</v>
      </c>
      <c r="O24" s="6" t="str">
        <f t="shared" si="4"/>
        <v>0.000125663706143592i</v>
      </c>
      <c r="P24" s="6" t="str">
        <f t="shared" si="4"/>
        <v>0.000141371669411541i</v>
      </c>
      <c r="Q24" s="6" t="str">
        <f t="shared" si="4"/>
        <v>0.00015707963267949i</v>
      </c>
      <c r="R24" s="6" t="str">
        <f t="shared" si="4"/>
        <v>0.000172787595947439i</v>
      </c>
      <c r="S24" s="6" t="str">
        <f t="shared" si="4"/>
        <v>0.000188495559215388i</v>
      </c>
      <c r="T24" s="6" t="str">
        <f t="shared" si="4"/>
        <v>0.000204203522483337i</v>
      </c>
      <c r="U24" s="6" t="str">
        <f t="shared" si="4"/>
        <v>0.000219911485751286i</v>
      </c>
      <c r="V24" s="6" t="str">
        <f t="shared" si="4"/>
        <v>0.000235619449019234i</v>
      </c>
      <c r="W24" s="6" t="str">
        <f t="shared" si="4"/>
        <v>0.000251327412287183i</v>
      </c>
      <c r="X24" s="6" t="str">
        <f t="shared" si="4"/>
        <v>0.000267035375555132i</v>
      </c>
      <c r="Y24" s="6" t="str">
        <f t="shared" si="4"/>
        <v>0.000282743338823081i</v>
      </c>
      <c r="Z24" s="6" t="str">
        <f t="shared" si="4"/>
        <v>0.00029845130209103i</v>
      </c>
      <c r="AA24" s="6" t="str">
        <f t="shared" si="4"/>
        <v>0.000345575191894877i</v>
      </c>
      <c r="AB24" s="6" t="str">
        <f t="shared" si="4"/>
        <v>0.000376991118430775i</v>
      </c>
      <c r="AC24" s="6" t="str">
        <f t="shared" si="4"/>
        <v>0.000408407044966673i</v>
      </c>
      <c r="AD24" s="6" t="str">
        <f t="shared" si="4"/>
        <v>0.000439822971502571i</v>
      </c>
      <c r="AE24" s="6" t="str">
        <f t="shared" si="4"/>
        <v>0.000471238898038469i</v>
      </c>
    </row>
    <row r="25" spans="1:31" x14ac:dyDescent="0.2">
      <c r="A25" t="s">
        <v>14</v>
      </c>
      <c r="B25" s="6" t="str">
        <f t="shared" ref="B25:AE25" si="5">IMDIV(1,IMSUM(B23,B24))</f>
        <v>24.2394492156038+686.529471157642i</v>
      </c>
      <c r="C25" s="6" t="str">
        <f t="shared" si="5"/>
        <v>120.190952029867+786.981933883745i</v>
      </c>
      <c r="D25" s="6" t="str">
        <f t="shared" si="5"/>
        <v>403.745213561813+1077.06971061369i</v>
      </c>
      <c r="E25" s="6" t="str">
        <f t="shared" si="5"/>
        <v>492.785958088736+1160.12855016596i</v>
      </c>
      <c r="F25" s="6" t="str">
        <f t="shared" si="5"/>
        <v>694.736907291086+1292.59081841258i</v>
      </c>
      <c r="G25" s="6" t="str">
        <f t="shared" si="5"/>
        <v>897.264681016838+1403.51280436817i</v>
      </c>
      <c r="H25" s="6" t="str">
        <f t="shared" si="5"/>
        <v>1117.6673937173+1552.96623619398i</v>
      </c>
      <c r="I25" s="6" t="str">
        <f t="shared" si="5"/>
        <v>1313.42346093575+1658.20901459749i</v>
      </c>
      <c r="J25" s="6" t="str">
        <f t="shared" si="5"/>
        <v>1519.68825432926+1781.32640260583i</v>
      </c>
      <c r="K25" s="6" t="str">
        <f t="shared" si="5"/>
        <v>1751.72036596937+1879.72921375805i</v>
      </c>
      <c r="L25" s="6" t="str">
        <f t="shared" si="5"/>
        <v>1988.06899324073+1962.06115125476i</v>
      </c>
      <c r="M25" s="6" t="str">
        <f t="shared" si="5"/>
        <v>2221.62707604748+2022.09854925727i</v>
      </c>
      <c r="N25" s="6" t="str">
        <f t="shared" si="5"/>
        <v>2776.91818892869+2078.87704346969i</v>
      </c>
      <c r="O25" s="6" t="str">
        <f t="shared" si="5"/>
        <v>3358.02036569607+2005.4928441878i</v>
      </c>
      <c r="P25" s="6" t="str">
        <f t="shared" si="5"/>
        <v>3902.48786869529+1765.86575874724i</v>
      </c>
      <c r="Q25" s="6" t="str">
        <f t="shared" si="5"/>
        <v>4401.51525155314+1377.37804769147i</v>
      </c>
      <c r="R25" s="6" t="str">
        <f t="shared" si="5"/>
        <v>4817.12040327563+849.879640080887i</v>
      </c>
      <c r="S25" s="6" t="str">
        <f t="shared" si="5"/>
        <v>5061.58461713987+221.644754984071i</v>
      </c>
      <c r="T25" s="6" t="str">
        <f t="shared" si="5"/>
        <v>5121.76989418054-406.045198991702i</v>
      </c>
      <c r="U25" s="6" t="str">
        <f t="shared" si="5"/>
        <v>5033.23730451975-1027.60239758465i</v>
      </c>
      <c r="V25" s="6" t="str">
        <f t="shared" si="5"/>
        <v>4811.03301309528-1566.65755581261i</v>
      </c>
      <c r="W25" s="6" t="str">
        <f t="shared" si="5"/>
        <v>4504.58267300304-1986.12735875374i</v>
      </c>
      <c r="X25" s="6" t="str">
        <f t="shared" si="5"/>
        <v>4152.85124399179-2310.711534064i</v>
      </c>
      <c r="Y25" s="6" t="str">
        <f t="shared" si="5"/>
        <v>3787.0346101916-2548.86038580151i</v>
      </c>
      <c r="Z25" s="6" t="str">
        <f t="shared" si="5"/>
        <v>3431.15691845281-2710.57394258383i</v>
      </c>
      <c r="AA25" s="6" t="str">
        <f t="shared" si="5"/>
        <v>2498.97019161134-2885.24918278998i</v>
      </c>
      <c r="AB25" s="6" t="str">
        <f t="shared" si="5"/>
        <v>1984.42233088716-2839.52292426943i</v>
      </c>
      <c r="AC25" s="6" t="str">
        <f t="shared" si="5"/>
        <v>1589.21482981748-2719.47675029112i</v>
      </c>
      <c r="AD25" s="6" t="str">
        <f t="shared" si="5"/>
        <v>1293.87156692521-2576.54453410589i</v>
      </c>
      <c r="AE25" s="6" t="str">
        <f t="shared" si="5"/>
        <v>1076.74630812856-2425.54883848104i</v>
      </c>
    </row>
    <row r="26" spans="1:31" x14ac:dyDescent="0.2">
      <c r="A26" t="s">
        <v>6</v>
      </c>
      <c r="B26" s="5">
        <f t="shared" ref="B26:AE26" si="6">IMREAL(B25)</f>
        <v>24.239449215603798</v>
      </c>
      <c r="C26" s="5">
        <f t="shared" si="6"/>
        <v>120.19095202986701</v>
      </c>
      <c r="D26" s="5">
        <f t="shared" si="6"/>
        <v>403.74521356181299</v>
      </c>
      <c r="E26" s="5">
        <f t="shared" si="6"/>
        <v>492.78595808873598</v>
      </c>
      <c r="F26" s="5">
        <f t="shared" si="6"/>
        <v>694.73690729108603</v>
      </c>
      <c r="G26" s="5">
        <f t="shared" si="6"/>
        <v>897.26468101683804</v>
      </c>
      <c r="H26" s="5">
        <f t="shared" si="6"/>
        <v>1117.6673937173</v>
      </c>
      <c r="I26" s="5">
        <f t="shared" si="6"/>
        <v>1313.42346093575</v>
      </c>
      <c r="J26" s="5">
        <f t="shared" si="6"/>
        <v>1519.68825432926</v>
      </c>
      <c r="K26" s="5">
        <f t="shared" si="6"/>
        <v>1751.7203659693701</v>
      </c>
      <c r="L26" s="5">
        <f t="shared" si="6"/>
        <v>1988.0689932407299</v>
      </c>
      <c r="M26" s="5">
        <f t="shared" si="6"/>
        <v>2221.6270760474799</v>
      </c>
      <c r="N26" s="5">
        <f t="shared" si="6"/>
        <v>2776.9181889286901</v>
      </c>
      <c r="O26" s="5">
        <f t="shared" si="6"/>
        <v>3358.0203656960698</v>
      </c>
      <c r="P26" s="5">
        <f t="shared" si="6"/>
        <v>3902.4878686952902</v>
      </c>
      <c r="Q26" s="5">
        <f t="shared" si="6"/>
        <v>4401.5152515531399</v>
      </c>
      <c r="R26" s="5">
        <f t="shared" si="6"/>
        <v>4817.1204032756305</v>
      </c>
      <c r="S26" s="5">
        <f t="shared" si="6"/>
        <v>5061.5846171398698</v>
      </c>
      <c r="T26" s="5">
        <f t="shared" si="6"/>
        <v>5121.7698941805402</v>
      </c>
      <c r="U26" s="5">
        <f t="shared" si="6"/>
        <v>5033.2373045197501</v>
      </c>
      <c r="V26" s="5">
        <f t="shared" si="6"/>
        <v>4811.0330130952798</v>
      </c>
      <c r="W26" s="5">
        <f t="shared" si="6"/>
        <v>4504.5826730030403</v>
      </c>
      <c r="X26" s="5">
        <f t="shared" si="6"/>
        <v>4152.8512439917904</v>
      </c>
      <c r="Y26" s="5">
        <f t="shared" si="6"/>
        <v>3787.0346101916002</v>
      </c>
      <c r="Z26" s="5">
        <f t="shared" si="6"/>
        <v>3431.1569184528098</v>
      </c>
      <c r="AA26" s="5">
        <f t="shared" si="6"/>
        <v>2498.9701916113399</v>
      </c>
      <c r="AB26" s="5">
        <f t="shared" si="6"/>
        <v>1984.4223308871599</v>
      </c>
      <c r="AC26" s="5">
        <f t="shared" si="6"/>
        <v>1589.21482981748</v>
      </c>
      <c r="AD26" s="5">
        <f t="shared" si="6"/>
        <v>1293.8715669252099</v>
      </c>
      <c r="AE26" s="5">
        <f t="shared" si="6"/>
        <v>1076.74630812856</v>
      </c>
    </row>
    <row r="27" spans="1:31" x14ac:dyDescent="0.2">
      <c r="A27" t="s">
        <v>7</v>
      </c>
      <c r="B27" s="5">
        <f t="shared" ref="B27:AE27" si="7">IMAGINARY(B25)</f>
        <v>686.52947115764198</v>
      </c>
      <c r="C27" s="5">
        <f t="shared" si="7"/>
        <v>786.981933883745</v>
      </c>
      <c r="D27" s="5">
        <f t="shared" si="7"/>
        <v>1077.0697106136899</v>
      </c>
      <c r="E27" s="5">
        <f t="shared" si="7"/>
        <v>1160.12855016596</v>
      </c>
      <c r="F27" s="5">
        <f t="shared" si="7"/>
        <v>1292.5908184125799</v>
      </c>
      <c r="G27" s="5">
        <f t="shared" si="7"/>
        <v>1403.51280436817</v>
      </c>
      <c r="H27" s="5">
        <f t="shared" si="7"/>
        <v>1552.96623619398</v>
      </c>
      <c r="I27" s="5">
        <f t="shared" si="7"/>
        <v>1658.2090145974901</v>
      </c>
      <c r="J27" s="5">
        <f t="shared" si="7"/>
        <v>1781.32640260583</v>
      </c>
      <c r="K27" s="5">
        <f t="shared" si="7"/>
        <v>1879.72921375805</v>
      </c>
      <c r="L27" s="5">
        <f t="shared" si="7"/>
        <v>1962.06115125476</v>
      </c>
      <c r="M27" s="5">
        <f t="shared" si="7"/>
        <v>2022.09854925727</v>
      </c>
      <c r="N27" s="5">
        <f t="shared" si="7"/>
        <v>2078.8770434696899</v>
      </c>
      <c r="O27" s="5">
        <f t="shared" si="7"/>
        <v>2005.4928441878001</v>
      </c>
      <c r="P27" s="5">
        <f t="shared" si="7"/>
        <v>1765.8657587472401</v>
      </c>
      <c r="Q27" s="5">
        <f t="shared" si="7"/>
        <v>1377.3780476914701</v>
      </c>
      <c r="R27" s="5">
        <f t="shared" si="7"/>
        <v>849.87964008088704</v>
      </c>
      <c r="S27" s="5">
        <f t="shared" si="7"/>
        <v>221.644754984071</v>
      </c>
      <c r="T27" s="5">
        <f t="shared" si="7"/>
        <v>-406.04519899170202</v>
      </c>
      <c r="U27" s="5">
        <f t="shared" si="7"/>
        <v>-1027.6023975846499</v>
      </c>
      <c r="V27" s="5">
        <f t="shared" si="7"/>
        <v>-1566.6575558126101</v>
      </c>
      <c r="W27" s="5">
        <f t="shared" si="7"/>
        <v>-1986.1273587537401</v>
      </c>
      <c r="X27" s="5">
        <f t="shared" si="7"/>
        <v>-2310.7115340639998</v>
      </c>
      <c r="Y27" s="5">
        <f t="shared" si="7"/>
        <v>-2548.8603858015099</v>
      </c>
      <c r="Z27" s="5">
        <f t="shared" si="7"/>
        <v>-2710.5739425838301</v>
      </c>
      <c r="AA27" s="5">
        <f t="shared" si="7"/>
        <v>-2885.2491827899798</v>
      </c>
      <c r="AB27" s="5">
        <f t="shared" si="7"/>
        <v>-2839.52292426943</v>
      </c>
      <c r="AC27" s="5">
        <f t="shared" si="7"/>
        <v>-2719.47675029112</v>
      </c>
      <c r="AD27" s="5">
        <f t="shared" si="7"/>
        <v>-2576.5445341058899</v>
      </c>
      <c r="AE27" s="5">
        <f t="shared" si="7"/>
        <v>-2425.5488384810401</v>
      </c>
    </row>
    <row r="28" spans="1:31" x14ac:dyDescent="0.2">
      <c r="A28" t="s">
        <v>15</v>
      </c>
      <c r="B28" s="5">
        <f t="shared" ref="B28:AE28" si="8">IMABS(B25)</f>
        <v>686.95725170222022</v>
      </c>
      <c r="C28" s="5">
        <f t="shared" si="8"/>
        <v>796.10704632558372</v>
      </c>
      <c r="D28" s="5">
        <f t="shared" si="8"/>
        <v>1150.2562144998531</v>
      </c>
      <c r="E28" s="5">
        <f t="shared" si="8"/>
        <v>1260.4508135582307</v>
      </c>
      <c r="F28" s="5">
        <f t="shared" si="8"/>
        <v>1467.4639328436274</v>
      </c>
      <c r="G28" s="5">
        <f t="shared" si="8"/>
        <v>1665.8127445261225</v>
      </c>
      <c r="H28" s="5">
        <f t="shared" si="8"/>
        <v>1913.3438096006998</v>
      </c>
      <c r="I28" s="5">
        <f t="shared" si="8"/>
        <v>2115.3577295173559</v>
      </c>
      <c r="J28" s="5">
        <f t="shared" si="8"/>
        <v>2341.4901543604537</v>
      </c>
      <c r="K28" s="5">
        <f t="shared" si="8"/>
        <v>2569.4174743718308</v>
      </c>
      <c r="L28" s="5">
        <f t="shared" si="8"/>
        <v>2793.2243524551272</v>
      </c>
      <c r="M28" s="5">
        <f t="shared" si="8"/>
        <v>3004.0821240331684</v>
      </c>
      <c r="N28" s="5">
        <f t="shared" si="8"/>
        <v>3468.8621174483533</v>
      </c>
      <c r="O28" s="5">
        <f t="shared" si="8"/>
        <v>3911.304427491938</v>
      </c>
      <c r="P28" s="5">
        <f t="shared" si="8"/>
        <v>4283.4207642058564</v>
      </c>
      <c r="Q28" s="5">
        <f t="shared" si="8"/>
        <v>4611.9959665981141</v>
      </c>
      <c r="R28" s="5">
        <f t="shared" si="8"/>
        <v>4891.5175950085668</v>
      </c>
      <c r="S28" s="5">
        <f t="shared" si="8"/>
        <v>5066.4351603350178</v>
      </c>
      <c r="T28" s="5">
        <f t="shared" si="8"/>
        <v>5137.8399695356757</v>
      </c>
      <c r="U28" s="5">
        <f t="shared" si="8"/>
        <v>5137.0657433140723</v>
      </c>
      <c r="V28" s="5">
        <f t="shared" si="8"/>
        <v>5059.6891752633774</v>
      </c>
      <c r="W28" s="5">
        <f t="shared" si="8"/>
        <v>4923.0038536557458</v>
      </c>
      <c r="X28" s="5">
        <f t="shared" si="8"/>
        <v>4752.4268798562871</v>
      </c>
      <c r="Y28" s="5">
        <f t="shared" si="8"/>
        <v>4564.9009195268709</v>
      </c>
      <c r="Z28" s="5">
        <f t="shared" si="8"/>
        <v>4372.6478130831701</v>
      </c>
      <c r="AA28" s="5">
        <f t="shared" si="8"/>
        <v>3817.0033881766813</v>
      </c>
      <c r="AB28" s="5">
        <f t="shared" si="8"/>
        <v>3464.2203198952639</v>
      </c>
      <c r="AC28" s="5">
        <f t="shared" si="8"/>
        <v>3149.786908774267</v>
      </c>
      <c r="AD28" s="5">
        <f t="shared" si="8"/>
        <v>2883.1727953642385</v>
      </c>
      <c r="AE28" s="5">
        <f t="shared" si="8"/>
        <v>2653.8028901795265</v>
      </c>
    </row>
    <row r="32" spans="1:31" x14ac:dyDescent="0.2">
      <c r="A32" s="8" t="s">
        <v>20</v>
      </c>
      <c r="B32" s="8" t="s">
        <v>21</v>
      </c>
      <c r="C32" s="11" t="s">
        <v>22</v>
      </c>
    </row>
    <row r="33" spans="1:3" x14ac:dyDescent="0.2">
      <c r="A33" t="s">
        <v>23</v>
      </c>
      <c r="B33" t="str">
        <f ca="1">CubicSpline_version("v")</f>
        <v>1.03</v>
      </c>
      <c r="C33" s="13">
        <f ca="1">CubicSpline_version("d")</f>
        <v>40365</v>
      </c>
    </row>
    <row r="34" spans="1:3" x14ac:dyDescent="0.2">
      <c r="A34" s="12"/>
    </row>
    <row r="35" spans="1:3" x14ac:dyDescent="0.2">
      <c r="A35" t="s">
        <v>24</v>
      </c>
    </row>
  </sheetData>
  <phoneticPr fontId="0" type="noConversion"/>
  <hyperlinks>
    <hyperlink ref="A4" r:id="rId1"/>
  </hyperlinks>
  <pageMargins left="0.75" right="0.75" top="1" bottom="1" header="0.5" footer="0.5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Mix</vt:lpstr>
      <vt:lpstr>LO1238</vt:lpstr>
      <vt:lpstr>CSTableU1</vt:lpstr>
      <vt:lpstr>CSTableU2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OWEN DUFFY</dc:creator>
  <cp:lastModifiedBy>owen</cp:lastModifiedBy>
  <dcterms:created xsi:type="dcterms:W3CDTF">2010-06-30T06:45:52Z</dcterms:created>
  <dcterms:modified xsi:type="dcterms:W3CDTF">2014-05-02T04:59:35Z</dcterms:modified>
</cp:coreProperties>
</file>